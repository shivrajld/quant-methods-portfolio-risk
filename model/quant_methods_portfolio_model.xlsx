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xr:revisionPtr revIDLastSave="0" documentId="8_{BF89DC73-F1DE-7646-AFBC-33AF49E2C8D3}" xr6:coauthVersionLast="47" xr6:coauthVersionMax="47" xr10:uidLastSave="{00000000-0000-0000-0000-000000000000}"/>
  <bookViews>
    <workbookView xWindow="0" yWindow="660" windowWidth="30240" windowHeight="18980" firstSheet="17" activeTab="21" xr2:uid="{C5D46E93-3336-45E4-BE4B-12D07E49E1D0}"/>
  </bookViews>
  <sheets>
    <sheet name="Data" sheetId="1" r:id="rId1"/>
    <sheet name="Factors" sheetId="4" r:id="rId2"/>
    <sheet name="Asset_Stats" sheetId="16" r:id="rId3"/>
    <sheet name="Histograms" sheetId="17" r:id="rId4"/>
    <sheet name="Validation_A1" sheetId="5" r:id="rId5"/>
    <sheet name="A1" sheetId="7" r:id="rId6"/>
    <sheet name="A1 Rolling Betas" sheetId="18" r:id="rId7"/>
    <sheet name="A2" sheetId="8" r:id="rId8"/>
    <sheet name="A3" sheetId="9" r:id="rId9"/>
    <sheet name="A4_1" sheetId="13" r:id="rId10"/>
    <sheet name="A5_2factor" sheetId="11" r:id="rId11"/>
    <sheet name="A4_2" sheetId="14" r:id="rId12"/>
    <sheet name="A4_3" sheetId="15" r:id="rId13"/>
    <sheet name="A5_3factor" sheetId="12" r:id="rId14"/>
    <sheet name="Project_Page_1" sheetId="20" r:id="rId15"/>
    <sheet name="Project_Page_2" sheetId="19" r:id="rId16"/>
    <sheet name="Project_Page_3" sheetId="21" r:id="rId17"/>
    <sheet name="Project_Page_4_MVO" sheetId="22" r:id="rId18"/>
    <sheet name="Project_Page_4_TRC" sheetId="25" r:id="rId19"/>
    <sheet name="Project_Page_5_RP" sheetId="24" r:id="rId20"/>
    <sheet name="Project_Page_5_TRC" sheetId="26" r:id="rId21"/>
    <sheet name="Project_Page_6_MVO" sheetId="32" r:id="rId22"/>
    <sheet name="Project_Page_6_RP" sheetId="34" r:id="rId23"/>
  </sheets>
  <definedNames>
    <definedName name="K">Project_Page_5_RP!$P$22</definedName>
    <definedName name="solver_adj" localSheetId="17" hidden="1">Project_Page_4_MVO!$AX$6:$AX$10</definedName>
    <definedName name="solver_cvg" localSheetId="17" hidden="1">0.0001</definedName>
    <definedName name="solver_drv" localSheetId="17" hidden="1">1</definedName>
    <definedName name="solver_eng" localSheetId="2" hidden="1">1</definedName>
    <definedName name="solver_eng" localSheetId="17" hidden="1">1</definedName>
    <definedName name="solver_eng" localSheetId="18" hidden="1">1</definedName>
    <definedName name="solver_eng" localSheetId="19" hidden="1">1</definedName>
    <definedName name="solver_itr" localSheetId="17" hidden="1">2147483647</definedName>
    <definedName name="solver_lhs1" localSheetId="17" hidden="1">Project_Page_4_MVO!$AI$13:$AW$13</definedName>
    <definedName name="solver_lhs2" localSheetId="17" hidden="1">Project_Page_4_MVO!$AI$13:$AW$13</definedName>
    <definedName name="solver_lhs3" localSheetId="17" hidden="1">Project_Page_4_MVO!$AX$12</definedName>
    <definedName name="solver_lhs4" localSheetId="17" hidden="1">Project_Page_4_MVO!$AX$6:$AX$10</definedName>
    <definedName name="solver_lhs5" localSheetId="17" hidden="1">Project_Page_4_MVO!$AY$6:$AY$10</definedName>
    <definedName name="solver_lhs6" localSheetId="17" hidden="1">Project_Page_4_MVO!$BS$60</definedName>
    <definedName name="solver_lin" localSheetId="17" hidden="1">2</definedName>
    <definedName name="solver_lin" localSheetId="18" hidden="1">2</definedName>
    <definedName name="solver_lin" localSheetId="19" hidden="1">2</definedName>
    <definedName name="solver_mip" localSheetId="17" hidden="1">2147483647</definedName>
    <definedName name="solver_mni" localSheetId="17" hidden="1">30</definedName>
    <definedName name="solver_mrt" localSheetId="17" hidden="1">0.075</definedName>
    <definedName name="solver_msl" localSheetId="17" hidden="1">2</definedName>
    <definedName name="solver_neg" localSheetId="2" hidden="1">1</definedName>
    <definedName name="solver_neg" localSheetId="17" hidden="1">2</definedName>
    <definedName name="solver_neg" localSheetId="18" hidden="1">1</definedName>
    <definedName name="solver_neg" localSheetId="19" hidden="1">1</definedName>
    <definedName name="solver_nod" localSheetId="17" hidden="1">2147483647</definedName>
    <definedName name="solver_num" localSheetId="2" hidden="1">0</definedName>
    <definedName name="solver_num" localSheetId="17" hidden="1">6</definedName>
    <definedName name="solver_num" localSheetId="18" hidden="1">0</definedName>
    <definedName name="solver_num" localSheetId="19" hidden="1">0</definedName>
    <definedName name="solver_opt" localSheetId="2" hidden="1">Asset_Stats!$B$19</definedName>
    <definedName name="solver_opt" localSheetId="17" hidden="1">Project_Page_4_MVO!$BS$63</definedName>
    <definedName name="solver_opt" localSheetId="18" hidden="1">Project_Page_4_TRC!$L$7</definedName>
    <definedName name="solver_opt" localSheetId="19" hidden="1">Project_Page_5_RP!$P$11</definedName>
    <definedName name="solver_pre" localSheetId="17" hidden="1">0.000001</definedName>
    <definedName name="solver_rbv" localSheetId="17" hidden="1">1</definedName>
    <definedName name="solver_rel1" localSheetId="17" hidden="1">1</definedName>
    <definedName name="solver_rel2" localSheetId="17" hidden="1">3</definedName>
    <definedName name="solver_rel3" localSheetId="17" hidden="1">1</definedName>
    <definedName name="solver_rel4" localSheetId="17" hidden="1">3</definedName>
    <definedName name="solver_rel5" localSheetId="17" hidden="1">1</definedName>
    <definedName name="solver_rel6" localSheetId="17" hidden="1">3</definedName>
    <definedName name="solver_rhs1" localSheetId="17" hidden="1">Project_Page_4_MVO!$AI$27:$AW$27</definedName>
    <definedName name="solver_rhs2" localSheetId="17" hidden="1">Project_Page_4_MVO!$AI$26:$AW$26</definedName>
    <definedName name="solver_rhs3" localSheetId="17" hidden="1">1</definedName>
    <definedName name="solver_rhs4" localSheetId="17" hidden="1">Project_Page_4_MVO!$AJ$18:$AJ$22</definedName>
    <definedName name="solver_rhs5" localSheetId="17" hidden="1">Project_Page_4_MVO!$AI$18:$AI$22</definedName>
    <definedName name="solver_rhs6" localSheetId="17" hidden="1">0.005</definedName>
    <definedName name="solver_rlx" localSheetId="17" hidden="1">1</definedName>
    <definedName name="solver_rsd" localSheetId="17" hidden="1">0</definedName>
    <definedName name="solver_scl" localSheetId="17" hidden="1">2</definedName>
    <definedName name="solver_sho" localSheetId="17" hidden="1">2</definedName>
    <definedName name="solver_ssz" localSheetId="17" hidden="1">100</definedName>
    <definedName name="solver_tim" localSheetId="17" hidden="1">2147483647</definedName>
    <definedName name="solver_tol" localSheetId="17" hidden="1">0.01</definedName>
    <definedName name="solver_typ" localSheetId="2" hidden="1">1</definedName>
    <definedName name="solver_typ" localSheetId="17" hidden="1">1</definedName>
    <definedName name="solver_typ" localSheetId="18" hidden="1">1</definedName>
    <definedName name="solver_typ" localSheetId="19" hidden="1">1</definedName>
    <definedName name="solver_val" localSheetId="2" hidden="1">0</definedName>
    <definedName name="solver_val" localSheetId="17" hidden="1">0</definedName>
    <definedName name="solver_val" localSheetId="18" hidden="1">0</definedName>
    <definedName name="solver_val" localSheetId="19" hidden="1">0</definedName>
    <definedName name="solver_ver" localSheetId="2" hidden="1">3</definedName>
    <definedName name="solver_ver" localSheetId="17" hidden="1">2</definedName>
    <definedName name="solver_ver" localSheetId="18" hidden="1">2</definedName>
    <definedName name="solver_ver" localSheetId="19" hidden="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34" l="1"/>
  <c r="F14" i="34"/>
  <c r="F15" i="34" s="1"/>
  <c r="F16" i="34" s="1"/>
  <c r="F17" i="34" s="1"/>
  <c r="F18" i="34" s="1"/>
  <c r="F19" i="34" s="1"/>
  <c r="F20" i="34" s="1"/>
  <c r="F21" i="34" s="1"/>
  <c r="F22" i="34" s="1"/>
  <c r="F23" i="34" s="1"/>
  <c r="F24" i="34" s="1"/>
  <c r="F25" i="34" s="1"/>
  <c r="F26" i="34" s="1"/>
  <c r="F27" i="34" s="1"/>
  <c r="F28" i="34" s="1"/>
  <c r="F29" i="34" s="1"/>
  <c r="F30" i="34" s="1"/>
  <c r="F31" i="34" s="1"/>
  <c r="F32" i="34" s="1"/>
  <c r="F33" i="34" s="1"/>
  <c r="F34" i="34" s="1"/>
  <c r="F35" i="34" s="1"/>
  <c r="F36" i="34" s="1"/>
  <c r="F37" i="34" s="1"/>
  <c r="F38" i="34" s="1"/>
  <c r="F39" i="34" s="1"/>
  <c r="F40" i="34" s="1"/>
  <c r="F41" i="34" s="1"/>
  <c r="F42" i="34" s="1"/>
  <c r="F43" i="34" s="1"/>
  <c r="F44" i="34" s="1"/>
  <c r="F45" i="34" s="1"/>
  <c r="F46" i="34" s="1"/>
  <c r="F47" i="34" s="1"/>
  <c r="F48" i="34" s="1"/>
  <c r="F49" i="34" s="1"/>
  <c r="F50" i="34" s="1"/>
  <c r="F51" i="34" s="1"/>
  <c r="F52" i="34" s="1"/>
  <c r="F53" i="34" s="1"/>
  <c r="F54" i="34" s="1"/>
  <c r="F55" i="34" s="1"/>
  <c r="F56" i="34" s="1"/>
  <c r="F57" i="34" s="1"/>
  <c r="F58" i="34" s="1"/>
  <c r="F59" i="34" s="1"/>
  <c r="F60" i="34" s="1"/>
  <c r="F61" i="34" s="1"/>
  <c r="F62" i="34" s="1"/>
  <c r="F63" i="34" s="1"/>
  <c r="F64" i="34" s="1"/>
  <c r="F65" i="34" s="1"/>
  <c r="F66" i="34" s="1"/>
  <c r="F67" i="34" s="1"/>
  <c r="F68" i="34" s="1"/>
  <c r="F69" i="34" s="1"/>
  <c r="F70" i="34" s="1"/>
  <c r="F71" i="34" s="1"/>
  <c r="F72" i="34" s="1"/>
  <c r="F73" i="34" s="1"/>
  <c r="F74" i="34" s="1"/>
  <c r="F75" i="34" s="1"/>
  <c r="F76" i="34" s="1"/>
  <c r="F77" i="34" s="1"/>
  <c r="F78" i="34" s="1"/>
  <c r="F79" i="34" s="1"/>
  <c r="F80" i="34" s="1"/>
  <c r="F81" i="34" s="1"/>
  <c r="F82" i="34" s="1"/>
  <c r="F83" i="34" s="1"/>
  <c r="F84" i="34" s="1"/>
  <c r="F85" i="34" s="1"/>
  <c r="F86" i="34" s="1"/>
  <c r="F87" i="34" s="1"/>
  <c r="F88" i="34" s="1"/>
  <c r="F89" i="34" s="1"/>
  <c r="F90" i="34" s="1"/>
  <c r="F91" i="34" s="1"/>
  <c r="F92" i="34" s="1"/>
  <c r="F93" i="34" s="1"/>
  <c r="F94" i="34" s="1"/>
  <c r="F95" i="34" s="1"/>
  <c r="F96" i="34" s="1"/>
  <c r="F97" i="34" s="1"/>
  <c r="F98" i="34" s="1"/>
  <c r="F99" i="34" s="1"/>
  <c r="F100" i="34" s="1"/>
  <c r="F101" i="34" s="1"/>
  <c r="F102" i="34" s="1"/>
  <c r="F103" i="34" s="1"/>
  <c r="F104" i="34" s="1"/>
  <c r="F105" i="34" s="1"/>
  <c r="F106" i="34" s="1"/>
  <c r="F107" i="34" s="1"/>
  <c r="F108" i="34" s="1"/>
  <c r="F109" i="34" s="1"/>
  <c r="F110" i="34" s="1"/>
  <c r="F111" i="34" s="1"/>
  <c r="F112" i="34" s="1"/>
  <c r="F113" i="34" s="1"/>
  <c r="F114" i="34" s="1"/>
  <c r="F115" i="34" s="1"/>
  <c r="F116" i="34" s="1"/>
  <c r="F117" i="34" s="1"/>
  <c r="F118" i="34" s="1"/>
  <c r="F119" i="34" s="1"/>
  <c r="F120" i="34" s="1"/>
  <c r="F121" i="34" s="1"/>
  <c r="F122" i="34" s="1"/>
  <c r="F123" i="34" s="1"/>
  <c r="F124" i="34" s="1"/>
  <c r="F125" i="34" s="1"/>
  <c r="F126" i="34" s="1"/>
  <c r="F127" i="34" s="1"/>
  <c r="F128" i="34" s="1"/>
  <c r="F129" i="34" s="1"/>
  <c r="F130" i="34" s="1"/>
  <c r="F131" i="34" s="1"/>
  <c r="F132" i="34" s="1"/>
  <c r="C138" i="34" s="1"/>
  <c r="Y39" i="24"/>
  <c r="Y40" i="24"/>
  <c r="Y41" i="24"/>
  <c r="Y42" i="24"/>
  <c r="Y43" i="24"/>
  <c r="Y44" i="24"/>
  <c r="Y45" i="24"/>
  <c r="Y46" i="24"/>
  <c r="Y47" i="24"/>
  <c r="Y48" i="24"/>
  <c r="Y49" i="24"/>
  <c r="Y50" i="24"/>
  <c r="Y51" i="24"/>
  <c r="Y52" i="24"/>
  <c r="Y53" i="24"/>
  <c r="Y54" i="24"/>
  <c r="Y55" i="24"/>
  <c r="Y56" i="24"/>
  <c r="Y57" i="24"/>
  <c r="Y58" i="24"/>
  <c r="Y59" i="24"/>
  <c r="Y60" i="24"/>
  <c r="Y61" i="24"/>
  <c r="Y62" i="24"/>
  <c r="Y63" i="24"/>
  <c r="Y64" i="24"/>
  <c r="Y65" i="24"/>
  <c r="Y66" i="24"/>
  <c r="Y67" i="24"/>
  <c r="Y68" i="24"/>
  <c r="Y69" i="24"/>
  <c r="Y70" i="24"/>
  <c r="Y71" i="24"/>
  <c r="Y72" i="24"/>
  <c r="Y73" i="24"/>
  <c r="Y74" i="24"/>
  <c r="Y75" i="24"/>
  <c r="Y76" i="24"/>
  <c r="Y77" i="24"/>
  <c r="Y78" i="24"/>
  <c r="Y79" i="24"/>
  <c r="Y80" i="24"/>
  <c r="Y81" i="24"/>
  <c r="Y82" i="24"/>
  <c r="Y83" i="24"/>
  <c r="Y84" i="24"/>
  <c r="Y85" i="24"/>
  <c r="Y86" i="24"/>
  <c r="Y87" i="24"/>
  <c r="Y88" i="24"/>
  <c r="Y89" i="24"/>
  <c r="Y90" i="24"/>
  <c r="Y91" i="24"/>
  <c r="Y92" i="24"/>
  <c r="Y93" i="24"/>
  <c r="Y94" i="24"/>
  <c r="Y95" i="24"/>
  <c r="Y96" i="24"/>
  <c r="Y97" i="24"/>
  <c r="Y98" i="24"/>
  <c r="Y99" i="24"/>
  <c r="Y100" i="24"/>
  <c r="Y101" i="24"/>
  <c r="Y102" i="24"/>
  <c r="Y103" i="24"/>
  <c r="Y104" i="24"/>
  <c r="Y105" i="24"/>
  <c r="Y106" i="24"/>
  <c r="Y107" i="24"/>
  <c r="Y108" i="24"/>
  <c r="Y109" i="24"/>
  <c r="Y110" i="24"/>
  <c r="Y111" i="24"/>
  <c r="Y112" i="24"/>
  <c r="Y113" i="24"/>
  <c r="Y114" i="24"/>
  <c r="Y115" i="24"/>
  <c r="Y116" i="24"/>
  <c r="Y117" i="24"/>
  <c r="Y118" i="24"/>
  <c r="Y119" i="24"/>
  <c r="Y120" i="24"/>
  <c r="Y121" i="24"/>
  <c r="Y122" i="24"/>
  <c r="C8" i="32" l="1"/>
  <c r="C138" i="20"/>
  <c r="BO24" i="24" a="1"/>
  <c r="BO24" i="24" s="1"/>
  <c r="BO22" i="24" a="1"/>
  <c r="BO22" i="24" s="1"/>
  <c r="BN24" i="24" a="1"/>
  <c r="BN24" i="24" s="1"/>
  <c r="BN22" i="24" a="1"/>
  <c r="BN22" i="24" s="1"/>
  <c r="BN3" i="24" a="1"/>
  <c r="BN3" i="24" s="1"/>
  <c r="BO3" i="24" a="1"/>
  <c r="BO3" i="24" s="1"/>
  <c r="BE39" i="24" l="1"/>
  <c r="BF39" i="24" s="1"/>
  <c r="M58" i="24"/>
  <c r="C161" i="20"/>
  <c r="C160" i="20"/>
  <c r="C159" i="20"/>
  <c r="C158" i="20"/>
  <c r="C154" i="20"/>
  <c r="C155" i="20" s="1"/>
  <c r="C156" i="20" s="1"/>
  <c r="C157" i="20" s="1"/>
  <c r="C153" i="20"/>
  <c r="BO21" i="24" a="1"/>
  <c r="BO21" i="24" s="1"/>
  <c r="BN21" i="24" a="1"/>
  <c r="BN21" i="24" s="1"/>
  <c r="C150" i="20" a="1"/>
  <c r="C150" i="20" s="1"/>
  <c r="C149" i="20" a="1"/>
  <c r="C149" i="20" s="1"/>
  <c r="BS60" i="22"/>
  <c r="T8" i="24"/>
  <c r="S7" i="24"/>
  <c r="R6" i="24"/>
  <c r="Q5" i="24"/>
  <c r="P4" i="24"/>
  <c r="F2" i="25"/>
  <c r="E2" i="25"/>
  <c r="D2" i="25"/>
  <c r="C2" i="25"/>
  <c r="B2" i="25"/>
  <c r="C132" i="34"/>
  <c r="C131" i="34"/>
  <c r="C130" i="34"/>
  <c r="C129" i="34"/>
  <c r="C128" i="34"/>
  <c r="C127" i="34"/>
  <c r="C126" i="34"/>
  <c r="C125" i="34"/>
  <c r="C124" i="34"/>
  <c r="C123" i="34"/>
  <c r="C122" i="34"/>
  <c r="C121" i="34"/>
  <c r="C120" i="34"/>
  <c r="C119" i="34"/>
  <c r="C118" i="34"/>
  <c r="C117" i="34"/>
  <c r="C116" i="34"/>
  <c r="C115" i="34"/>
  <c r="C114" i="34"/>
  <c r="C113" i="34"/>
  <c r="C112" i="34"/>
  <c r="C111" i="34"/>
  <c r="C110" i="34"/>
  <c r="C109" i="34"/>
  <c r="C108" i="34"/>
  <c r="C107" i="34"/>
  <c r="C106" i="34"/>
  <c r="C105" i="34"/>
  <c r="C104" i="34"/>
  <c r="C103" i="34"/>
  <c r="C102" i="34"/>
  <c r="C101" i="34"/>
  <c r="C100" i="34"/>
  <c r="C99" i="34"/>
  <c r="C98" i="34"/>
  <c r="C97" i="34"/>
  <c r="C96" i="34"/>
  <c r="C95" i="34"/>
  <c r="C94" i="34"/>
  <c r="C93" i="34"/>
  <c r="C92" i="34"/>
  <c r="C91" i="34"/>
  <c r="C90" i="34"/>
  <c r="C89" i="34"/>
  <c r="C88" i="34"/>
  <c r="C87" i="34"/>
  <c r="C86" i="34"/>
  <c r="C85" i="34"/>
  <c r="C84" i="34"/>
  <c r="C83" i="34"/>
  <c r="C82" i="34"/>
  <c r="C81" i="34"/>
  <c r="C80" i="34"/>
  <c r="C79" i="34"/>
  <c r="C78" i="34"/>
  <c r="C77" i="34"/>
  <c r="C76" i="34"/>
  <c r="C75" i="34"/>
  <c r="C74" i="34"/>
  <c r="C73" i="34"/>
  <c r="C72" i="34"/>
  <c r="C71" i="34"/>
  <c r="C70" i="34"/>
  <c r="C69" i="34"/>
  <c r="C68" i="34"/>
  <c r="C67" i="34"/>
  <c r="C66" i="34"/>
  <c r="C65" i="34"/>
  <c r="C64" i="34"/>
  <c r="C63" i="34"/>
  <c r="C62" i="34"/>
  <c r="C61" i="34"/>
  <c r="C60" i="34"/>
  <c r="C59" i="34"/>
  <c r="C58" i="34"/>
  <c r="C57" i="34"/>
  <c r="C56" i="34"/>
  <c r="C55" i="34"/>
  <c r="C54" i="34"/>
  <c r="C53" i="34"/>
  <c r="C52" i="34"/>
  <c r="C51" i="34"/>
  <c r="C50" i="34"/>
  <c r="C49" i="34"/>
  <c r="C48" i="34"/>
  <c r="C47" i="34"/>
  <c r="C46" i="34"/>
  <c r="C45" i="34"/>
  <c r="C44" i="34"/>
  <c r="C43" i="34"/>
  <c r="C42" i="34"/>
  <c r="C41" i="34"/>
  <c r="C40" i="34"/>
  <c r="C39" i="34"/>
  <c r="C38" i="34"/>
  <c r="C37" i="34"/>
  <c r="C36" i="34"/>
  <c r="C35" i="34"/>
  <c r="C34" i="34"/>
  <c r="C33" i="34"/>
  <c r="C32" i="34"/>
  <c r="C31" i="34"/>
  <c r="C30" i="34"/>
  <c r="C29" i="34"/>
  <c r="C28" i="34"/>
  <c r="C27" i="34"/>
  <c r="C26" i="34"/>
  <c r="C25" i="34"/>
  <c r="C24" i="34"/>
  <c r="C23" i="34"/>
  <c r="C22" i="34"/>
  <c r="C21" i="34"/>
  <c r="C20" i="34"/>
  <c r="C19" i="34"/>
  <c r="C18" i="34"/>
  <c r="C17" i="34"/>
  <c r="C16" i="34"/>
  <c r="C15" i="34"/>
  <c r="C14" i="34"/>
  <c r="C13" i="34"/>
  <c r="B13" i="34"/>
  <c r="E13" i="34" s="1"/>
  <c r="F12" i="34"/>
  <c r="C3" i="34"/>
  <c r="C134" i="32"/>
  <c r="C133" i="32"/>
  <c r="C132" i="32"/>
  <c r="C131" i="32"/>
  <c r="C130" i="32"/>
  <c r="C129" i="32"/>
  <c r="C128" i="32"/>
  <c r="C127" i="32"/>
  <c r="C126" i="32"/>
  <c r="C125" i="32"/>
  <c r="C124" i="32"/>
  <c r="C123" i="32"/>
  <c r="C122" i="32"/>
  <c r="C121" i="32"/>
  <c r="C120" i="32"/>
  <c r="C119" i="32"/>
  <c r="C118" i="32"/>
  <c r="C117" i="32"/>
  <c r="C116" i="32"/>
  <c r="C115" i="32"/>
  <c r="C114" i="32"/>
  <c r="C113" i="32"/>
  <c r="C112" i="32"/>
  <c r="C111" i="32"/>
  <c r="C110" i="32"/>
  <c r="C109" i="32"/>
  <c r="C108" i="32"/>
  <c r="C107" i="32"/>
  <c r="C106" i="32"/>
  <c r="C105" i="32"/>
  <c r="C104" i="32"/>
  <c r="C103" i="32"/>
  <c r="C102" i="32"/>
  <c r="C101" i="32"/>
  <c r="C100" i="32"/>
  <c r="C99" i="32"/>
  <c r="C98" i="32"/>
  <c r="C97" i="32"/>
  <c r="C96" i="32"/>
  <c r="C95" i="32"/>
  <c r="C94" i="32"/>
  <c r="C93" i="32"/>
  <c r="C92" i="32"/>
  <c r="C91" i="32"/>
  <c r="C90" i="32"/>
  <c r="C89" i="32"/>
  <c r="C88" i="32"/>
  <c r="C87" i="32"/>
  <c r="C86" i="32"/>
  <c r="C85" i="32"/>
  <c r="C84" i="32"/>
  <c r="C83" i="32"/>
  <c r="C82" i="32"/>
  <c r="C81" i="32"/>
  <c r="C80" i="32"/>
  <c r="C79" i="32"/>
  <c r="C78" i="32"/>
  <c r="C77" i="32"/>
  <c r="C76" i="32"/>
  <c r="C75" i="32"/>
  <c r="C74" i="32"/>
  <c r="C73" i="32"/>
  <c r="C72" i="32"/>
  <c r="C71" i="32"/>
  <c r="C70" i="32"/>
  <c r="C69" i="32"/>
  <c r="C68" i="32"/>
  <c r="C67" i="32"/>
  <c r="C66" i="32"/>
  <c r="C65" i="32"/>
  <c r="C64" i="32"/>
  <c r="C63" i="32"/>
  <c r="C62" i="32"/>
  <c r="C61" i="32"/>
  <c r="C60" i="32"/>
  <c r="C59" i="32"/>
  <c r="C58" i="32"/>
  <c r="C57" i="32"/>
  <c r="C56" i="32"/>
  <c r="C55" i="32"/>
  <c r="C54" i="32"/>
  <c r="C53" i="32"/>
  <c r="C52" i="32"/>
  <c r="C51" i="32"/>
  <c r="C50" i="32"/>
  <c r="C49" i="32"/>
  <c r="C48" i="32"/>
  <c r="C47" i="32"/>
  <c r="C46" i="32"/>
  <c r="C45" i="32"/>
  <c r="C44" i="32"/>
  <c r="C43" i="32"/>
  <c r="C42" i="32"/>
  <c r="C41" i="32"/>
  <c r="C40" i="32"/>
  <c r="C39" i="32"/>
  <c r="C38" i="32"/>
  <c r="C37" i="32"/>
  <c r="C36" i="32"/>
  <c r="C35" i="32"/>
  <c r="C34" i="32"/>
  <c r="C33" i="32"/>
  <c r="C32" i="32"/>
  <c r="C31" i="32"/>
  <c r="C30" i="32"/>
  <c r="C29" i="32"/>
  <c r="C28" i="32"/>
  <c r="C27" i="32"/>
  <c r="C26" i="32"/>
  <c r="C25" i="32"/>
  <c r="C24" i="32"/>
  <c r="C23" i="32"/>
  <c r="C22" i="32"/>
  <c r="C21" i="32"/>
  <c r="C20" i="32"/>
  <c r="C19" i="32"/>
  <c r="C18" i="32"/>
  <c r="C17" i="32"/>
  <c r="C16" i="32"/>
  <c r="C15" i="32"/>
  <c r="B15" i="32"/>
  <c r="F14" i="32"/>
  <c r="C3" i="32"/>
  <c r="C3" i="20"/>
  <c r="D132" i="20"/>
  <c r="C132" i="20"/>
  <c r="D131" i="20"/>
  <c r="C131" i="20"/>
  <c r="D130" i="20"/>
  <c r="C130" i="20"/>
  <c r="D129" i="20"/>
  <c r="C129" i="20"/>
  <c r="D128" i="20"/>
  <c r="C128" i="20"/>
  <c r="D127" i="20"/>
  <c r="C127" i="20"/>
  <c r="D126" i="20"/>
  <c r="C126" i="20"/>
  <c r="D125" i="20"/>
  <c r="C125" i="20"/>
  <c r="D124" i="20"/>
  <c r="C124" i="20"/>
  <c r="D123" i="20"/>
  <c r="C123" i="20"/>
  <c r="D122" i="20"/>
  <c r="C122" i="20"/>
  <c r="D121" i="20"/>
  <c r="C121" i="20"/>
  <c r="D120" i="20"/>
  <c r="C120" i="20"/>
  <c r="D119" i="20"/>
  <c r="C119" i="20"/>
  <c r="D118" i="20"/>
  <c r="C118" i="20"/>
  <c r="D117" i="20"/>
  <c r="C117" i="20"/>
  <c r="D116" i="20"/>
  <c r="C116" i="20"/>
  <c r="D115" i="20"/>
  <c r="C115" i="20"/>
  <c r="D114" i="20"/>
  <c r="C114" i="20"/>
  <c r="D113" i="20"/>
  <c r="C113" i="20"/>
  <c r="D112" i="20"/>
  <c r="C112" i="20"/>
  <c r="D111" i="20"/>
  <c r="C111" i="20"/>
  <c r="D110" i="20"/>
  <c r="C110" i="20"/>
  <c r="D109" i="20"/>
  <c r="C109" i="20"/>
  <c r="D108" i="20"/>
  <c r="C108" i="20"/>
  <c r="D107" i="20"/>
  <c r="C107" i="20"/>
  <c r="D106" i="20"/>
  <c r="C106" i="20"/>
  <c r="D105" i="20"/>
  <c r="C105" i="20"/>
  <c r="D104" i="20"/>
  <c r="C104" i="20"/>
  <c r="D103" i="20"/>
  <c r="C103" i="20"/>
  <c r="D102" i="20"/>
  <c r="C102" i="20"/>
  <c r="D101" i="20"/>
  <c r="C101" i="20"/>
  <c r="D100" i="20"/>
  <c r="C100" i="20"/>
  <c r="D99" i="20"/>
  <c r="C99" i="20"/>
  <c r="D98" i="20"/>
  <c r="C98" i="20"/>
  <c r="D97" i="20"/>
  <c r="C97" i="20"/>
  <c r="D96" i="20"/>
  <c r="C96" i="20"/>
  <c r="D95" i="20"/>
  <c r="C95" i="20"/>
  <c r="D94" i="20"/>
  <c r="C94" i="20"/>
  <c r="D93" i="20"/>
  <c r="C93" i="20"/>
  <c r="D92" i="20"/>
  <c r="C92" i="20"/>
  <c r="D91" i="20"/>
  <c r="C91" i="20"/>
  <c r="D90" i="20"/>
  <c r="C90" i="20"/>
  <c r="D89" i="20"/>
  <c r="C89" i="20"/>
  <c r="D88" i="20"/>
  <c r="C88" i="20"/>
  <c r="D87" i="20"/>
  <c r="C87" i="20"/>
  <c r="D86" i="20"/>
  <c r="C86" i="20"/>
  <c r="D85" i="20"/>
  <c r="C85" i="20"/>
  <c r="D84" i="20"/>
  <c r="C84" i="20"/>
  <c r="D83" i="20"/>
  <c r="C83" i="20"/>
  <c r="D82" i="20"/>
  <c r="C82" i="20"/>
  <c r="D81" i="20"/>
  <c r="C81" i="20"/>
  <c r="D80" i="20"/>
  <c r="C80" i="20"/>
  <c r="D79" i="20"/>
  <c r="C79" i="20"/>
  <c r="D78" i="20"/>
  <c r="C78" i="20"/>
  <c r="D77" i="20"/>
  <c r="C77" i="20"/>
  <c r="D76" i="20"/>
  <c r="C76" i="20"/>
  <c r="D75" i="20"/>
  <c r="C75" i="20"/>
  <c r="D74" i="20"/>
  <c r="C74" i="20"/>
  <c r="D73" i="20"/>
  <c r="C73" i="20"/>
  <c r="D72" i="20"/>
  <c r="C72" i="20"/>
  <c r="D71" i="20"/>
  <c r="C71" i="20"/>
  <c r="D70" i="20"/>
  <c r="C70" i="20"/>
  <c r="D69" i="20"/>
  <c r="C69" i="20"/>
  <c r="D68" i="20"/>
  <c r="C68" i="20"/>
  <c r="D67" i="20"/>
  <c r="C67" i="20"/>
  <c r="D66" i="20"/>
  <c r="C66" i="20"/>
  <c r="D65" i="20"/>
  <c r="C65" i="20"/>
  <c r="D64" i="20"/>
  <c r="C64" i="20"/>
  <c r="D63" i="20"/>
  <c r="C63" i="20"/>
  <c r="D62" i="20"/>
  <c r="C62" i="20"/>
  <c r="D61" i="20"/>
  <c r="C61" i="20"/>
  <c r="D60" i="20"/>
  <c r="C60" i="20"/>
  <c r="D59" i="20"/>
  <c r="C59" i="20"/>
  <c r="D58" i="20"/>
  <c r="C58" i="20"/>
  <c r="D57" i="20"/>
  <c r="C57" i="20"/>
  <c r="D56" i="20"/>
  <c r="C56" i="20"/>
  <c r="D55" i="20"/>
  <c r="C55" i="20"/>
  <c r="D54" i="20"/>
  <c r="C54" i="20"/>
  <c r="D53" i="20"/>
  <c r="C53" i="20"/>
  <c r="D52" i="20"/>
  <c r="C52" i="20"/>
  <c r="D51" i="20"/>
  <c r="C51" i="20"/>
  <c r="D50" i="20"/>
  <c r="C50" i="20"/>
  <c r="D49" i="20"/>
  <c r="C49" i="20"/>
  <c r="D48" i="20"/>
  <c r="C48" i="20"/>
  <c r="D47" i="20"/>
  <c r="C47" i="20"/>
  <c r="D46" i="20"/>
  <c r="C46" i="20"/>
  <c r="D45" i="20"/>
  <c r="C45" i="20"/>
  <c r="D44" i="20"/>
  <c r="C44" i="20"/>
  <c r="D43" i="20"/>
  <c r="C43" i="20"/>
  <c r="D42" i="20"/>
  <c r="C42" i="20"/>
  <c r="D41" i="20"/>
  <c r="C41" i="20"/>
  <c r="D40" i="20"/>
  <c r="C40" i="20"/>
  <c r="D39" i="20"/>
  <c r="C39" i="20"/>
  <c r="D38" i="20"/>
  <c r="C38" i="20"/>
  <c r="D37" i="20"/>
  <c r="C37" i="20"/>
  <c r="D36" i="20"/>
  <c r="C36" i="20"/>
  <c r="D35" i="20"/>
  <c r="C35" i="20"/>
  <c r="D34" i="20"/>
  <c r="C34" i="20"/>
  <c r="D33" i="20"/>
  <c r="C33" i="20"/>
  <c r="D32" i="20"/>
  <c r="C32" i="20"/>
  <c r="D31" i="20"/>
  <c r="C31" i="20"/>
  <c r="D30" i="20"/>
  <c r="C30" i="20"/>
  <c r="D29" i="20"/>
  <c r="C29" i="20"/>
  <c r="D28" i="20"/>
  <c r="C28" i="20"/>
  <c r="D27" i="20"/>
  <c r="C27" i="20"/>
  <c r="D26" i="20"/>
  <c r="C26" i="20"/>
  <c r="D25" i="20"/>
  <c r="C25" i="20"/>
  <c r="D24" i="20"/>
  <c r="C24" i="20"/>
  <c r="D23" i="20"/>
  <c r="C23" i="20"/>
  <c r="D22" i="20"/>
  <c r="C22" i="20"/>
  <c r="D21" i="20"/>
  <c r="C21" i="20"/>
  <c r="D20" i="20"/>
  <c r="C20" i="20"/>
  <c r="D19" i="20"/>
  <c r="C19" i="20"/>
  <c r="D18" i="20"/>
  <c r="C18" i="20"/>
  <c r="D17" i="20"/>
  <c r="C17" i="20"/>
  <c r="D16" i="20"/>
  <c r="C16" i="20"/>
  <c r="D15" i="20"/>
  <c r="C148" i="20" s="1" a="1"/>
  <c r="C148" i="20" s="1"/>
  <c r="C15" i="20"/>
  <c r="D14" i="20"/>
  <c r="C14" i="20"/>
  <c r="D13" i="20"/>
  <c r="C143" i="20" s="1"/>
  <c r="C13" i="20"/>
  <c r="B13" i="20"/>
  <c r="E13" i="20" s="1"/>
  <c r="F12" i="20"/>
  <c r="G12" i="20" s="1"/>
  <c r="I4" i="21" a="1"/>
  <c r="I4" i="21"/>
  <c r="F123" i="26"/>
  <c r="E123" i="26"/>
  <c r="D123" i="26"/>
  <c r="BE123" i="26" s="1"/>
  <c r="C123" i="26"/>
  <c r="B123" i="26"/>
  <c r="BE122" i="26"/>
  <c r="F122" i="26"/>
  <c r="CL122" i="26" s="1"/>
  <c r="E122" i="26"/>
  <c r="D122" i="26"/>
  <c r="C122" i="26"/>
  <c r="B122" i="26"/>
  <c r="BE121" i="26"/>
  <c r="F121" i="26"/>
  <c r="E121" i="26"/>
  <c r="D121" i="26"/>
  <c r="C121" i="26"/>
  <c r="B121" i="26"/>
  <c r="BE120" i="26"/>
  <c r="F120" i="26"/>
  <c r="E120" i="26"/>
  <c r="BV120" i="26" s="1"/>
  <c r="D120" i="26"/>
  <c r="C120" i="26"/>
  <c r="B120" i="26"/>
  <c r="BE119" i="26"/>
  <c r="F119" i="26"/>
  <c r="E119" i="26"/>
  <c r="D119" i="26"/>
  <c r="C119" i="26"/>
  <c r="B119" i="26"/>
  <c r="F118" i="26"/>
  <c r="E118" i="26"/>
  <c r="D118" i="26"/>
  <c r="C118" i="26"/>
  <c r="B118" i="26"/>
  <c r="F117" i="26"/>
  <c r="E117" i="26"/>
  <c r="D117" i="26"/>
  <c r="BE117" i="26" s="1"/>
  <c r="C117" i="26"/>
  <c r="B117" i="26"/>
  <c r="F116" i="26"/>
  <c r="E116" i="26"/>
  <c r="D116" i="26"/>
  <c r="C116" i="26"/>
  <c r="AP116" i="26" s="1"/>
  <c r="B116" i="26"/>
  <c r="F115" i="26"/>
  <c r="CL115" i="26" s="1"/>
  <c r="E115" i="26"/>
  <c r="D115" i="26"/>
  <c r="C115" i="26"/>
  <c r="B115" i="26"/>
  <c r="F114" i="26"/>
  <c r="E114" i="26"/>
  <c r="D114" i="26"/>
  <c r="BE114" i="26" s="1"/>
  <c r="C114" i="26"/>
  <c r="AP114" i="26" s="1"/>
  <c r="B114" i="26"/>
  <c r="F113" i="26"/>
  <c r="CL113" i="26" s="1"/>
  <c r="E113" i="26"/>
  <c r="D113" i="26"/>
  <c r="C113" i="26"/>
  <c r="B113" i="26"/>
  <c r="F112" i="26"/>
  <c r="E112" i="26"/>
  <c r="D112" i="26"/>
  <c r="C112" i="26"/>
  <c r="B112" i="26"/>
  <c r="F111" i="26"/>
  <c r="E111" i="26"/>
  <c r="D111" i="26"/>
  <c r="BE111" i="26" s="1"/>
  <c r="C111" i="26"/>
  <c r="B111" i="26"/>
  <c r="CL110" i="26"/>
  <c r="F110" i="26"/>
  <c r="E110" i="26"/>
  <c r="D110" i="26"/>
  <c r="BE110" i="26" s="1"/>
  <c r="C110" i="26"/>
  <c r="B110" i="26"/>
  <c r="BE109" i="26"/>
  <c r="Z109" i="26"/>
  <c r="F109" i="26"/>
  <c r="E109" i="26"/>
  <c r="D109" i="26"/>
  <c r="C109" i="26"/>
  <c r="B109" i="26"/>
  <c r="F108" i="26"/>
  <c r="CL108" i="26" s="1"/>
  <c r="E108" i="26"/>
  <c r="D108" i="26"/>
  <c r="C108" i="26"/>
  <c r="B108" i="26"/>
  <c r="F107" i="26"/>
  <c r="E107" i="26"/>
  <c r="D107" i="26"/>
  <c r="C107" i="26"/>
  <c r="AP107" i="26" s="1"/>
  <c r="B107" i="26"/>
  <c r="Z107" i="26" s="1"/>
  <c r="F106" i="26"/>
  <c r="E106" i="26"/>
  <c r="D106" i="26"/>
  <c r="C106" i="26"/>
  <c r="B106" i="26"/>
  <c r="F105" i="26"/>
  <c r="CL105" i="26" s="1"/>
  <c r="E105" i="26"/>
  <c r="D105" i="26"/>
  <c r="C105" i="26"/>
  <c r="B105" i="26"/>
  <c r="BE104" i="26"/>
  <c r="F104" i="26"/>
  <c r="E104" i="26"/>
  <c r="BV104" i="26" s="1"/>
  <c r="D104" i="26"/>
  <c r="C104" i="26"/>
  <c r="AP104" i="26" s="1"/>
  <c r="B104" i="26"/>
  <c r="Z103" i="26"/>
  <c r="F103" i="26"/>
  <c r="E103" i="26"/>
  <c r="D103" i="26"/>
  <c r="C103" i="26"/>
  <c r="B103" i="26"/>
  <c r="F102" i="26"/>
  <c r="E102" i="26"/>
  <c r="D102" i="26"/>
  <c r="C102" i="26"/>
  <c r="AP102" i="26" s="1"/>
  <c r="B102" i="26"/>
  <c r="F101" i="26"/>
  <c r="E101" i="26"/>
  <c r="D101" i="26"/>
  <c r="C101" i="26"/>
  <c r="B101" i="26"/>
  <c r="BV100" i="26"/>
  <c r="F100" i="26"/>
  <c r="E100" i="26"/>
  <c r="D100" i="26"/>
  <c r="C100" i="26"/>
  <c r="B100" i="26"/>
  <c r="BV99" i="26"/>
  <c r="AP99" i="26"/>
  <c r="F99" i="26"/>
  <c r="E99" i="26"/>
  <c r="D99" i="26"/>
  <c r="C99" i="26"/>
  <c r="B99" i="26"/>
  <c r="BE98" i="26"/>
  <c r="AP98" i="26"/>
  <c r="Z98" i="26"/>
  <c r="F98" i="26"/>
  <c r="E98" i="26"/>
  <c r="D98" i="26"/>
  <c r="C98" i="26"/>
  <c r="B98" i="26"/>
  <c r="F97" i="26"/>
  <c r="E97" i="26"/>
  <c r="D97" i="26"/>
  <c r="BE97" i="26" s="1"/>
  <c r="C97" i="26"/>
  <c r="B97" i="26"/>
  <c r="Z97" i="26" s="1"/>
  <c r="F96" i="26"/>
  <c r="CL96" i="26" s="1"/>
  <c r="E96" i="26"/>
  <c r="D96" i="26"/>
  <c r="C96" i="26"/>
  <c r="B96" i="26"/>
  <c r="F95" i="26"/>
  <c r="E95" i="26"/>
  <c r="D95" i="26"/>
  <c r="C95" i="26"/>
  <c r="B95" i="26"/>
  <c r="BE94" i="26"/>
  <c r="F94" i="26"/>
  <c r="E94" i="26"/>
  <c r="BV94" i="26" s="1"/>
  <c r="D94" i="26"/>
  <c r="C94" i="26"/>
  <c r="B94" i="26"/>
  <c r="F93" i="26"/>
  <c r="E93" i="26"/>
  <c r="D93" i="26"/>
  <c r="C93" i="26"/>
  <c r="B93" i="26"/>
  <c r="BE92" i="26"/>
  <c r="F92" i="26"/>
  <c r="E92" i="26"/>
  <c r="D92" i="26"/>
  <c r="C92" i="26"/>
  <c r="B92" i="26"/>
  <c r="F91" i="26"/>
  <c r="E91" i="26"/>
  <c r="BV91" i="26" s="1"/>
  <c r="D91" i="26"/>
  <c r="BE91" i="26" s="1"/>
  <c r="C91" i="26"/>
  <c r="AP91" i="26" s="1"/>
  <c r="B91" i="26"/>
  <c r="F90" i="26"/>
  <c r="E90" i="26"/>
  <c r="D90" i="26"/>
  <c r="C90" i="26"/>
  <c r="B90" i="26"/>
  <c r="F89" i="26"/>
  <c r="E89" i="26"/>
  <c r="BV89" i="26" s="1"/>
  <c r="D89" i="26"/>
  <c r="C89" i="26"/>
  <c r="B89" i="26"/>
  <c r="F88" i="26"/>
  <c r="E88" i="26"/>
  <c r="D88" i="26"/>
  <c r="C88" i="26"/>
  <c r="AP88" i="26" s="1"/>
  <c r="B88" i="26"/>
  <c r="BE87" i="26"/>
  <c r="F87" i="26"/>
  <c r="E87" i="26"/>
  <c r="D87" i="26"/>
  <c r="C87" i="26"/>
  <c r="B87" i="26"/>
  <c r="BE86" i="26"/>
  <c r="AP86" i="26"/>
  <c r="F86" i="26"/>
  <c r="CL86" i="26" s="1"/>
  <c r="E86" i="26"/>
  <c r="D86" i="26"/>
  <c r="C86" i="26"/>
  <c r="B86" i="26"/>
  <c r="F85" i="26"/>
  <c r="E85" i="26"/>
  <c r="D85" i="26"/>
  <c r="C85" i="26"/>
  <c r="AP85" i="26" s="1"/>
  <c r="B85" i="26"/>
  <c r="CL84" i="26"/>
  <c r="F84" i="26"/>
  <c r="E84" i="26"/>
  <c r="D84" i="26"/>
  <c r="C84" i="26"/>
  <c r="B84" i="26"/>
  <c r="AP83" i="26"/>
  <c r="F83" i="26"/>
  <c r="E83" i="26"/>
  <c r="D83" i="26"/>
  <c r="C83" i="26"/>
  <c r="B83" i="26"/>
  <c r="F82" i="26"/>
  <c r="E82" i="26"/>
  <c r="D82" i="26"/>
  <c r="BE82" i="26" s="1"/>
  <c r="C82" i="26"/>
  <c r="B82" i="26"/>
  <c r="F81" i="26"/>
  <c r="E81" i="26"/>
  <c r="D81" i="26"/>
  <c r="C81" i="26"/>
  <c r="B81" i="26"/>
  <c r="F80" i="26"/>
  <c r="CL80" i="26" s="1"/>
  <c r="E80" i="26"/>
  <c r="D80" i="26"/>
  <c r="C80" i="26"/>
  <c r="B80" i="26"/>
  <c r="BE79" i="26"/>
  <c r="F79" i="26"/>
  <c r="E79" i="26"/>
  <c r="BV79" i="26" s="1"/>
  <c r="D79" i="26"/>
  <c r="C79" i="26"/>
  <c r="AP79" i="26" s="1"/>
  <c r="B79" i="26"/>
  <c r="F78" i="26"/>
  <c r="E78" i="26"/>
  <c r="D78" i="26"/>
  <c r="C78" i="26"/>
  <c r="AP78" i="26" s="1"/>
  <c r="B78" i="26"/>
  <c r="Z78" i="26" s="1"/>
  <c r="Z77" i="26"/>
  <c r="F77" i="26"/>
  <c r="E77" i="26"/>
  <c r="D77" i="26"/>
  <c r="BE77" i="26" s="1"/>
  <c r="C77" i="26"/>
  <c r="B77" i="26"/>
  <c r="F76" i="26"/>
  <c r="E76" i="26"/>
  <c r="D76" i="26"/>
  <c r="BE76" i="26" s="1"/>
  <c r="C76" i="26"/>
  <c r="AP76" i="26" s="1"/>
  <c r="B76" i="26"/>
  <c r="F75" i="26"/>
  <c r="E75" i="26"/>
  <c r="D75" i="26"/>
  <c r="BE75" i="26" s="1"/>
  <c r="C75" i="26"/>
  <c r="AP75" i="26" s="1"/>
  <c r="B75" i="26"/>
  <c r="Z75" i="26" s="1"/>
  <c r="BE74" i="26"/>
  <c r="F74" i="26"/>
  <c r="E74" i="26"/>
  <c r="D74" i="26"/>
  <c r="C74" i="26"/>
  <c r="B74" i="26"/>
  <c r="Z74" i="26" s="1"/>
  <c r="AP73" i="26"/>
  <c r="Z73" i="26"/>
  <c r="F73" i="26"/>
  <c r="E73" i="26"/>
  <c r="D73" i="26"/>
  <c r="C73" i="26"/>
  <c r="B73" i="26"/>
  <c r="BE72" i="26"/>
  <c r="AP72" i="26"/>
  <c r="Z72" i="26"/>
  <c r="F72" i="26"/>
  <c r="E72" i="26"/>
  <c r="D72" i="26"/>
  <c r="C72" i="26"/>
  <c r="B72" i="26"/>
  <c r="F71" i="26"/>
  <c r="E71" i="26"/>
  <c r="BV71" i="26" s="1"/>
  <c r="D71" i="26"/>
  <c r="C71" i="26"/>
  <c r="AP71" i="26" s="1"/>
  <c r="B71" i="26"/>
  <c r="F70" i="26"/>
  <c r="E70" i="26"/>
  <c r="D70" i="26"/>
  <c r="BE70" i="26" s="1"/>
  <c r="C70" i="26"/>
  <c r="B70" i="26"/>
  <c r="F69" i="26"/>
  <c r="CL69" i="26" s="1"/>
  <c r="E69" i="26"/>
  <c r="D69" i="26"/>
  <c r="C69" i="26"/>
  <c r="B69" i="26"/>
  <c r="F68" i="26"/>
  <c r="E68" i="26"/>
  <c r="D68" i="26"/>
  <c r="BE68" i="26" s="1"/>
  <c r="C68" i="26"/>
  <c r="AP68" i="26" s="1"/>
  <c r="B68" i="26"/>
  <c r="F67" i="26"/>
  <c r="E67" i="26"/>
  <c r="D67" i="26"/>
  <c r="BE67" i="26" s="1"/>
  <c r="C67" i="26"/>
  <c r="B67" i="26"/>
  <c r="F66" i="26"/>
  <c r="E66" i="26"/>
  <c r="D66" i="26"/>
  <c r="BE66" i="26" s="1"/>
  <c r="C66" i="26"/>
  <c r="B66" i="26"/>
  <c r="F65" i="26"/>
  <c r="E65" i="26"/>
  <c r="D65" i="26"/>
  <c r="C65" i="26"/>
  <c r="B65" i="26"/>
  <c r="Z65" i="26" s="1"/>
  <c r="F64" i="26"/>
  <c r="E64" i="26"/>
  <c r="D64" i="26"/>
  <c r="C64" i="26"/>
  <c r="B64" i="26"/>
  <c r="F63" i="26"/>
  <c r="E63" i="26"/>
  <c r="BV63" i="26" s="1"/>
  <c r="D63" i="26"/>
  <c r="BE63" i="26" s="1"/>
  <c r="C63" i="26"/>
  <c r="AP63" i="26" s="1"/>
  <c r="B63" i="26"/>
  <c r="F62" i="26"/>
  <c r="E62" i="26"/>
  <c r="D62" i="26"/>
  <c r="BE62" i="26" s="1"/>
  <c r="C62" i="26"/>
  <c r="AP62" i="26" s="1"/>
  <c r="B62" i="26"/>
  <c r="Z62" i="26" s="1"/>
  <c r="AP61" i="26"/>
  <c r="F61" i="26"/>
  <c r="E61" i="26"/>
  <c r="D61" i="26"/>
  <c r="C61" i="26"/>
  <c r="B61" i="26"/>
  <c r="CL60" i="26"/>
  <c r="AP60" i="26"/>
  <c r="Z60" i="26"/>
  <c r="F60" i="26"/>
  <c r="E60" i="26"/>
  <c r="D60" i="26"/>
  <c r="C60" i="26"/>
  <c r="B60" i="26"/>
  <c r="AP59" i="26"/>
  <c r="F59" i="26"/>
  <c r="E59" i="26"/>
  <c r="D59" i="26"/>
  <c r="C59" i="26"/>
  <c r="B59" i="26"/>
  <c r="F58" i="26"/>
  <c r="E58" i="26"/>
  <c r="D58" i="26"/>
  <c r="C58" i="26"/>
  <c r="B58" i="26"/>
  <c r="F57" i="26"/>
  <c r="E57" i="26"/>
  <c r="D57" i="26"/>
  <c r="C57" i="26"/>
  <c r="AP57" i="26" s="1"/>
  <c r="B57" i="26"/>
  <c r="Z57" i="26" s="1"/>
  <c r="AP56" i="26"/>
  <c r="F56" i="26"/>
  <c r="E56" i="26"/>
  <c r="D56" i="26"/>
  <c r="C56" i="26"/>
  <c r="B56" i="26"/>
  <c r="BE55" i="26"/>
  <c r="F55" i="26"/>
  <c r="E55" i="26"/>
  <c r="BV55" i="26" s="1"/>
  <c r="D55" i="26"/>
  <c r="C55" i="26"/>
  <c r="B55" i="26"/>
  <c r="F54" i="26"/>
  <c r="E54" i="26"/>
  <c r="D54" i="26"/>
  <c r="C54" i="26"/>
  <c r="AP54" i="26" s="1"/>
  <c r="B54" i="26"/>
  <c r="Z54" i="26" s="1"/>
  <c r="F53" i="26"/>
  <c r="E53" i="26"/>
  <c r="D53" i="26"/>
  <c r="C53" i="26"/>
  <c r="B53" i="26"/>
  <c r="BE52" i="26"/>
  <c r="F52" i="26"/>
  <c r="E52" i="26"/>
  <c r="D52" i="26"/>
  <c r="C52" i="26"/>
  <c r="B52" i="26"/>
  <c r="BE51" i="26"/>
  <c r="F51" i="26"/>
  <c r="E51" i="26"/>
  <c r="D51" i="26"/>
  <c r="C51" i="26"/>
  <c r="AP51" i="26" s="1"/>
  <c r="B51" i="26"/>
  <c r="F50" i="26"/>
  <c r="E50" i="26"/>
  <c r="D50" i="26"/>
  <c r="C50" i="26"/>
  <c r="B50" i="26"/>
  <c r="Z50" i="26" s="1"/>
  <c r="BE49" i="26"/>
  <c r="F49" i="26"/>
  <c r="E49" i="26"/>
  <c r="D49" i="26"/>
  <c r="C49" i="26"/>
  <c r="B49" i="26"/>
  <c r="Z48" i="26"/>
  <c r="F48" i="26"/>
  <c r="CL48" i="26" s="1"/>
  <c r="E48" i="26"/>
  <c r="D48" i="26"/>
  <c r="C48" i="26"/>
  <c r="B48" i="26"/>
  <c r="F47" i="26"/>
  <c r="E47" i="26"/>
  <c r="D47" i="26"/>
  <c r="BE47" i="26" s="1"/>
  <c r="C47" i="26"/>
  <c r="B47" i="26"/>
  <c r="Z47" i="26" s="1"/>
  <c r="F46" i="26"/>
  <c r="E46" i="26"/>
  <c r="BV46" i="26" s="1"/>
  <c r="D46" i="26"/>
  <c r="BE46" i="26" s="1"/>
  <c r="C46" i="26"/>
  <c r="B46" i="26"/>
  <c r="F45" i="26"/>
  <c r="E45" i="26"/>
  <c r="D45" i="26"/>
  <c r="C45" i="26"/>
  <c r="B45" i="26"/>
  <c r="Z45" i="26" s="1"/>
  <c r="CL44" i="26"/>
  <c r="F44" i="26"/>
  <c r="E44" i="26"/>
  <c r="D44" i="26"/>
  <c r="C44" i="26"/>
  <c r="B44" i="26"/>
  <c r="BE43" i="26"/>
  <c r="Z43" i="26"/>
  <c r="F43" i="26"/>
  <c r="E43" i="26"/>
  <c r="D43" i="26"/>
  <c r="C43" i="26"/>
  <c r="B43" i="26"/>
  <c r="BE42" i="26"/>
  <c r="F42" i="26"/>
  <c r="E42" i="26"/>
  <c r="D42" i="26"/>
  <c r="C42" i="26"/>
  <c r="B42" i="26"/>
  <c r="Z41" i="26"/>
  <c r="F41" i="26"/>
  <c r="E41" i="26"/>
  <c r="D41" i="26"/>
  <c r="C41" i="26"/>
  <c r="B41" i="26"/>
  <c r="Z40" i="26"/>
  <c r="F40" i="26"/>
  <c r="E40" i="26"/>
  <c r="D40" i="26"/>
  <c r="C40" i="26"/>
  <c r="B40" i="26"/>
  <c r="F39" i="26"/>
  <c r="E39" i="26"/>
  <c r="D39" i="26"/>
  <c r="BE39" i="26" s="1"/>
  <c r="C39" i="26"/>
  <c r="AP39" i="26" s="1"/>
  <c r="B39" i="26"/>
  <c r="BE38" i="26"/>
  <c r="AE38" i="26"/>
  <c r="AD38" i="26"/>
  <c r="F38" i="26"/>
  <c r="E38" i="26"/>
  <c r="D38" i="26"/>
  <c r="C38" i="26"/>
  <c r="B38" i="26"/>
  <c r="CL37" i="26"/>
  <c r="AP37" i="26"/>
  <c r="F37" i="26"/>
  <c r="E37" i="26"/>
  <c r="D37" i="26"/>
  <c r="C37" i="26"/>
  <c r="B37" i="26"/>
  <c r="F36" i="26"/>
  <c r="E36" i="26"/>
  <c r="D36" i="26"/>
  <c r="BE36" i="26" s="1"/>
  <c r="C36" i="26"/>
  <c r="B36" i="26"/>
  <c r="BI35" i="26"/>
  <c r="F35" i="26"/>
  <c r="E35" i="26"/>
  <c r="D35" i="26"/>
  <c r="BE35" i="26" s="1"/>
  <c r="C35" i="26"/>
  <c r="AP35" i="26" s="1"/>
  <c r="B35" i="26"/>
  <c r="Z35" i="26" s="1"/>
  <c r="CL34" i="26"/>
  <c r="F34" i="26"/>
  <c r="E34" i="26"/>
  <c r="D34" i="26"/>
  <c r="BE34" i="26" s="1"/>
  <c r="C34" i="26"/>
  <c r="B34" i="26"/>
  <c r="BE33" i="26"/>
  <c r="AP33" i="26"/>
  <c r="F33" i="26"/>
  <c r="E33" i="26"/>
  <c r="D33" i="26"/>
  <c r="C33" i="26"/>
  <c r="B33" i="26"/>
  <c r="BV32" i="26"/>
  <c r="BE32" i="26"/>
  <c r="F32" i="26"/>
  <c r="E32" i="26"/>
  <c r="D32" i="26"/>
  <c r="C32" i="26"/>
  <c r="B32" i="26"/>
  <c r="CL31" i="26"/>
  <c r="BW31" i="26"/>
  <c r="F31" i="26"/>
  <c r="E31" i="26"/>
  <c r="D31" i="26"/>
  <c r="BE31" i="26" s="1"/>
  <c r="C31" i="26"/>
  <c r="B31" i="26"/>
  <c r="Z31" i="26" s="1"/>
  <c r="CL30" i="26"/>
  <c r="CB30" i="26"/>
  <c r="CA30" i="26"/>
  <c r="BZ30" i="26"/>
  <c r="BY30" i="26"/>
  <c r="BW30" i="26"/>
  <c r="BE30" i="26"/>
  <c r="AP30" i="26"/>
  <c r="F30" i="26"/>
  <c r="E30" i="26"/>
  <c r="D30" i="26"/>
  <c r="C30" i="26"/>
  <c r="B30" i="26"/>
  <c r="CM29" i="26"/>
  <c r="CB29" i="26"/>
  <c r="CA29" i="26"/>
  <c r="BZ29" i="26"/>
  <c r="BY29" i="26"/>
  <c r="AQ29" i="26"/>
  <c r="AP29" i="26"/>
  <c r="F29" i="26"/>
  <c r="CL29" i="26" s="1"/>
  <c r="E29" i="26"/>
  <c r="D29" i="26"/>
  <c r="C29" i="26"/>
  <c r="B29" i="26"/>
  <c r="CQ28" i="26"/>
  <c r="CP28" i="26"/>
  <c r="CO28" i="26"/>
  <c r="CM28" i="26"/>
  <c r="CL28" i="26"/>
  <c r="CB28" i="26"/>
  <c r="CA28" i="26"/>
  <c r="BZ28" i="26"/>
  <c r="BY28" i="26"/>
  <c r="AU28" i="26"/>
  <c r="AT28" i="26"/>
  <c r="AS28" i="26"/>
  <c r="AE28" i="26"/>
  <c r="AD28" i="26"/>
  <c r="AC28" i="26"/>
  <c r="AA28" i="26"/>
  <c r="F28" i="26"/>
  <c r="E28" i="26"/>
  <c r="BV28" i="26" s="1"/>
  <c r="D28" i="26"/>
  <c r="C28" i="26"/>
  <c r="B28" i="26"/>
  <c r="CQ27" i="26"/>
  <c r="CP27" i="26"/>
  <c r="CO27" i="26"/>
  <c r="CB27" i="26"/>
  <c r="CA27" i="26"/>
  <c r="BZ27" i="26"/>
  <c r="BY27" i="26"/>
  <c r="BF27" i="26"/>
  <c r="AU27" i="26"/>
  <c r="AT27" i="26"/>
  <c r="AS27" i="26"/>
  <c r="AE27" i="26"/>
  <c r="AD27" i="26"/>
  <c r="AC27" i="26"/>
  <c r="AA27" i="26"/>
  <c r="F27" i="26"/>
  <c r="E27" i="26"/>
  <c r="D27" i="26"/>
  <c r="C27" i="26"/>
  <c r="B27" i="26"/>
  <c r="CQ26" i="26"/>
  <c r="CP26" i="26"/>
  <c r="CO26" i="26"/>
  <c r="BV26" i="26"/>
  <c r="BI26" i="26"/>
  <c r="BH26" i="26"/>
  <c r="BF26" i="26"/>
  <c r="AU26" i="26"/>
  <c r="AT26" i="26"/>
  <c r="AS26" i="26"/>
  <c r="AQ26" i="26"/>
  <c r="AP26" i="26"/>
  <c r="AE26" i="26"/>
  <c r="AD26" i="26"/>
  <c r="AC26" i="26"/>
  <c r="AA26" i="26"/>
  <c r="F26" i="26"/>
  <c r="E26" i="26"/>
  <c r="D26" i="26"/>
  <c r="BE26" i="26" s="1"/>
  <c r="C26" i="26"/>
  <c r="B26" i="26"/>
  <c r="BI25" i="26"/>
  <c r="BH25" i="26"/>
  <c r="F25" i="26"/>
  <c r="E25" i="26"/>
  <c r="D25" i="26"/>
  <c r="C25" i="26"/>
  <c r="B25" i="26"/>
  <c r="BE24" i="26"/>
  <c r="AP24" i="26"/>
  <c r="F24" i="26"/>
  <c r="E24" i="26"/>
  <c r="D24" i="26"/>
  <c r="C24" i="26"/>
  <c r="B24" i="26"/>
  <c r="BE23" i="26"/>
  <c r="F23" i="26"/>
  <c r="E23" i="26"/>
  <c r="D23" i="26"/>
  <c r="C23" i="26"/>
  <c r="B23" i="26"/>
  <c r="F22" i="26"/>
  <c r="E22" i="26"/>
  <c r="D22" i="26"/>
  <c r="C22" i="26"/>
  <c r="B22" i="26"/>
  <c r="Z22" i="26" s="1"/>
  <c r="BE21" i="26"/>
  <c r="F21" i="26"/>
  <c r="E21" i="26"/>
  <c r="D21" i="26"/>
  <c r="C21" i="26"/>
  <c r="AP21" i="26" s="1"/>
  <c r="B21" i="26"/>
  <c r="CL20" i="26"/>
  <c r="BV20" i="26"/>
  <c r="F20" i="26"/>
  <c r="E20" i="26"/>
  <c r="D20" i="26"/>
  <c r="BE20" i="26" s="1"/>
  <c r="C20" i="26"/>
  <c r="B20" i="26"/>
  <c r="BE19" i="26"/>
  <c r="Z19" i="26"/>
  <c r="F19" i="26"/>
  <c r="E19" i="26"/>
  <c r="D19" i="26"/>
  <c r="C19" i="26"/>
  <c r="B19" i="26"/>
  <c r="BV18" i="26"/>
  <c r="F18" i="26"/>
  <c r="CL18" i="26" s="1"/>
  <c r="E18" i="26"/>
  <c r="D18" i="26"/>
  <c r="BE18" i="26" s="1"/>
  <c r="C18" i="26"/>
  <c r="B18" i="26"/>
  <c r="F17" i="26"/>
  <c r="E17" i="26"/>
  <c r="D17" i="26"/>
  <c r="BE17" i="26" s="1"/>
  <c r="C17" i="26"/>
  <c r="AP17" i="26" s="1"/>
  <c r="B17" i="26"/>
  <c r="F16" i="26"/>
  <c r="E16" i="26"/>
  <c r="D16" i="26"/>
  <c r="C16" i="26"/>
  <c r="AP16" i="26" s="1"/>
  <c r="B16" i="26"/>
  <c r="AP15" i="26"/>
  <c r="F15" i="26"/>
  <c r="E15" i="26"/>
  <c r="D15" i="26"/>
  <c r="C15" i="26"/>
  <c r="B15" i="26"/>
  <c r="F14" i="26"/>
  <c r="CL14" i="26" s="1"/>
  <c r="E14" i="26"/>
  <c r="BV14" i="26" s="1"/>
  <c r="D14" i="26"/>
  <c r="C14" i="26"/>
  <c r="AP14" i="26" s="1"/>
  <c r="B14" i="26"/>
  <c r="F13" i="26"/>
  <c r="E13" i="26"/>
  <c r="D13" i="26"/>
  <c r="BE13" i="26" s="1"/>
  <c r="C13" i="26"/>
  <c r="AP13" i="26" s="1"/>
  <c r="B13" i="26"/>
  <c r="Z13" i="26" s="1"/>
  <c r="CL12" i="26"/>
  <c r="AP12" i="26"/>
  <c r="F12" i="26"/>
  <c r="E12" i="26"/>
  <c r="D12" i="26"/>
  <c r="BE12" i="26" s="1"/>
  <c r="C12" i="26"/>
  <c r="B12" i="26"/>
  <c r="BV11" i="26"/>
  <c r="BE11" i="26"/>
  <c r="Z11" i="26"/>
  <c r="F11" i="26"/>
  <c r="E11" i="26"/>
  <c r="D11" i="26"/>
  <c r="C11" i="26"/>
  <c r="B11" i="26"/>
  <c r="Z10" i="26"/>
  <c r="F10" i="26"/>
  <c r="E10" i="26"/>
  <c r="D10" i="26"/>
  <c r="C10" i="26"/>
  <c r="B10" i="26"/>
  <c r="BE9" i="26"/>
  <c r="F9" i="26"/>
  <c r="CL9" i="26" s="1"/>
  <c r="E9" i="26"/>
  <c r="D9" i="26"/>
  <c r="C9" i="26"/>
  <c r="B9" i="26"/>
  <c r="F8" i="26"/>
  <c r="E8" i="26"/>
  <c r="D8" i="26"/>
  <c r="C8" i="26"/>
  <c r="B8" i="26"/>
  <c r="BE7" i="26"/>
  <c r="F7" i="26"/>
  <c r="E7" i="26"/>
  <c r="D7" i="26"/>
  <c r="C7" i="26"/>
  <c r="B7" i="26"/>
  <c r="AP6" i="26"/>
  <c r="Z6" i="26"/>
  <c r="F6" i="26"/>
  <c r="E6" i="26"/>
  <c r="D6" i="26"/>
  <c r="BE6" i="26" s="1"/>
  <c r="C6" i="26"/>
  <c r="B6" i="26"/>
  <c r="CL5" i="26"/>
  <c r="F5" i="26"/>
  <c r="E5" i="26"/>
  <c r="BV5" i="26" s="1"/>
  <c r="D5" i="26"/>
  <c r="BE5" i="26" s="1"/>
  <c r="C5" i="26"/>
  <c r="AP5" i="26" s="1"/>
  <c r="B5" i="26"/>
  <c r="F4" i="26"/>
  <c r="E4" i="26"/>
  <c r="D4" i="26"/>
  <c r="C4" i="26"/>
  <c r="B4" i="26"/>
  <c r="CK2" i="26"/>
  <c r="CJ2" i="26"/>
  <c r="CI2" i="26"/>
  <c r="BU2" i="26"/>
  <c r="BT2" i="26"/>
  <c r="BS2" i="26"/>
  <c r="BR2" i="26"/>
  <c r="BD2" i="26"/>
  <c r="BC2" i="26"/>
  <c r="AO2" i="26"/>
  <c r="AN2" i="26"/>
  <c r="AM2" i="26"/>
  <c r="Y2" i="26"/>
  <c r="X2" i="26"/>
  <c r="W2" i="26"/>
  <c r="F123" i="25"/>
  <c r="E123" i="25"/>
  <c r="D123" i="25"/>
  <c r="C123" i="25"/>
  <c r="B123" i="25"/>
  <c r="F122" i="25"/>
  <c r="E122" i="25"/>
  <c r="D122" i="25"/>
  <c r="C122" i="25"/>
  <c r="B122" i="25"/>
  <c r="F121" i="25"/>
  <c r="E121" i="25"/>
  <c r="D121" i="25"/>
  <c r="C121" i="25"/>
  <c r="B121" i="25"/>
  <c r="F120" i="25"/>
  <c r="E120" i="25"/>
  <c r="D120" i="25"/>
  <c r="C120" i="25"/>
  <c r="B120" i="25"/>
  <c r="F119" i="25"/>
  <c r="E119" i="25"/>
  <c r="D119" i="25"/>
  <c r="C119" i="25"/>
  <c r="B119" i="25"/>
  <c r="F118" i="25"/>
  <c r="E118" i="25"/>
  <c r="D118" i="25"/>
  <c r="C118" i="25"/>
  <c r="B118" i="25"/>
  <c r="F117" i="25"/>
  <c r="E117" i="25"/>
  <c r="D117" i="25"/>
  <c r="C117" i="25"/>
  <c r="B117" i="25"/>
  <c r="F116" i="25"/>
  <c r="E116" i="25"/>
  <c r="D116" i="25"/>
  <c r="C116" i="25"/>
  <c r="B116" i="25"/>
  <c r="F115" i="25"/>
  <c r="E115" i="25"/>
  <c r="D115" i="25"/>
  <c r="C115" i="25"/>
  <c r="B115" i="25"/>
  <c r="F114" i="25"/>
  <c r="E114" i="25"/>
  <c r="D114" i="25"/>
  <c r="C114" i="25"/>
  <c r="B114" i="25"/>
  <c r="F113" i="25"/>
  <c r="E113" i="25"/>
  <c r="D113" i="25"/>
  <c r="C113" i="25"/>
  <c r="B113" i="25"/>
  <c r="F112" i="25"/>
  <c r="E112" i="25"/>
  <c r="D112" i="25"/>
  <c r="C112" i="25"/>
  <c r="B112" i="25"/>
  <c r="F111" i="25"/>
  <c r="E111" i="25"/>
  <c r="D111" i="25"/>
  <c r="C111" i="25"/>
  <c r="B111" i="25"/>
  <c r="F110" i="25"/>
  <c r="E110" i="25"/>
  <c r="D110" i="25"/>
  <c r="C110" i="25"/>
  <c r="B110" i="25"/>
  <c r="F109" i="25"/>
  <c r="E109" i="25"/>
  <c r="D109" i="25"/>
  <c r="C109" i="25"/>
  <c r="B109" i="25"/>
  <c r="F108" i="25"/>
  <c r="E108" i="25"/>
  <c r="D108" i="25"/>
  <c r="C108" i="25"/>
  <c r="B108" i="25"/>
  <c r="F107" i="25"/>
  <c r="E107" i="25"/>
  <c r="D107" i="25"/>
  <c r="C107" i="25"/>
  <c r="B107" i="25"/>
  <c r="F106" i="25"/>
  <c r="E106" i="25"/>
  <c r="D106" i="25"/>
  <c r="C106" i="25"/>
  <c r="B106" i="25"/>
  <c r="F105" i="25"/>
  <c r="E105" i="25"/>
  <c r="D105" i="25"/>
  <c r="C105" i="25"/>
  <c r="B105" i="25"/>
  <c r="F104" i="25"/>
  <c r="E104" i="25"/>
  <c r="D104" i="25"/>
  <c r="C104" i="25"/>
  <c r="B104" i="25"/>
  <c r="F103" i="25"/>
  <c r="E103" i="25"/>
  <c r="D103" i="25"/>
  <c r="C103" i="25"/>
  <c r="B103" i="25"/>
  <c r="F102" i="25"/>
  <c r="E102" i="25"/>
  <c r="D102" i="25"/>
  <c r="C102" i="25"/>
  <c r="B102" i="25"/>
  <c r="F101" i="25"/>
  <c r="E101" i="25"/>
  <c r="D101" i="25"/>
  <c r="C101" i="25"/>
  <c r="B101" i="25"/>
  <c r="F100" i="25"/>
  <c r="E100" i="25"/>
  <c r="D100" i="25"/>
  <c r="C100" i="25"/>
  <c r="B100" i="25"/>
  <c r="F99" i="25"/>
  <c r="E99" i="25"/>
  <c r="D99" i="25"/>
  <c r="C99" i="25"/>
  <c r="B99" i="25"/>
  <c r="F98" i="25"/>
  <c r="E98" i="25"/>
  <c r="D98" i="25"/>
  <c r="C98" i="25"/>
  <c r="B98" i="25"/>
  <c r="F97" i="25"/>
  <c r="E97" i="25"/>
  <c r="D97" i="25"/>
  <c r="C97" i="25"/>
  <c r="B97" i="25"/>
  <c r="F96" i="25"/>
  <c r="E96" i="25"/>
  <c r="D96" i="25"/>
  <c r="C96" i="25"/>
  <c r="B96" i="25"/>
  <c r="F95" i="25"/>
  <c r="E95" i="25"/>
  <c r="D95" i="25"/>
  <c r="C95" i="25"/>
  <c r="B95" i="25"/>
  <c r="F94" i="25"/>
  <c r="E94" i="25"/>
  <c r="D94" i="25"/>
  <c r="C94" i="25"/>
  <c r="B94" i="25"/>
  <c r="F93" i="25"/>
  <c r="E93" i="25"/>
  <c r="D93" i="25"/>
  <c r="C93" i="25"/>
  <c r="B93" i="25"/>
  <c r="F92" i="25"/>
  <c r="E92" i="25"/>
  <c r="D92" i="25"/>
  <c r="C92" i="25"/>
  <c r="B92" i="25"/>
  <c r="F91" i="25"/>
  <c r="E91" i="25"/>
  <c r="D91" i="25"/>
  <c r="C91" i="25"/>
  <c r="B91" i="25"/>
  <c r="F90" i="25"/>
  <c r="E90" i="25"/>
  <c r="D90" i="25"/>
  <c r="C90" i="25"/>
  <c r="B90" i="25"/>
  <c r="F89" i="25"/>
  <c r="E89" i="25"/>
  <c r="D89" i="25"/>
  <c r="C89" i="25"/>
  <c r="B89" i="25"/>
  <c r="F88" i="25"/>
  <c r="E88" i="25"/>
  <c r="D88" i="25"/>
  <c r="C88" i="25"/>
  <c r="B88" i="25"/>
  <c r="F87" i="25"/>
  <c r="E87" i="25"/>
  <c r="D87" i="25"/>
  <c r="C87" i="25"/>
  <c r="B87" i="25"/>
  <c r="F86" i="25"/>
  <c r="E86" i="25"/>
  <c r="D86" i="25"/>
  <c r="C86" i="25"/>
  <c r="B86" i="25"/>
  <c r="F85" i="25"/>
  <c r="E85" i="25"/>
  <c r="D85" i="25"/>
  <c r="C85" i="25"/>
  <c r="B85" i="25"/>
  <c r="F84" i="25"/>
  <c r="E84" i="25"/>
  <c r="D84" i="25"/>
  <c r="C84" i="25"/>
  <c r="B84" i="25"/>
  <c r="F83" i="25"/>
  <c r="E83" i="25"/>
  <c r="D83" i="25"/>
  <c r="C83" i="25"/>
  <c r="B83" i="25"/>
  <c r="F82" i="25"/>
  <c r="E82" i="25"/>
  <c r="D82" i="25"/>
  <c r="C82" i="25"/>
  <c r="B82" i="25"/>
  <c r="F81" i="25"/>
  <c r="E81" i="25"/>
  <c r="D81" i="25"/>
  <c r="C81" i="25"/>
  <c r="B81" i="25"/>
  <c r="F80" i="25"/>
  <c r="E80" i="25"/>
  <c r="D80" i="25"/>
  <c r="C80" i="25"/>
  <c r="B80" i="25"/>
  <c r="F79" i="25"/>
  <c r="E79" i="25"/>
  <c r="D79" i="25"/>
  <c r="C79" i="25"/>
  <c r="B79" i="25"/>
  <c r="F78" i="25"/>
  <c r="E78" i="25"/>
  <c r="D78" i="25"/>
  <c r="C78" i="25"/>
  <c r="B78" i="25"/>
  <c r="F77" i="25"/>
  <c r="E77" i="25"/>
  <c r="D77" i="25"/>
  <c r="C77" i="25"/>
  <c r="B77" i="25"/>
  <c r="F76" i="25"/>
  <c r="E76" i="25"/>
  <c r="D76" i="25"/>
  <c r="C76" i="25"/>
  <c r="B76" i="25"/>
  <c r="F75" i="25"/>
  <c r="E75" i="25"/>
  <c r="D75" i="25"/>
  <c r="C75" i="25"/>
  <c r="B75" i="25"/>
  <c r="F74" i="25"/>
  <c r="E74" i="25"/>
  <c r="D74" i="25"/>
  <c r="C74" i="25"/>
  <c r="B74" i="25"/>
  <c r="F73" i="25"/>
  <c r="E73" i="25"/>
  <c r="D73" i="25"/>
  <c r="C73" i="25"/>
  <c r="B73" i="25"/>
  <c r="F72" i="25"/>
  <c r="E72" i="25"/>
  <c r="D72" i="25"/>
  <c r="C72" i="25"/>
  <c r="B72" i="25"/>
  <c r="F71" i="25"/>
  <c r="E71" i="25"/>
  <c r="D71" i="25"/>
  <c r="C71" i="25"/>
  <c r="B71" i="25"/>
  <c r="F70" i="25"/>
  <c r="E70" i="25"/>
  <c r="D70" i="25"/>
  <c r="C70" i="25"/>
  <c r="B70" i="25"/>
  <c r="F69" i="25"/>
  <c r="E69" i="25"/>
  <c r="D69" i="25"/>
  <c r="C69" i="25"/>
  <c r="B69" i="25"/>
  <c r="F68" i="25"/>
  <c r="E68" i="25"/>
  <c r="D68" i="25"/>
  <c r="C68" i="25"/>
  <c r="B68" i="25"/>
  <c r="F67" i="25"/>
  <c r="E67" i="25"/>
  <c r="D67" i="25"/>
  <c r="C67" i="25"/>
  <c r="B67" i="25"/>
  <c r="F66" i="25"/>
  <c r="E66" i="25"/>
  <c r="D66" i="25"/>
  <c r="C66" i="25"/>
  <c r="B66" i="25"/>
  <c r="F65" i="25"/>
  <c r="E65" i="25"/>
  <c r="D65" i="25"/>
  <c r="C65" i="25"/>
  <c r="B65" i="25"/>
  <c r="F64" i="25"/>
  <c r="E64" i="25"/>
  <c r="D64" i="25"/>
  <c r="C64" i="25"/>
  <c r="B64" i="25"/>
  <c r="F63" i="25"/>
  <c r="E63" i="25"/>
  <c r="D63" i="25"/>
  <c r="C63" i="25"/>
  <c r="B63" i="25"/>
  <c r="F62" i="25"/>
  <c r="E62" i="25"/>
  <c r="D62" i="25"/>
  <c r="C62" i="25"/>
  <c r="B62" i="25"/>
  <c r="F61" i="25"/>
  <c r="E61" i="25"/>
  <c r="D61" i="25"/>
  <c r="C61" i="25"/>
  <c r="B61" i="25"/>
  <c r="F60" i="25"/>
  <c r="E60" i="25"/>
  <c r="D60" i="25"/>
  <c r="C60" i="25"/>
  <c r="B60" i="25"/>
  <c r="F59" i="25"/>
  <c r="E59" i="25"/>
  <c r="D59" i="25"/>
  <c r="C59" i="25"/>
  <c r="B59" i="25"/>
  <c r="F58" i="25"/>
  <c r="E58" i="25"/>
  <c r="D58" i="25"/>
  <c r="C58" i="25"/>
  <c r="B58" i="25"/>
  <c r="F57" i="25"/>
  <c r="E57" i="25"/>
  <c r="D57" i="25"/>
  <c r="C57" i="25"/>
  <c r="B57" i="25"/>
  <c r="F56" i="25"/>
  <c r="E56" i="25"/>
  <c r="D56" i="25"/>
  <c r="C56" i="25"/>
  <c r="B56" i="25"/>
  <c r="F55" i="25"/>
  <c r="E55" i="25"/>
  <c r="D55" i="25"/>
  <c r="C55" i="25"/>
  <c r="B55" i="25"/>
  <c r="F54" i="25"/>
  <c r="E54" i="25"/>
  <c r="D54" i="25"/>
  <c r="C54" i="25"/>
  <c r="B54" i="25"/>
  <c r="F53" i="25"/>
  <c r="E53" i="25"/>
  <c r="D53" i="25"/>
  <c r="C53" i="25"/>
  <c r="B53" i="25"/>
  <c r="F52" i="25"/>
  <c r="E52" i="25"/>
  <c r="D52" i="25"/>
  <c r="C52" i="25"/>
  <c r="B52" i="25"/>
  <c r="F51" i="25"/>
  <c r="E51" i="25"/>
  <c r="D51" i="25"/>
  <c r="C51" i="25"/>
  <c r="B51" i="25"/>
  <c r="F50" i="25"/>
  <c r="E50" i="25"/>
  <c r="D50" i="25"/>
  <c r="C50" i="25"/>
  <c r="B50" i="25"/>
  <c r="F49" i="25"/>
  <c r="E49" i="25"/>
  <c r="D49" i="25"/>
  <c r="C49" i="25"/>
  <c r="B49" i="25"/>
  <c r="F48" i="25"/>
  <c r="E48" i="25"/>
  <c r="D48" i="25"/>
  <c r="C48" i="25"/>
  <c r="B48" i="25"/>
  <c r="F47" i="25"/>
  <c r="E47" i="25"/>
  <c r="D47" i="25"/>
  <c r="C47" i="25"/>
  <c r="B47" i="25"/>
  <c r="F46" i="25"/>
  <c r="E46" i="25"/>
  <c r="D46" i="25"/>
  <c r="C46" i="25"/>
  <c r="B46" i="25"/>
  <c r="F45" i="25"/>
  <c r="E45" i="25"/>
  <c r="D45" i="25"/>
  <c r="C45" i="25"/>
  <c r="B45" i="25"/>
  <c r="F44" i="25"/>
  <c r="E44" i="25"/>
  <c r="D44" i="25"/>
  <c r="C44" i="25"/>
  <c r="B44" i="25"/>
  <c r="F43" i="25"/>
  <c r="E43" i="25"/>
  <c r="D43" i="25"/>
  <c r="C43" i="25"/>
  <c r="B43" i="25"/>
  <c r="F42" i="25"/>
  <c r="E42" i="25"/>
  <c r="D42" i="25"/>
  <c r="C42" i="25"/>
  <c r="B42" i="25"/>
  <c r="F41" i="25"/>
  <c r="E41" i="25"/>
  <c r="D41" i="25"/>
  <c r="C41" i="25"/>
  <c r="B41" i="25"/>
  <c r="F40" i="25"/>
  <c r="E40" i="25"/>
  <c r="D40" i="25"/>
  <c r="C40" i="25"/>
  <c r="B40" i="25"/>
  <c r="F39" i="25"/>
  <c r="E39" i="25"/>
  <c r="D39" i="25"/>
  <c r="C39" i="25"/>
  <c r="B39" i="25"/>
  <c r="F38" i="25"/>
  <c r="E38" i="25"/>
  <c r="D38" i="25"/>
  <c r="C38" i="25"/>
  <c r="B38" i="25"/>
  <c r="F37" i="25"/>
  <c r="E37" i="25"/>
  <c r="D37" i="25"/>
  <c r="C37" i="25"/>
  <c r="B37" i="25"/>
  <c r="F36" i="25"/>
  <c r="E36" i="25"/>
  <c r="D36" i="25"/>
  <c r="C36" i="25"/>
  <c r="B36" i="25"/>
  <c r="F35" i="25"/>
  <c r="E35" i="25"/>
  <c r="D35" i="25"/>
  <c r="C35" i="25"/>
  <c r="B35" i="25"/>
  <c r="F34" i="25"/>
  <c r="E34" i="25"/>
  <c r="D34" i="25"/>
  <c r="C34" i="25"/>
  <c r="B34" i="25"/>
  <c r="F33" i="25"/>
  <c r="E33" i="25"/>
  <c r="D33" i="25"/>
  <c r="C33" i="25"/>
  <c r="B33" i="25"/>
  <c r="F32" i="25"/>
  <c r="E32" i="25"/>
  <c r="D32" i="25"/>
  <c r="C32" i="25"/>
  <c r="B32" i="25"/>
  <c r="BX31" i="25"/>
  <c r="F31" i="25"/>
  <c r="E31" i="25"/>
  <c r="D31" i="25"/>
  <c r="C31" i="25"/>
  <c r="B31" i="25"/>
  <c r="CC30" i="25"/>
  <c r="CB30" i="25"/>
  <c r="CA30" i="25"/>
  <c r="BZ30" i="25"/>
  <c r="F30" i="25"/>
  <c r="E30" i="25"/>
  <c r="D30" i="25"/>
  <c r="C30" i="25"/>
  <c r="B30" i="25"/>
  <c r="CN29" i="25"/>
  <c r="CC29" i="25"/>
  <c r="CB29" i="25"/>
  <c r="CA29" i="25"/>
  <c r="BZ29" i="25"/>
  <c r="AR29" i="25"/>
  <c r="F29" i="25"/>
  <c r="E29" i="25"/>
  <c r="D29" i="25"/>
  <c r="C29" i="25"/>
  <c r="B29" i="25"/>
  <c r="CR28" i="25"/>
  <c r="CQ28" i="25"/>
  <c r="CP28" i="25"/>
  <c r="CC28" i="25"/>
  <c r="CB28" i="25"/>
  <c r="CA28" i="25"/>
  <c r="BZ28" i="25"/>
  <c r="AV28" i="25"/>
  <c r="AU28" i="25"/>
  <c r="AT28" i="25"/>
  <c r="AB28" i="25"/>
  <c r="F28" i="25"/>
  <c r="E28" i="25"/>
  <c r="D28" i="25"/>
  <c r="C28" i="25"/>
  <c r="B28" i="25"/>
  <c r="CR27" i="25"/>
  <c r="CQ27" i="25"/>
  <c r="CP27" i="25"/>
  <c r="CC27" i="25"/>
  <c r="CB27" i="25"/>
  <c r="CA27" i="25"/>
  <c r="BZ27" i="25"/>
  <c r="BG27" i="25"/>
  <c r="AV27" i="25"/>
  <c r="AU27" i="25"/>
  <c r="AT27" i="25"/>
  <c r="AB27" i="25"/>
  <c r="F27" i="25"/>
  <c r="E27" i="25"/>
  <c r="D27" i="25"/>
  <c r="C27" i="25"/>
  <c r="B27" i="25"/>
  <c r="CR26" i="25"/>
  <c r="CQ26" i="25"/>
  <c r="CP26" i="25"/>
  <c r="BJ26" i="25"/>
  <c r="BI26" i="25"/>
  <c r="AV26" i="25"/>
  <c r="AU26" i="25"/>
  <c r="AT26" i="25"/>
  <c r="AB26" i="25"/>
  <c r="F26" i="25"/>
  <c r="E26" i="25"/>
  <c r="D26" i="25"/>
  <c r="C26" i="25"/>
  <c r="B26" i="25"/>
  <c r="BJ25" i="25"/>
  <c r="BI25" i="25"/>
  <c r="F25" i="25"/>
  <c r="E25" i="25"/>
  <c r="D25" i="25"/>
  <c r="C25" i="25"/>
  <c r="B25" i="25"/>
  <c r="F24" i="25"/>
  <c r="E24" i="25"/>
  <c r="D24" i="25"/>
  <c r="C24" i="25"/>
  <c r="B24" i="25"/>
  <c r="F23" i="25"/>
  <c r="E23" i="25"/>
  <c r="D23" i="25"/>
  <c r="C23" i="25"/>
  <c r="B23" i="25"/>
  <c r="F22" i="25"/>
  <c r="E22" i="25"/>
  <c r="D22" i="25"/>
  <c r="C22" i="25"/>
  <c r="B22" i="25"/>
  <c r="F21" i="25"/>
  <c r="E21" i="25"/>
  <c r="D21" i="25"/>
  <c r="C21" i="25"/>
  <c r="B21" i="25"/>
  <c r="F20" i="25"/>
  <c r="E20" i="25"/>
  <c r="D20" i="25"/>
  <c r="C20" i="25"/>
  <c r="B20" i="25"/>
  <c r="F19" i="25"/>
  <c r="E19" i="25"/>
  <c r="D19" i="25"/>
  <c r="C19" i="25"/>
  <c r="B19" i="25"/>
  <c r="F18" i="25"/>
  <c r="E18" i="25"/>
  <c r="D18" i="25"/>
  <c r="C18" i="25"/>
  <c r="B18" i="25"/>
  <c r="F17" i="25"/>
  <c r="E17" i="25"/>
  <c r="D17" i="25"/>
  <c r="C17" i="25"/>
  <c r="B17" i="25"/>
  <c r="F16" i="25"/>
  <c r="E16" i="25"/>
  <c r="D16" i="25"/>
  <c r="C16" i="25"/>
  <c r="B16" i="25"/>
  <c r="F15" i="25"/>
  <c r="E15" i="25"/>
  <c r="D15" i="25"/>
  <c r="C15" i="25"/>
  <c r="B15" i="25"/>
  <c r="F14" i="25"/>
  <c r="E14" i="25"/>
  <c r="D14" i="25"/>
  <c r="C14" i="25"/>
  <c r="B14" i="25"/>
  <c r="F13" i="25"/>
  <c r="E13" i="25"/>
  <c r="D13" i="25"/>
  <c r="C13" i="25"/>
  <c r="B13" i="25"/>
  <c r="F12" i="25"/>
  <c r="E12" i="25"/>
  <c r="D12" i="25"/>
  <c r="C12" i="25"/>
  <c r="B12" i="25"/>
  <c r="F11" i="25"/>
  <c r="E11" i="25"/>
  <c r="D11" i="25"/>
  <c r="C11" i="25"/>
  <c r="B11" i="25"/>
  <c r="F10" i="25"/>
  <c r="E10" i="25"/>
  <c r="D10" i="25"/>
  <c r="C10" i="25"/>
  <c r="B10" i="25"/>
  <c r="F9" i="25"/>
  <c r="E9" i="25"/>
  <c r="D9" i="25"/>
  <c r="C9" i="25"/>
  <c r="B9" i="25"/>
  <c r="F8" i="25"/>
  <c r="E8" i="25"/>
  <c r="D8" i="25"/>
  <c r="C8" i="25"/>
  <c r="B8" i="25"/>
  <c r="F7" i="25"/>
  <c r="E7" i="25"/>
  <c r="D7" i="25"/>
  <c r="C7" i="25"/>
  <c r="B7" i="25"/>
  <c r="F6" i="25"/>
  <c r="E6" i="25"/>
  <c r="D6" i="25"/>
  <c r="C6" i="25"/>
  <c r="B6" i="25"/>
  <c r="F5" i="25"/>
  <c r="E5" i="25"/>
  <c r="D5" i="25"/>
  <c r="C5" i="25"/>
  <c r="B5" i="25"/>
  <c r="F4" i="25"/>
  <c r="E4" i="25"/>
  <c r="D4" i="25"/>
  <c r="C4" i="25"/>
  <c r="B4" i="25"/>
  <c r="CL2" i="25"/>
  <c r="CK2" i="25"/>
  <c r="CJ2" i="25"/>
  <c r="BV2" i="25"/>
  <c r="BU2" i="25"/>
  <c r="BT2" i="25"/>
  <c r="BS2" i="25"/>
  <c r="BE2" i="25"/>
  <c r="BD2" i="25"/>
  <c r="AP2" i="25"/>
  <c r="AR28" i="25" s="1"/>
  <c r="AO2" i="25"/>
  <c r="AN2" i="25"/>
  <c r="Z2" i="25"/>
  <c r="Y2" i="25"/>
  <c r="X2" i="25"/>
  <c r="BN15" i="24"/>
  <c r="BN17" i="24" s="1"/>
  <c r="BO15" i="24"/>
  <c r="BO17" i="24" s="1"/>
  <c r="BN14" i="24"/>
  <c r="BN16" i="24" s="1"/>
  <c r="BO14" i="24"/>
  <c r="BO16" i="24" s="1"/>
  <c r="BN10" i="24"/>
  <c r="BO10" i="24"/>
  <c r="BN9" i="24"/>
  <c r="BO9" i="24"/>
  <c r="BN8" i="24"/>
  <c r="BO8" i="24"/>
  <c r="BN7" i="24"/>
  <c r="BO7" i="24"/>
  <c r="BN5" i="24"/>
  <c r="BN6" i="24" s="1"/>
  <c r="BO5" i="24"/>
  <c r="BO6" i="24" s="1"/>
  <c r="BN18" i="24"/>
  <c r="BI39" i="24"/>
  <c r="BJ39" i="24" s="1"/>
  <c r="BG39" i="24"/>
  <c r="BG40" i="24" s="1"/>
  <c r="CD45" i="21"/>
  <c r="BM15" i="24" l="1"/>
  <c r="BM17" i="24" s="1"/>
  <c r="BM10" i="24"/>
  <c r="BM14" i="24"/>
  <c r="BM16" i="24" s="1"/>
  <c r="BN11" i="24"/>
  <c r="BN12" i="24" s="1"/>
  <c r="BN13" i="24" s="1"/>
  <c r="AA15" i="25"/>
  <c r="AQ5" i="25"/>
  <c r="BM8" i="24"/>
  <c r="BM5" i="24"/>
  <c r="BM6" i="24" s="1"/>
  <c r="BM22" i="24" a="1"/>
  <c r="BM22" i="24" s="1"/>
  <c r="BM3" i="24" a="1"/>
  <c r="BM3" i="24" s="1"/>
  <c r="BM4" i="24" s="1"/>
  <c r="BM9" i="24"/>
  <c r="BM11" i="24" s="1"/>
  <c r="BM12" i="24" s="1"/>
  <c r="BM13" i="24" s="1"/>
  <c r="BM21" i="24" a="1"/>
  <c r="BM21" i="24" s="1"/>
  <c r="BM24" i="24" a="1"/>
  <c r="BM24" i="24" s="1"/>
  <c r="BE40" i="24"/>
  <c r="BE41" i="24" s="1"/>
  <c r="BE42" i="24" s="1"/>
  <c r="BE43" i="24" s="1"/>
  <c r="BE44" i="24" s="1"/>
  <c r="BE45" i="24" s="1"/>
  <c r="BE46" i="24" s="1"/>
  <c r="BE47" i="24" s="1"/>
  <c r="BE48" i="24" s="1"/>
  <c r="BE49" i="24" s="1"/>
  <c r="BE50" i="24" s="1"/>
  <c r="BE51" i="24" s="1"/>
  <c r="BE52" i="24" s="1"/>
  <c r="BE53" i="24" s="1"/>
  <c r="BE54" i="24" s="1"/>
  <c r="BE55" i="24" s="1"/>
  <c r="BE56" i="24" s="1"/>
  <c r="BE57" i="24" s="1"/>
  <c r="BE58" i="24" s="1"/>
  <c r="BE59" i="24" s="1"/>
  <c r="BE60" i="24" s="1"/>
  <c r="BE61" i="24" s="1"/>
  <c r="BE62" i="24" s="1"/>
  <c r="BE63" i="24" s="1"/>
  <c r="BE64" i="24" s="1"/>
  <c r="BE65" i="24" s="1"/>
  <c r="BE66" i="24" s="1"/>
  <c r="BE67" i="24" s="1"/>
  <c r="BE68" i="24" s="1"/>
  <c r="BE69" i="24" s="1"/>
  <c r="BE70" i="24" s="1"/>
  <c r="BE71" i="24" s="1"/>
  <c r="BE72" i="24" s="1"/>
  <c r="BE73" i="24" s="1"/>
  <c r="BE74" i="24" s="1"/>
  <c r="BE75" i="24" s="1"/>
  <c r="BE76" i="24" s="1"/>
  <c r="BE77" i="24" s="1"/>
  <c r="BE78" i="24" s="1"/>
  <c r="BE79" i="24" s="1"/>
  <c r="BE80" i="24" s="1"/>
  <c r="BE81" i="24" s="1"/>
  <c r="BE82" i="24" s="1"/>
  <c r="BE83" i="24" s="1"/>
  <c r="BE84" i="24" s="1"/>
  <c r="BE85" i="24" s="1"/>
  <c r="BE86" i="24" s="1"/>
  <c r="BE87" i="24" s="1"/>
  <c r="BE88" i="24" s="1"/>
  <c r="BE89" i="24" s="1"/>
  <c r="BE90" i="24" s="1"/>
  <c r="BE91" i="24" s="1"/>
  <c r="BE92" i="24" s="1"/>
  <c r="BE93" i="24" s="1"/>
  <c r="BE94" i="24" s="1"/>
  <c r="BE95" i="24" s="1"/>
  <c r="BE96" i="24" s="1"/>
  <c r="BE97" i="24" s="1"/>
  <c r="BE98" i="24" s="1"/>
  <c r="BE99" i="24" s="1"/>
  <c r="BE100" i="24" s="1"/>
  <c r="BE101" i="24" s="1"/>
  <c r="BE102" i="24" s="1"/>
  <c r="BE103" i="24" s="1"/>
  <c r="BE104" i="24" s="1"/>
  <c r="BE105" i="24" s="1"/>
  <c r="BE106" i="24" s="1"/>
  <c r="BE107" i="24" s="1"/>
  <c r="BE108" i="24" s="1"/>
  <c r="BE109" i="24" s="1"/>
  <c r="BE110" i="24" s="1"/>
  <c r="BE111" i="24" s="1"/>
  <c r="BE112" i="24" s="1"/>
  <c r="BE113" i="24" s="1"/>
  <c r="BE114" i="24" s="1"/>
  <c r="BE115" i="24" s="1"/>
  <c r="BE116" i="24" s="1"/>
  <c r="BE117" i="24" s="1"/>
  <c r="BE118" i="24" s="1"/>
  <c r="BE119" i="24" s="1"/>
  <c r="BE120" i="24" s="1"/>
  <c r="BE121" i="24" s="1"/>
  <c r="BE122" i="24" s="1"/>
  <c r="BF122" i="24" s="1"/>
  <c r="BI40" i="24"/>
  <c r="BI41" i="24" s="1"/>
  <c r="BI42" i="24" s="1"/>
  <c r="BI43" i="24" s="1"/>
  <c r="BJ43" i="24" s="1"/>
  <c r="AA52" i="25"/>
  <c r="AQ62" i="25"/>
  <c r="AA40" i="25"/>
  <c r="AA41" i="25"/>
  <c r="AA53" i="25"/>
  <c r="AQ63" i="25"/>
  <c r="C139" i="20" a="1"/>
  <c r="C139" i="20" s="1"/>
  <c r="C151" i="20" s="1"/>
  <c r="C152" i="20" s="1"/>
  <c r="C146" i="20" a="1"/>
  <c r="C146" i="20" s="1"/>
  <c r="B14" i="34"/>
  <c r="BG41" i="24"/>
  <c r="BG42" i="24" s="1"/>
  <c r="BG43" i="24" s="1"/>
  <c r="BG44" i="24" s="1"/>
  <c r="BG45" i="24" s="1"/>
  <c r="BG46" i="24" s="1"/>
  <c r="BG47" i="24" s="1"/>
  <c r="BG48" i="24" s="1"/>
  <c r="BG49" i="24" s="1"/>
  <c r="BG50" i="24" s="1"/>
  <c r="BG51" i="24" s="1"/>
  <c r="BG52" i="24" s="1"/>
  <c r="BG53" i="24" s="1"/>
  <c r="BG54" i="24" s="1"/>
  <c r="BG55" i="24" s="1"/>
  <c r="BG56" i="24" s="1"/>
  <c r="BG57" i="24" s="1"/>
  <c r="BG58" i="24" s="1"/>
  <c r="BG59" i="24" s="1"/>
  <c r="BG60" i="24" s="1"/>
  <c r="BG61" i="24" s="1"/>
  <c r="BG62" i="24" s="1"/>
  <c r="BG63" i="24" s="1"/>
  <c r="BG64" i="24" s="1"/>
  <c r="BG65" i="24" s="1"/>
  <c r="BG66" i="24" s="1"/>
  <c r="BG67" i="24" s="1"/>
  <c r="BG68" i="24" s="1"/>
  <c r="BG69" i="24" s="1"/>
  <c r="BG70" i="24" s="1"/>
  <c r="BG71" i="24" s="1"/>
  <c r="BG72" i="24" s="1"/>
  <c r="BG73" i="24" s="1"/>
  <c r="BG74" i="24" s="1"/>
  <c r="BG75" i="24" s="1"/>
  <c r="BG76" i="24" s="1"/>
  <c r="BG77" i="24" s="1"/>
  <c r="BG78" i="24" s="1"/>
  <c r="BG79" i="24" s="1"/>
  <c r="BG80" i="24" s="1"/>
  <c r="BG81" i="24" s="1"/>
  <c r="BG82" i="24" s="1"/>
  <c r="BG83" i="24" s="1"/>
  <c r="BG84" i="24" s="1"/>
  <c r="BG85" i="24" s="1"/>
  <c r="BG86" i="24" s="1"/>
  <c r="BG87" i="24" s="1"/>
  <c r="BG88" i="24" s="1"/>
  <c r="BG89" i="24" s="1"/>
  <c r="BG90" i="24" s="1"/>
  <c r="BG91" i="24" s="1"/>
  <c r="BG92" i="24" s="1"/>
  <c r="BG93" i="24" s="1"/>
  <c r="BG94" i="24" s="1"/>
  <c r="BG95" i="24" s="1"/>
  <c r="BG96" i="24" s="1"/>
  <c r="BG97" i="24" s="1"/>
  <c r="BG98" i="24" s="1"/>
  <c r="BG99" i="24" s="1"/>
  <c r="BG100" i="24" s="1"/>
  <c r="BG101" i="24" s="1"/>
  <c r="BG102" i="24" s="1"/>
  <c r="BG103" i="24" s="1"/>
  <c r="BG104" i="24" s="1"/>
  <c r="BG105" i="24" s="1"/>
  <c r="BG106" i="24" s="1"/>
  <c r="BG107" i="24" s="1"/>
  <c r="BG108" i="24" s="1"/>
  <c r="BG109" i="24" s="1"/>
  <c r="BG110" i="24" s="1"/>
  <c r="BG111" i="24" s="1"/>
  <c r="BG112" i="24" s="1"/>
  <c r="BG113" i="24" s="1"/>
  <c r="BG114" i="24" s="1"/>
  <c r="BG115" i="24" s="1"/>
  <c r="BG116" i="24" s="1"/>
  <c r="BG117" i="24" s="1"/>
  <c r="BG118" i="24" s="1"/>
  <c r="BG119" i="24" s="1"/>
  <c r="BG120" i="24" s="1"/>
  <c r="BG121" i="24" s="1"/>
  <c r="BG122" i="24" s="1"/>
  <c r="BH122" i="24" s="1"/>
  <c r="BH40" i="24"/>
  <c r="BO18" i="24"/>
  <c r="BO19" i="24" s="1"/>
  <c r="G4" i="25"/>
  <c r="BI44" i="24"/>
  <c r="BH89" i="24"/>
  <c r="BH110" i="24"/>
  <c r="BH69" i="24"/>
  <c r="BH84" i="24"/>
  <c r="BH106" i="24"/>
  <c r="BM7" i="24"/>
  <c r="G12" i="34"/>
  <c r="C135" i="34"/>
  <c r="E15" i="32"/>
  <c r="B16" i="32"/>
  <c r="C137" i="32"/>
  <c r="G14" i="32"/>
  <c r="B14" i="20"/>
  <c r="B15" i="20" s="1"/>
  <c r="E15" i="20" s="1"/>
  <c r="C141" i="20"/>
  <c r="C142" i="20" s="1"/>
  <c r="C135" i="20"/>
  <c r="C144" i="20"/>
  <c r="F13" i="20"/>
  <c r="G119" i="25"/>
  <c r="BF19" i="25"/>
  <c r="BF13" i="25"/>
  <c r="G66" i="25"/>
  <c r="BF11" i="25"/>
  <c r="BF15" i="25"/>
  <c r="BF17" i="25"/>
  <c r="AA24" i="25"/>
  <c r="AQ20" i="25"/>
  <c r="P6" i="25"/>
  <c r="AA6" i="25"/>
  <c r="CM19" i="25"/>
  <c r="G60" i="25"/>
  <c r="G120" i="25"/>
  <c r="AQ24" i="25"/>
  <c r="BF16" i="25"/>
  <c r="BF18" i="25"/>
  <c r="CM6" i="25"/>
  <c r="BF5" i="25"/>
  <c r="BF26" i="25"/>
  <c r="G40" i="25"/>
  <c r="BW11" i="25"/>
  <c r="S7" i="25"/>
  <c r="AQ12" i="25"/>
  <c r="AA7" i="25"/>
  <c r="AA9" i="25"/>
  <c r="AQ7" i="25"/>
  <c r="AQ9" i="25"/>
  <c r="CM22" i="25"/>
  <c r="AQ10" i="25"/>
  <c r="BF7" i="25"/>
  <c r="BF9" i="25"/>
  <c r="AA21" i="25"/>
  <c r="G86" i="25"/>
  <c r="G88" i="25"/>
  <c r="S4" i="25"/>
  <c r="G37" i="25"/>
  <c r="G108" i="25"/>
  <c r="BW9" i="25"/>
  <c r="G12" i="25"/>
  <c r="G30" i="25"/>
  <c r="G70" i="25"/>
  <c r="G98" i="25"/>
  <c r="G122" i="25"/>
  <c r="N4" i="25" a="1"/>
  <c r="AA10" i="25"/>
  <c r="CM13" i="25"/>
  <c r="G36" i="25"/>
  <c r="G48" i="25"/>
  <c r="G76" i="25"/>
  <c r="BF6" i="25"/>
  <c r="AA16" i="25"/>
  <c r="AA23" i="25"/>
  <c r="G38" i="25"/>
  <c r="G80" i="25"/>
  <c r="CM29" i="25"/>
  <c r="G11" i="25"/>
  <c r="G23" i="25"/>
  <c r="G29" i="25"/>
  <c r="G58" i="25"/>
  <c r="G118" i="25"/>
  <c r="AQ22" i="25"/>
  <c r="AA8" i="25"/>
  <c r="CM12" i="25"/>
  <c r="G20" i="25"/>
  <c r="G42" i="25"/>
  <c r="G96" i="25"/>
  <c r="AA25" i="25"/>
  <c r="G35" i="25"/>
  <c r="G46" i="25"/>
  <c r="G68" i="25"/>
  <c r="G100" i="25"/>
  <c r="AQ8" i="25"/>
  <c r="CM14" i="25"/>
  <c r="CM18" i="25"/>
  <c r="G47" i="25"/>
  <c r="G50" i="25"/>
  <c r="G106" i="25"/>
  <c r="G123" i="25"/>
  <c r="G21" i="25"/>
  <c r="G10" i="25"/>
  <c r="CM5" i="25"/>
  <c r="G8" i="25"/>
  <c r="AA19" i="25"/>
  <c r="AQ23" i="25"/>
  <c r="G56" i="25"/>
  <c r="G78" i="25"/>
  <c r="G116" i="25"/>
  <c r="G6" i="25"/>
  <c r="AA12" i="25"/>
  <c r="CM16" i="25"/>
  <c r="R4" i="25"/>
  <c r="AA5" i="25"/>
  <c r="CM8" i="25"/>
  <c r="AA11" i="25"/>
  <c r="AQ13" i="25"/>
  <c r="AQ19" i="25"/>
  <c r="AA20" i="25"/>
  <c r="G57" i="25"/>
  <c r="G110" i="25"/>
  <c r="Z5" i="26"/>
  <c r="Q4" i="26"/>
  <c r="P4" i="26"/>
  <c r="Q8" i="26"/>
  <c r="R6" i="26"/>
  <c r="O7" i="26"/>
  <c r="R8" i="26"/>
  <c r="S6" i="26"/>
  <c r="P7" i="26"/>
  <c r="Q7" i="26"/>
  <c r="AT36" i="26"/>
  <c r="BZ41" i="26"/>
  <c r="BW28" i="26"/>
  <c r="BV75" i="26"/>
  <c r="BV13" i="26"/>
  <c r="BV119" i="26"/>
  <c r="BV118" i="26"/>
  <c r="BV25" i="26"/>
  <c r="BV68" i="26"/>
  <c r="BV54" i="26"/>
  <c r="BV41" i="26"/>
  <c r="BV38" i="26"/>
  <c r="BV23" i="26"/>
  <c r="BV10" i="26"/>
  <c r="BV7" i="26"/>
  <c r="BV105" i="26"/>
  <c r="BV30" i="26"/>
  <c r="BV73" i="26"/>
  <c r="BV69" i="26"/>
  <c r="BV59" i="26"/>
  <c r="BV24" i="26"/>
  <c r="CL4" i="26"/>
  <c r="S8" i="26"/>
  <c r="BV121" i="26"/>
  <c r="BV17" i="26"/>
  <c r="BV36" i="26"/>
  <c r="BV42" i="26"/>
  <c r="BV52" i="26"/>
  <c r="BV21" i="26"/>
  <c r="BV76" i="26"/>
  <c r="AE37" i="26"/>
  <c r="AE36" i="26"/>
  <c r="Z99" i="26"/>
  <c r="Z61" i="26"/>
  <c r="Z49" i="26"/>
  <c r="Z33" i="26"/>
  <c r="Z12" i="26"/>
  <c r="Z110" i="26"/>
  <c r="Z100" i="26"/>
  <c r="Z87" i="26"/>
  <c r="Z37" i="26"/>
  <c r="Z34" i="26"/>
  <c r="Z21" i="26"/>
  <c r="Z116" i="26"/>
  <c r="Z101" i="26"/>
  <c r="Z81" i="26"/>
  <c r="Z44" i="26"/>
  <c r="Z28" i="26"/>
  <c r="Z119" i="26"/>
  <c r="Z118" i="26"/>
  <c r="Z117" i="26"/>
  <c r="Z114" i="26"/>
  <c r="Z71" i="26"/>
  <c r="Z8" i="26"/>
  <c r="Z121" i="26"/>
  <c r="Z51" i="26"/>
  <c r="Z9" i="26"/>
  <c r="Z108" i="26"/>
  <c r="Z82" i="26"/>
  <c r="Z58" i="26"/>
  <c r="Z36" i="26"/>
  <c r="CL87" i="26"/>
  <c r="CL76" i="26"/>
  <c r="CL75" i="26"/>
  <c r="CL74" i="26"/>
  <c r="CL73" i="26"/>
  <c r="CL72" i="26"/>
  <c r="CL67" i="26"/>
  <c r="CL57" i="26"/>
  <c r="CL22" i="26"/>
  <c r="CL107" i="26"/>
  <c r="CL97" i="26"/>
  <c r="CL77" i="26"/>
  <c r="CL49" i="26"/>
  <c r="CO38" i="26"/>
  <c r="CL99" i="26"/>
  <c r="CL58" i="26"/>
  <c r="CL43" i="26"/>
  <c r="CL32" i="26"/>
  <c r="CL27" i="26"/>
  <c r="CM26" i="26"/>
  <c r="CL63" i="26"/>
  <c r="CL90" i="26"/>
  <c r="CL82" i="26"/>
  <c r="CL46" i="26"/>
  <c r="CL41" i="26"/>
  <c r="CL120" i="26"/>
  <c r="CL119" i="26"/>
  <c r="CL118" i="26"/>
  <c r="CL117" i="26"/>
  <c r="CL88" i="26"/>
  <c r="CL62" i="26"/>
  <c r="CL25" i="26"/>
  <c r="CL65" i="26"/>
  <c r="CL35" i="26"/>
  <c r="CL17" i="26"/>
  <c r="CL47" i="26"/>
  <c r="CL7" i="26"/>
  <c r="CL79" i="26"/>
  <c r="CL89" i="26"/>
  <c r="CL55" i="26"/>
  <c r="CL24" i="26"/>
  <c r="CL95" i="26"/>
  <c r="CL83" i="26"/>
  <c r="CL52" i="26"/>
  <c r="O4" i="26"/>
  <c r="BV8" i="26"/>
  <c r="Z16" i="26"/>
  <c r="Z20" i="26"/>
  <c r="CL21" i="26"/>
  <c r="Z30" i="26"/>
  <c r="CL36" i="26"/>
  <c r="CL54" i="26"/>
  <c r="Z59" i="26"/>
  <c r="BV74" i="26"/>
  <c r="BV83" i="26"/>
  <c r="Z90" i="26"/>
  <c r="BV95" i="26"/>
  <c r="Z112" i="26"/>
  <c r="BV39" i="26"/>
  <c r="BV97" i="26"/>
  <c r="AP90" i="26"/>
  <c r="AP110" i="26"/>
  <c r="AP42" i="26"/>
  <c r="AP100" i="26"/>
  <c r="AP34" i="26"/>
  <c r="AP31" i="26"/>
  <c r="AP105" i="26"/>
  <c r="AP47" i="26"/>
  <c r="AP45" i="26"/>
  <c r="AP41" i="26"/>
  <c r="AP70" i="26"/>
  <c r="AP18" i="26"/>
  <c r="AP7" i="26"/>
  <c r="AP97" i="26"/>
  <c r="AP80" i="26"/>
  <c r="AP115" i="26"/>
  <c r="AP81" i="26"/>
  <c r="CP37" i="26"/>
  <c r="CM27" i="26"/>
  <c r="AP10" i="26"/>
  <c r="AP22" i="26"/>
  <c r="AP25" i="26"/>
  <c r="BV31" i="26"/>
  <c r="BV35" i="26"/>
  <c r="AS36" i="26"/>
  <c r="CL39" i="26"/>
  <c r="AP49" i="26"/>
  <c r="BV57" i="26"/>
  <c r="AP58" i="26"/>
  <c r="Z64" i="26"/>
  <c r="Z67" i="26"/>
  <c r="CL68" i="26"/>
  <c r="Z70" i="26"/>
  <c r="AP82" i="26"/>
  <c r="BV85" i="26"/>
  <c r="AP108" i="26"/>
  <c r="BV111" i="26"/>
  <c r="Z123" i="26"/>
  <c r="BV6" i="26"/>
  <c r="AP9" i="26"/>
  <c r="AP20" i="26"/>
  <c r="CB41" i="26"/>
  <c r="CL42" i="26"/>
  <c r="BV44" i="26"/>
  <c r="CL50" i="26"/>
  <c r="Z56" i="26"/>
  <c r="AP64" i="26"/>
  <c r="AP67" i="26"/>
  <c r="BV81" i="26"/>
  <c r="CL85" i="26"/>
  <c r="CL91" i="26"/>
  <c r="AP93" i="26"/>
  <c r="CL104" i="26"/>
  <c r="Z106" i="26"/>
  <c r="BV116" i="26"/>
  <c r="AP120" i="26"/>
  <c r="AP121" i="26"/>
  <c r="AP123" i="26"/>
  <c r="AU37" i="26"/>
  <c r="AQ28" i="26"/>
  <c r="AS38" i="26" s="1"/>
  <c r="O8" i="26"/>
  <c r="R4" i="26"/>
  <c r="O5" i="26"/>
  <c r="AP8" i="26"/>
  <c r="CL13" i="26"/>
  <c r="Z27" i="26"/>
  <c r="Z29" i="26"/>
  <c r="AU36" i="26"/>
  <c r="AP38" i="26"/>
  <c r="AP43" i="26"/>
  <c r="CL45" i="26"/>
  <c r="AP65" i="26"/>
  <c r="CL81" i="26"/>
  <c r="BV87" i="26"/>
  <c r="CL100" i="26"/>
  <c r="AP103" i="26"/>
  <c r="AP106" i="26"/>
  <c r="BV113" i="26"/>
  <c r="Z115" i="26"/>
  <c r="CL116" i="26"/>
  <c r="AP117" i="26"/>
  <c r="AP118" i="26"/>
  <c r="BE89" i="26"/>
  <c r="BE41" i="26"/>
  <c r="BH35" i="26"/>
  <c r="BE102" i="26"/>
  <c r="BE99" i="26"/>
  <c r="BE59" i="26"/>
  <c r="BE54" i="26"/>
  <c r="BE37" i="26"/>
  <c r="BE105" i="26"/>
  <c r="BE69" i="26"/>
  <c r="BE45" i="26"/>
  <c r="BE14" i="26"/>
  <c r="BE107" i="26"/>
  <c r="BE106" i="26"/>
  <c r="BE85" i="26"/>
  <c r="BE71" i="26"/>
  <c r="BE64" i="26"/>
  <c r="BE56" i="26"/>
  <c r="BE27" i="26"/>
  <c r="BE22" i="26"/>
  <c r="BF25" i="26"/>
  <c r="BH34" i="26" s="1"/>
  <c r="BE81" i="26"/>
  <c r="BE57" i="26"/>
  <c r="BE40" i="26"/>
  <c r="P6" i="26"/>
  <c r="R5" i="26"/>
  <c r="P8" i="26"/>
  <c r="Q5" i="26"/>
  <c r="P5" i="26"/>
  <c r="AP4" i="26"/>
  <c r="S4" i="26"/>
  <c r="S5" i="26"/>
  <c r="BE8" i="26"/>
  <c r="AP11" i="26"/>
  <c r="BV12" i="26"/>
  <c r="BE15" i="26"/>
  <c r="BE25" i="26"/>
  <c r="AP27" i="26"/>
  <c r="BE29" i="26"/>
  <c r="CL33" i="26"/>
  <c r="AP40" i="26"/>
  <c r="BY41" i="26"/>
  <c r="AP50" i="26"/>
  <c r="BV53" i="26"/>
  <c r="CL61" i="26"/>
  <c r="BV64" i="26"/>
  <c r="BV70" i="26"/>
  <c r="BV77" i="26"/>
  <c r="BE88" i="26"/>
  <c r="BE90" i="26"/>
  <c r="BV93" i="26"/>
  <c r="AP112" i="26"/>
  <c r="BV123" i="26"/>
  <c r="BI34" i="26"/>
  <c r="BE4" i="26"/>
  <c r="Z4" i="26"/>
  <c r="O6" i="26"/>
  <c r="BV19" i="26"/>
  <c r="CP38" i="26"/>
  <c r="CA41" i="26"/>
  <c r="BV43" i="26"/>
  <c r="AP48" i="26"/>
  <c r="BE50" i="26"/>
  <c r="AP52" i="26"/>
  <c r="CL53" i="26"/>
  <c r="CL64" i="26"/>
  <c r="BE80" i="26"/>
  <c r="BE83" i="26"/>
  <c r="AP92" i="26"/>
  <c r="CL93" i="26"/>
  <c r="BE95" i="26"/>
  <c r="BE101" i="26"/>
  <c r="BV103" i="26"/>
  <c r="Z105" i="26"/>
  <c r="BV106" i="26"/>
  <c r="BE112" i="26"/>
  <c r="BE115" i="26"/>
  <c r="CL123" i="26"/>
  <c r="BW27" i="26"/>
  <c r="BV88" i="26"/>
  <c r="BV98" i="26"/>
  <c r="BV78" i="26"/>
  <c r="BV61" i="26"/>
  <c r="BV58" i="26"/>
  <c r="BV33" i="26"/>
  <c r="BV15" i="26"/>
  <c r="BV109" i="26"/>
  <c r="BV108" i="26"/>
  <c r="BV86" i="26"/>
  <c r="BV51" i="26"/>
  <c r="BV50" i="26"/>
  <c r="BV49" i="26"/>
  <c r="BV48" i="26"/>
  <c r="BV37" i="26"/>
  <c r="R7" i="26"/>
  <c r="S7" i="26"/>
  <c r="BV4" i="26"/>
  <c r="Q6" i="26"/>
  <c r="BE10" i="26"/>
  <c r="Z14" i="26"/>
  <c r="CL15" i="26"/>
  <c r="BE16" i="26"/>
  <c r="CL19" i="26"/>
  <c r="CL23" i="26"/>
  <c r="BV27" i="26"/>
  <c r="AP32" i="26"/>
  <c r="AP36" i="26"/>
  <c r="BV45" i="26"/>
  <c r="AP53" i="26"/>
  <c r="BE58" i="26"/>
  <c r="CL59" i="26"/>
  <c r="Z76" i="26"/>
  <c r="BV80" i="26"/>
  <c r="BV84" i="26"/>
  <c r="AP87" i="26"/>
  <c r="Z89" i="26"/>
  <c r="Z94" i="26"/>
  <c r="CL98" i="26"/>
  <c r="BE100" i="26"/>
  <c r="Z102" i="26"/>
  <c r="BE108" i="26"/>
  <c r="CL109" i="26"/>
  <c r="BV115" i="26"/>
  <c r="BE116" i="26"/>
  <c r="BV66" i="26"/>
  <c r="AP69" i="26"/>
  <c r="CL70" i="26"/>
  <c r="BE78" i="26"/>
  <c r="AP96" i="26"/>
  <c r="CL102" i="26"/>
  <c r="CL106" i="26"/>
  <c r="AP109" i="26"/>
  <c r="BV110" i="26"/>
  <c r="CL111" i="26"/>
  <c r="Z113" i="26"/>
  <c r="BV114" i="26"/>
  <c r="Z120" i="26"/>
  <c r="AP122" i="26"/>
  <c r="Z91" i="26"/>
  <c r="AC38" i="26"/>
  <c r="Z26" i="26"/>
  <c r="Z25" i="26"/>
  <c r="Z122" i="26"/>
  <c r="Z86" i="26"/>
  <c r="Z39" i="26"/>
  <c r="Z104" i="26"/>
  <c r="Z83" i="26"/>
  <c r="Z63" i="26"/>
  <c r="Z96" i="26"/>
  <c r="Z84" i="26"/>
  <c r="AC37" i="26"/>
  <c r="Z23" i="26"/>
  <c r="BW29" i="26"/>
  <c r="CL11" i="26"/>
  <c r="Z18" i="26"/>
  <c r="AP23" i="26"/>
  <c r="CL26" i="26"/>
  <c r="BV34" i="26"/>
  <c r="AC36" i="26"/>
  <c r="CA38" i="26"/>
  <c r="AP44" i="26"/>
  <c r="Z46" i="26"/>
  <c r="BV47" i="26"/>
  <c r="Z52" i="26"/>
  <c r="Z55" i="26"/>
  <c r="BV56" i="26"/>
  <c r="BE65" i="26"/>
  <c r="CL66" i="26"/>
  <c r="BE84" i="26"/>
  <c r="BV92" i="26"/>
  <c r="Z95" i="26"/>
  <c r="BE96" i="26"/>
  <c r="BV101" i="26"/>
  <c r="Z111" i="26"/>
  <c r="AP113" i="26"/>
  <c r="CL114" i="26"/>
  <c r="AD37" i="26"/>
  <c r="AD36" i="26"/>
  <c r="CL6" i="26"/>
  <c r="Z7" i="26"/>
  <c r="BV9" i="26"/>
  <c r="CL10" i="26"/>
  <c r="Z15" i="26"/>
  <c r="BV16" i="26"/>
  <c r="Z17" i="26"/>
  <c r="Z24" i="26"/>
  <c r="AP28" i="26"/>
  <c r="BV29" i="26"/>
  <c r="Z38" i="26"/>
  <c r="BE44" i="26"/>
  <c r="AP46" i="26"/>
  <c r="CL51" i="26"/>
  <c r="AP55" i="26"/>
  <c r="CL56" i="26"/>
  <c r="BE60" i="26"/>
  <c r="BV65" i="26"/>
  <c r="Z66" i="26"/>
  <c r="Z68" i="26"/>
  <c r="BE73" i="26"/>
  <c r="AP77" i="26"/>
  <c r="CL78" i="26"/>
  <c r="Z79" i="26"/>
  <c r="CL92" i="26"/>
  <c r="AP95" i="26"/>
  <c r="BV96" i="26"/>
  <c r="CL101" i="26"/>
  <c r="BE113" i="26"/>
  <c r="AP19" i="26"/>
  <c r="Z32" i="26"/>
  <c r="Z53" i="26"/>
  <c r="BV62" i="26"/>
  <c r="BV67" i="26"/>
  <c r="AP74" i="26"/>
  <c r="Z80" i="26"/>
  <c r="BV82" i="26"/>
  <c r="AP89" i="26"/>
  <c r="BV90" i="26"/>
  <c r="AP94" i="26"/>
  <c r="CL103" i="26"/>
  <c r="BV112" i="26"/>
  <c r="AP119" i="26"/>
  <c r="AQ27" i="26"/>
  <c r="CQ38" i="26"/>
  <c r="CL8" i="26"/>
  <c r="BV40" i="26"/>
  <c r="BE61" i="26"/>
  <c r="AP66" i="26"/>
  <c r="Z88" i="26"/>
  <c r="Z93" i="26"/>
  <c r="AP101" i="26"/>
  <c r="BV102" i="26"/>
  <c r="AP111" i="26"/>
  <c r="CL112" i="26"/>
  <c r="BE118" i="26"/>
  <c r="BV122" i="26"/>
  <c r="CL16" i="26"/>
  <c r="BV22" i="26"/>
  <c r="CL38" i="26"/>
  <c r="CL40" i="26"/>
  <c r="BE48" i="26"/>
  <c r="Z69" i="26"/>
  <c r="BV72" i="26"/>
  <c r="AP84" i="26"/>
  <c r="Z92" i="26"/>
  <c r="BE93" i="26"/>
  <c r="CL94" i="26"/>
  <c r="BV107" i="26"/>
  <c r="Z42" i="26"/>
  <c r="BV60" i="26"/>
  <c r="BV117" i="26"/>
  <c r="CL121" i="26"/>
  <c r="BE28" i="26"/>
  <c r="BE53" i="26"/>
  <c r="CL71" i="26"/>
  <c r="Z85" i="26"/>
  <c r="BE103" i="26"/>
  <c r="G90" i="25"/>
  <c r="G121" i="25"/>
  <c r="BF14" i="25"/>
  <c r="G14" i="25"/>
  <c r="Q6" i="25"/>
  <c r="BW14" i="25"/>
  <c r="BW18" i="25"/>
  <c r="Q4" i="25"/>
  <c r="BW20" i="25"/>
  <c r="BW23" i="25"/>
  <c r="G7" i="25"/>
  <c r="G26" i="25"/>
  <c r="AQ26" i="25"/>
  <c r="P8" i="25"/>
  <c r="CM4" i="25"/>
  <c r="T8" i="25"/>
  <c r="T4" i="25"/>
  <c r="BF22" i="25"/>
  <c r="G22" i="25"/>
  <c r="P5" i="25"/>
  <c r="BW7" i="25"/>
  <c r="BW17" i="25"/>
  <c r="BW19" i="25"/>
  <c r="G19" i="25"/>
  <c r="BW25" i="25"/>
  <c r="BF55" i="25"/>
  <c r="BF37" i="25"/>
  <c r="BF122" i="25"/>
  <c r="BF120" i="25"/>
  <c r="BF110" i="25"/>
  <c r="BF100" i="25"/>
  <c r="BF90" i="25"/>
  <c r="BF80" i="25"/>
  <c r="BF70" i="25"/>
  <c r="BF60" i="25"/>
  <c r="BF50" i="25"/>
  <c r="BF42" i="25"/>
  <c r="BF41" i="25"/>
  <c r="BF119" i="25"/>
  <c r="BF118" i="25"/>
  <c r="BF108" i="25"/>
  <c r="BF98" i="25"/>
  <c r="BF88" i="25"/>
  <c r="BF78" i="25"/>
  <c r="BF68" i="25"/>
  <c r="BF58" i="25"/>
  <c r="BF48" i="25"/>
  <c r="BF38" i="25"/>
  <c r="BF36" i="25"/>
  <c r="BF117" i="25"/>
  <c r="BF107" i="25"/>
  <c r="BF97" i="25"/>
  <c r="BF87" i="25"/>
  <c r="BF77" i="25"/>
  <c r="BF67" i="25"/>
  <c r="BF57" i="25"/>
  <c r="BF47" i="25"/>
  <c r="BF32" i="25"/>
  <c r="BF31" i="25"/>
  <c r="BG25" i="25"/>
  <c r="BI34" i="25" s="1"/>
  <c r="BF21" i="25"/>
  <c r="BF28" i="25"/>
  <c r="BF25" i="25"/>
  <c r="BF12" i="25"/>
  <c r="BF24" i="25"/>
  <c r="BF23" i="25"/>
  <c r="BF20" i="25"/>
  <c r="Q5" i="25"/>
  <c r="AQ4" i="25"/>
  <c r="Q8" i="25"/>
  <c r="T5" i="25"/>
  <c r="Q7" i="25"/>
  <c r="S5" i="25"/>
  <c r="R5" i="25"/>
  <c r="BW6" i="25"/>
  <c r="G13" i="25"/>
  <c r="BG26" i="25"/>
  <c r="BI35" i="25" s="1"/>
  <c r="BF4" i="25"/>
  <c r="S6" i="25"/>
  <c r="R6" i="25"/>
  <c r="R8" i="25"/>
  <c r="T6" i="25"/>
  <c r="R7" i="25"/>
  <c r="BW8" i="25"/>
  <c r="BX28" i="25"/>
  <c r="CC39" i="25" s="1"/>
  <c r="AQ15" i="25"/>
  <c r="G15" i="25"/>
  <c r="G17" i="25"/>
  <c r="AQ17" i="25"/>
  <c r="BW10" i="25"/>
  <c r="BW15" i="25"/>
  <c r="G5" i="25"/>
  <c r="BF8" i="25"/>
  <c r="BW12" i="25"/>
  <c r="BW54" i="25"/>
  <c r="BW34" i="25"/>
  <c r="BW122" i="25"/>
  <c r="BW36" i="25"/>
  <c r="BW121" i="25"/>
  <c r="BW119" i="25"/>
  <c r="BW109" i="25"/>
  <c r="BW99" i="25"/>
  <c r="BW89" i="25"/>
  <c r="BW79" i="25"/>
  <c r="BW69" i="25"/>
  <c r="BW59" i="25"/>
  <c r="BW49" i="25"/>
  <c r="BW45" i="25"/>
  <c r="BW35" i="25"/>
  <c r="BW33" i="25"/>
  <c r="BW118" i="25"/>
  <c r="BW117" i="25"/>
  <c r="BW107" i="25"/>
  <c r="BW97" i="25"/>
  <c r="BW87" i="25"/>
  <c r="BW77" i="25"/>
  <c r="BW67" i="25"/>
  <c r="BW57" i="25"/>
  <c r="BW47" i="25"/>
  <c r="BW32" i="25"/>
  <c r="BW116" i="25"/>
  <c r="BW106" i="25"/>
  <c r="BW96" i="25"/>
  <c r="BW86" i="25"/>
  <c r="BW76" i="25"/>
  <c r="BW66" i="25"/>
  <c r="BW56" i="25"/>
  <c r="BW46" i="25"/>
  <c r="BW40" i="25"/>
  <c r="BW37" i="25"/>
  <c r="BW13" i="25"/>
  <c r="BX27" i="25"/>
  <c r="BZ38" i="25" s="1"/>
  <c r="BW24" i="25"/>
  <c r="BW22" i="25"/>
  <c r="S8" i="25"/>
  <c r="P7" i="25"/>
  <c r="BW4" i="25"/>
  <c r="BW5" i="25"/>
  <c r="T7" i="25"/>
  <c r="AQ16" i="25"/>
  <c r="G16" i="25"/>
  <c r="BF86" i="25"/>
  <c r="AQ90" i="25"/>
  <c r="AA94" i="25"/>
  <c r="AA96" i="25"/>
  <c r="CM97" i="25"/>
  <c r="CM99" i="25"/>
  <c r="BW101" i="25"/>
  <c r="BW103" i="25"/>
  <c r="BW105" i="25"/>
  <c r="BF109" i="25"/>
  <c r="AQ113" i="25"/>
  <c r="AQ115" i="25"/>
  <c r="AA117" i="25"/>
  <c r="AQ6" i="25"/>
  <c r="AA27" i="25"/>
  <c r="G27" i="25"/>
  <c r="AA35" i="25"/>
  <c r="BW38" i="25"/>
  <c r="BF40" i="25"/>
  <c r="AA44" i="25"/>
  <c r="CM47" i="25"/>
  <c r="BW51" i="25"/>
  <c r="BW55" i="25"/>
  <c r="AA67" i="25"/>
  <c r="CM74" i="25"/>
  <c r="BF82" i="25"/>
  <c r="G9" i="25"/>
  <c r="G18" i="25"/>
  <c r="BW21" i="25"/>
  <c r="AA29" i="25"/>
  <c r="AQ30" i="25"/>
  <c r="AQ44" i="25"/>
  <c r="CM51" i="25"/>
  <c r="BF61" i="25"/>
  <c r="BF63" i="25"/>
  <c r="BF65" i="25"/>
  <c r="AQ67" i="25"/>
  <c r="AA71" i="25"/>
  <c r="AA73" i="25"/>
  <c r="AA75" i="25"/>
  <c r="CM80" i="25"/>
  <c r="BW82" i="25"/>
  <c r="BW84" i="25"/>
  <c r="AQ92" i="25"/>
  <c r="AQ94" i="25"/>
  <c r="AQ96" i="25"/>
  <c r="CM101" i="25"/>
  <c r="CM103" i="25"/>
  <c r="BF111" i="25"/>
  <c r="BF113" i="25"/>
  <c r="BF115" i="25"/>
  <c r="AQ117" i="25"/>
  <c r="AQ56" i="25"/>
  <c r="AQ46" i="25"/>
  <c r="AQ40" i="25"/>
  <c r="AQ39" i="25"/>
  <c r="AQ35" i="25"/>
  <c r="AT38" i="25"/>
  <c r="AR26" i="25"/>
  <c r="AT36" i="25" s="1"/>
  <c r="AQ121" i="25"/>
  <c r="AQ111" i="25"/>
  <c r="AQ101" i="25"/>
  <c r="AQ91" i="25"/>
  <c r="AQ81" i="25"/>
  <c r="AQ71" i="25"/>
  <c r="AQ61" i="25"/>
  <c r="AQ51" i="25"/>
  <c r="AQ34" i="25"/>
  <c r="AQ120" i="25"/>
  <c r="AQ119" i="25"/>
  <c r="AQ109" i="25"/>
  <c r="AQ99" i="25"/>
  <c r="AQ89" i="25"/>
  <c r="AQ79" i="25"/>
  <c r="AQ69" i="25"/>
  <c r="AQ59" i="25"/>
  <c r="AQ49" i="25"/>
  <c r="AQ45" i="25"/>
  <c r="AQ33" i="25"/>
  <c r="AQ118" i="25"/>
  <c r="AQ108" i="25"/>
  <c r="AQ98" i="25"/>
  <c r="AQ88" i="25"/>
  <c r="AQ78" i="25"/>
  <c r="AQ68" i="25"/>
  <c r="AQ58" i="25"/>
  <c r="AQ48" i="25"/>
  <c r="CN27" i="25"/>
  <c r="CP37" i="25" s="1"/>
  <c r="CM17" i="25"/>
  <c r="CM21" i="25"/>
  <c r="AA22" i="25"/>
  <c r="AQ31" i="25"/>
  <c r="CM36" i="25"/>
  <c r="AQ42" i="25"/>
  <c r="AA46" i="25"/>
  <c r="CM49" i="25"/>
  <c r="BW53" i="25"/>
  <c r="BF59" i="25"/>
  <c r="AQ65" i="25"/>
  <c r="CM72" i="25"/>
  <c r="BW78" i="25"/>
  <c r="BW80" i="25"/>
  <c r="BF84" i="25"/>
  <c r="AU38" i="25"/>
  <c r="AR27" i="25"/>
  <c r="AT37" i="25" s="1"/>
  <c r="CN28" i="25"/>
  <c r="CR38" i="25" s="1"/>
  <c r="AV38" i="25"/>
  <c r="P4" i="25"/>
  <c r="AA17" i="25"/>
  <c r="AQ18" i="25"/>
  <c r="CM24" i="25"/>
  <c r="G25" i="25"/>
  <c r="AA26" i="25"/>
  <c r="BF27" i="25"/>
  <c r="BF30" i="25"/>
  <c r="BW31" i="25"/>
  <c r="BF33" i="25"/>
  <c r="BF35" i="25"/>
  <c r="BW42" i="25"/>
  <c r="BF44" i="25"/>
  <c r="BF46" i="25"/>
  <c r="AQ50" i="25"/>
  <c r="AA54" i="25"/>
  <c r="AA56" i="25"/>
  <c r="CM57" i="25"/>
  <c r="CM59" i="25"/>
  <c r="BW61" i="25"/>
  <c r="BW63" i="25"/>
  <c r="BW65" i="25"/>
  <c r="BF69" i="25"/>
  <c r="AQ73" i="25"/>
  <c r="AQ75" i="25"/>
  <c r="AA77" i="25"/>
  <c r="CM82" i="25"/>
  <c r="CM84" i="25"/>
  <c r="BW88" i="25"/>
  <c r="BW90" i="25"/>
  <c r="BF92" i="25"/>
  <c r="BF94" i="25"/>
  <c r="BF96" i="25"/>
  <c r="AQ100" i="25"/>
  <c r="AA104" i="25"/>
  <c r="AA106" i="25"/>
  <c r="CM107" i="25"/>
  <c r="CM109" i="25"/>
  <c r="BW111" i="25"/>
  <c r="BW113" i="25"/>
  <c r="BW115" i="25"/>
  <c r="CM122" i="25"/>
  <c r="BW27" i="25"/>
  <c r="BW30" i="25"/>
  <c r="AQ37" i="25"/>
  <c r="AA39" i="25"/>
  <c r="BW44" i="25"/>
  <c r="AQ52" i="25"/>
  <c r="AQ54" i="25"/>
  <c r="CM61" i="25"/>
  <c r="CM63" i="25"/>
  <c r="BF71" i="25"/>
  <c r="BF73" i="25"/>
  <c r="BF75" i="25"/>
  <c r="AQ77" i="25"/>
  <c r="AA81" i="25"/>
  <c r="AA83" i="25"/>
  <c r="AA85" i="25"/>
  <c r="CM90" i="25"/>
  <c r="BW92" i="25"/>
  <c r="BW94" i="25"/>
  <c r="AQ102" i="25"/>
  <c r="AQ104" i="25"/>
  <c r="AQ106" i="25"/>
  <c r="CM111" i="25"/>
  <c r="CM113" i="25"/>
  <c r="CM27" i="25"/>
  <c r="CM30" i="25"/>
  <c r="CM33" i="25"/>
  <c r="CM35" i="25"/>
  <c r="BW48" i="25"/>
  <c r="BW50" i="25"/>
  <c r="BF52" i="25"/>
  <c r="BF54" i="25"/>
  <c r="BF56" i="25"/>
  <c r="AQ60" i="25"/>
  <c r="AA64" i="25"/>
  <c r="AA66" i="25"/>
  <c r="CM67" i="25"/>
  <c r="CM69" i="25"/>
  <c r="BW71" i="25"/>
  <c r="BW73" i="25"/>
  <c r="BW75" i="25"/>
  <c r="BF79" i="25"/>
  <c r="AQ83" i="25"/>
  <c r="AQ85" i="25"/>
  <c r="AA87" i="25"/>
  <c r="CM92" i="25"/>
  <c r="CM94" i="25"/>
  <c r="BW98" i="25"/>
  <c r="BW100" i="25"/>
  <c r="BF102" i="25"/>
  <c r="BF104" i="25"/>
  <c r="BF106" i="25"/>
  <c r="AQ110" i="25"/>
  <c r="AA114" i="25"/>
  <c r="AA116" i="25"/>
  <c r="CM119" i="25"/>
  <c r="BF121" i="25"/>
  <c r="AA123" i="25"/>
  <c r="BW16" i="25"/>
  <c r="BW26" i="25"/>
  <c r="CM26" i="25"/>
  <c r="AA32" i="25"/>
  <c r="AA34" i="25"/>
  <c r="BF39" i="25"/>
  <c r="AQ41" i="25"/>
  <c r="CM50" i="25"/>
  <c r="BW52" i="25"/>
  <c r="AQ64" i="25"/>
  <c r="AQ66" i="25"/>
  <c r="CM71" i="25"/>
  <c r="CM73" i="25"/>
  <c r="BF81" i="25"/>
  <c r="BF83" i="25"/>
  <c r="BF85" i="25"/>
  <c r="AQ87" i="25"/>
  <c r="AA91" i="25"/>
  <c r="AA93" i="25"/>
  <c r="AA95" i="25"/>
  <c r="CM100" i="25"/>
  <c r="BW102" i="25"/>
  <c r="BW104" i="25"/>
  <c r="AQ112" i="25"/>
  <c r="AQ114" i="25"/>
  <c r="AQ116" i="25"/>
  <c r="AQ123" i="25"/>
  <c r="CM9" i="25"/>
  <c r="CM10" i="25"/>
  <c r="CM11" i="25"/>
  <c r="AA13" i="25"/>
  <c r="CM15" i="25"/>
  <c r="AA18" i="25"/>
  <c r="G28" i="25"/>
  <c r="AQ28" i="25"/>
  <c r="AQ32" i="25"/>
  <c r="BW39" i="25"/>
  <c r="AQ43" i="25"/>
  <c r="CM52" i="25"/>
  <c r="CM54" i="25"/>
  <c r="BW58" i="25"/>
  <c r="BW60" i="25"/>
  <c r="BF62" i="25"/>
  <c r="BF64" i="25"/>
  <c r="BF66" i="25"/>
  <c r="AQ70" i="25"/>
  <c r="AA74" i="25"/>
  <c r="AA76" i="25"/>
  <c r="CM77" i="25"/>
  <c r="CM79" i="25"/>
  <c r="BW81" i="25"/>
  <c r="BW83" i="25"/>
  <c r="BW85" i="25"/>
  <c r="BF89" i="25"/>
  <c r="AQ93" i="25"/>
  <c r="AQ95" i="25"/>
  <c r="AA97" i="25"/>
  <c r="CM102" i="25"/>
  <c r="CM104" i="25"/>
  <c r="BW108" i="25"/>
  <c r="BW110" i="25"/>
  <c r="BF112" i="25"/>
  <c r="BF114" i="25"/>
  <c r="BF116" i="25"/>
  <c r="BF123" i="25"/>
  <c r="CM20" i="25"/>
  <c r="CM39" i="25"/>
  <c r="BF43" i="25"/>
  <c r="AA51" i="25"/>
  <c r="CM60" i="25"/>
  <c r="BW64" i="25"/>
  <c r="AQ72" i="25"/>
  <c r="AQ74" i="25"/>
  <c r="AQ76" i="25"/>
  <c r="CM81" i="25"/>
  <c r="CM83" i="25"/>
  <c r="BF91" i="25"/>
  <c r="BF93" i="25"/>
  <c r="BF95" i="25"/>
  <c r="AQ97" i="25"/>
  <c r="AA101" i="25"/>
  <c r="AA103" i="25"/>
  <c r="AA105" i="25"/>
  <c r="CM110" i="25"/>
  <c r="BW112" i="25"/>
  <c r="BW114" i="25"/>
  <c r="BW123" i="25"/>
  <c r="AQ11" i="25"/>
  <c r="AQ14" i="25"/>
  <c r="G24" i="25"/>
  <c r="AQ25" i="25"/>
  <c r="BW28" i="25"/>
  <c r="BF29" i="25"/>
  <c r="AQ38" i="25"/>
  <c r="BW43" i="25"/>
  <c r="BF49" i="25"/>
  <c r="AQ53" i="25"/>
  <c r="AQ55" i="25"/>
  <c r="CM62" i="25"/>
  <c r="CM64" i="25"/>
  <c r="BW68" i="25"/>
  <c r="BW70" i="25"/>
  <c r="BF72" i="25"/>
  <c r="BF74" i="25"/>
  <c r="BF76" i="25"/>
  <c r="AQ80" i="25"/>
  <c r="AA84" i="25"/>
  <c r="AA86" i="25"/>
  <c r="CM87" i="25"/>
  <c r="CM89" i="25"/>
  <c r="BW91" i="25"/>
  <c r="BW93" i="25"/>
  <c r="BW95" i="25"/>
  <c r="BF99" i="25"/>
  <c r="AQ103" i="25"/>
  <c r="AQ105" i="25"/>
  <c r="AA107" i="25"/>
  <c r="CM112" i="25"/>
  <c r="CM114" i="25"/>
  <c r="CM123" i="25"/>
  <c r="AA57" i="25"/>
  <c r="AA47" i="25"/>
  <c r="AA37" i="25"/>
  <c r="AA30" i="25"/>
  <c r="AA28" i="25"/>
  <c r="AA122" i="25"/>
  <c r="AA112" i="25"/>
  <c r="AA102" i="25"/>
  <c r="AA92" i="25"/>
  <c r="AA82" i="25"/>
  <c r="AA72" i="25"/>
  <c r="AA62" i="25"/>
  <c r="AA43" i="25"/>
  <c r="AA121" i="25"/>
  <c r="AA120" i="25"/>
  <c r="AA110" i="25"/>
  <c r="AA100" i="25"/>
  <c r="AA90" i="25"/>
  <c r="AA80" i="25"/>
  <c r="AA70" i="25"/>
  <c r="AA60" i="25"/>
  <c r="AA50" i="25"/>
  <c r="AA42" i="25"/>
  <c r="AA38" i="25"/>
  <c r="AA36" i="25"/>
  <c r="AA119" i="25"/>
  <c r="AA109" i="25"/>
  <c r="AA99" i="25"/>
  <c r="AA89" i="25"/>
  <c r="AA79" i="25"/>
  <c r="AA69" i="25"/>
  <c r="AA59" i="25"/>
  <c r="AA49" i="25"/>
  <c r="AA45" i="25"/>
  <c r="AA33" i="25"/>
  <c r="BX29" i="25"/>
  <c r="CC40" i="25" s="1"/>
  <c r="AA4" i="25"/>
  <c r="AA14" i="25"/>
  <c r="CM23" i="25"/>
  <c r="AQ29" i="25"/>
  <c r="BF34" i="25"/>
  <c r="AQ36" i="25"/>
  <c r="BW41" i="25"/>
  <c r="BF45" i="25"/>
  <c r="AQ47" i="25"/>
  <c r="AA55" i="25"/>
  <c r="BW62" i="25"/>
  <c r="BX30" i="25"/>
  <c r="BZ41" i="25" s="1"/>
  <c r="CM53" i="25"/>
  <c r="CM31" i="25"/>
  <c r="CN26" i="25"/>
  <c r="CP36" i="25" s="1"/>
  <c r="CM121" i="25"/>
  <c r="CM40" i="25"/>
  <c r="CM120" i="25"/>
  <c r="CM25" i="25"/>
  <c r="CM118" i="25"/>
  <c r="CM108" i="25"/>
  <c r="CM98" i="25"/>
  <c r="CM88" i="25"/>
  <c r="CM78" i="25"/>
  <c r="CM68" i="25"/>
  <c r="CM58" i="25"/>
  <c r="CM48" i="25"/>
  <c r="CM44" i="25"/>
  <c r="CM117" i="25"/>
  <c r="CM32" i="25"/>
  <c r="CM116" i="25"/>
  <c r="CM106" i="25"/>
  <c r="CM96" i="25"/>
  <c r="CM86" i="25"/>
  <c r="CM76" i="25"/>
  <c r="CM66" i="25"/>
  <c r="CM56" i="25"/>
  <c r="CM46" i="25"/>
  <c r="CM42" i="25"/>
  <c r="CM38" i="25"/>
  <c r="CM115" i="25"/>
  <c r="CM105" i="25"/>
  <c r="CM95" i="25"/>
  <c r="CM85" i="25"/>
  <c r="CM75" i="25"/>
  <c r="CM65" i="25"/>
  <c r="CM55" i="25"/>
  <c r="CM45" i="25"/>
  <c r="CM41" i="25"/>
  <c r="CM37" i="25"/>
  <c r="CM7" i="25"/>
  <c r="BF10" i="25"/>
  <c r="AQ21" i="25"/>
  <c r="AQ27" i="25"/>
  <c r="CM28" i="25"/>
  <c r="BW29" i="25"/>
  <c r="AA31" i="25"/>
  <c r="CM34" i="25"/>
  <c r="CM43" i="25"/>
  <c r="BF51" i="25"/>
  <c r="BF53" i="25"/>
  <c r="AQ57" i="25"/>
  <c r="AA61" i="25"/>
  <c r="AA63" i="25"/>
  <c r="AA65" i="25"/>
  <c r="CM70" i="25"/>
  <c r="BW72" i="25"/>
  <c r="BW74" i="25"/>
  <c r="AQ82" i="25"/>
  <c r="AQ84" i="25"/>
  <c r="AQ86" i="25"/>
  <c r="CM91" i="25"/>
  <c r="CM93" i="25"/>
  <c r="BF101" i="25"/>
  <c r="BF103" i="25"/>
  <c r="BF105" i="25"/>
  <c r="AQ107" i="25"/>
  <c r="AA111" i="25"/>
  <c r="AA113" i="25"/>
  <c r="AA115" i="25"/>
  <c r="BW120" i="25"/>
  <c r="AQ122" i="25"/>
  <c r="G33" i="25"/>
  <c r="G45" i="25"/>
  <c r="AA48" i="25"/>
  <c r="G49" i="25"/>
  <c r="AA58" i="25"/>
  <c r="G59" i="25"/>
  <c r="AA68" i="25"/>
  <c r="G69" i="25"/>
  <c r="AA78" i="25"/>
  <c r="G79" i="25"/>
  <c r="AA88" i="25"/>
  <c r="G89" i="25"/>
  <c r="AA98" i="25"/>
  <c r="G99" i="25"/>
  <c r="AA108" i="25"/>
  <c r="G109" i="25"/>
  <c r="AA118" i="25"/>
  <c r="G34" i="25"/>
  <c r="G39" i="25"/>
  <c r="G51" i="25"/>
  <c r="G61" i="25"/>
  <c r="G71" i="25"/>
  <c r="G81" i="25"/>
  <c r="G91" i="25"/>
  <c r="G101" i="25"/>
  <c r="G111" i="25"/>
  <c r="G41" i="25"/>
  <c r="G43" i="25"/>
  <c r="G52" i="25"/>
  <c r="G62" i="25"/>
  <c r="G72" i="25"/>
  <c r="G82" i="25"/>
  <c r="G92" i="25"/>
  <c r="G102" i="25"/>
  <c r="G112" i="25"/>
  <c r="G44" i="25"/>
  <c r="G53" i="25"/>
  <c r="G63" i="25"/>
  <c r="G73" i="25"/>
  <c r="G83" i="25"/>
  <c r="G93" i="25"/>
  <c r="G103" i="25"/>
  <c r="G113" i="25"/>
  <c r="G54" i="25"/>
  <c r="G64" i="25"/>
  <c r="G74" i="25"/>
  <c r="G84" i="25"/>
  <c r="G94" i="25"/>
  <c r="G104" i="25"/>
  <c r="G114" i="25"/>
  <c r="G31" i="25"/>
  <c r="G32" i="25"/>
  <c r="G55" i="25"/>
  <c r="G65" i="25"/>
  <c r="G75" i="25"/>
  <c r="G85" i="25"/>
  <c r="G95" i="25"/>
  <c r="G105" i="25"/>
  <c r="G115" i="25"/>
  <c r="G67" i="25"/>
  <c r="G77" i="25"/>
  <c r="G87" i="25"/>
  <c r="G97" i="25"/>
  <c r="G107" i="25"/>
  <c r="G117" i="25"/>
  <c r="BN19" i="24"/>
  <c r="BH46" i="24"/>
  <c r="BH108" i="24"/>
  <c r="BH98" i="24"/>
  <c r="BH48" i="24"/>
  <c r="BJ42" i="24"/>
  <c r="BH97" i="24"/>
  <c r="BH77" i="24"/>
  <c r="BH67" i="24"/>
  <c r="BH47" i="24"/>
  <c r="BJ41" i="24"/>
  <c r="BH65" i="24"/>
  <c r="BH39" i="24"/>
  <c r="BH44" i="24"/>
  <c r="BH96" i="24"/>
  <c r="BO11" i="24"/>
  <c r="BO12" i="24" s="1"/>
  <c r="BO13" i="24" s="1"/>
  <c r="BH66" i="24"/>
  <c r="BH95" i="24"/>
  <c r="BN4" i="24"/>
  <c r="BN23" i="24" s="1"/>
  <c r="BO4" i="24"/>
  <c r="BH85" i="24" l="1"/>
  <c r="BH54" i="24"/>
  <c r="BH120" i="24"/>
  <c r="BH51" i="24"/>
  <c r="BH94" i="24"/>
  <c r="BH59" i="24"/>
  <c r="BH55" i="24"/>
  <c r="BH117" i="24"/>
  <c r="BH113" i="24"/>
  <c r="BH101" i="24"/>
  <c r="BH99" i="24"/>
  <c r="BH105" i="24"/>
  <c r="BH56" i="24"/>
  <c r="BH58" i="24"/>
  <c r="BH75" i="24"/>
  <c r="BH76" i="24"/>
  <c r="BH68" i="24"/>
  <c r="BH63" i="24"/>
  <c r="BH70" i="24"/>
  <c r="BH82" i="24"/>
  <c r="BM23" i="24"/>
  <c r="BF67" i="24"/>
  <c r="BH91" i="24"/>
  <c r="BH41" i="24"/>
  <c r="BH53" i="24"/>
  <c r="BH50" i="24"/>
  <c r="BH72" i="24"/>
  <c r="BF53" i="24"/>
  <c r="BF92" i="24"/>
  <c r="BF41" i="24"/>
  <c r="BF112" i="24"/>
  <c r="BF43" i="24"/>
  <c r="BF51" i="24"/>
  <c r="BF71" i="24"/>
  <c r="BF56" i="24"/>
  <c r="BF111" i="24"/>
  <c r="BF47" i="24"/>
  <c r="BF74" i="24"/>
  <c r="BF84" i="24"/>
  <c r="BM18" i="24"/>
  <c r="BM19" i="24" s="1"/>
  <c r="BF94" i="24"/>
  <c r="BF87" i="24"/>
  <c r="BF103" i="24"/>
  <c r="BF42" i="24"/>
  <c r="BF113" i="24"/>
  <c r="BF114" i="24"/>
  <c r="BF97" i="24"/>
  <c r="BF58" i="24"/>
  <c r="BF69" i="24"/>
  <c r="BF72" i="24"/>
  <c r="BF61" i="24"/>
  <c r="BF79" i="24"/>
  <c r="BF99" i="24"/>
  <c r="BF76" i="24"/>
  <c r="BF50" i="24"/>
  <c r="BF91" i="24"/>
  <c r="BF62" i="24"/>
  <c r="BF63" i="24"/>
  <c r="BF68" i="24"/>
  <c r="BF121" i="24"/>
  <c r="BF82" i="24"/>
  <c r="BF83" i="24"/>
  <c r="BF44" i="24"/>
  <c r="BF88" i="24"/>
  <c r="BF40" i="24"/>
  <c r="BF93" i="24"/>
  <c r="BF64" i="24"/>
  <c r="BF46" i="24"/>
  <c r="BF49" i="24"/>
  <c r="BF107" i="24"/>
  <c r="BF70" i="24"/>
  <c r="BF108" i="24"/>
  <c r="BF85" i="24"/>
  <c r="BF118" i="24"/>
  <c r="BF90" i="24"/>
  <c r="BF119" i="24"/>
  <c r="BF95" i="24"/>
  <c r="BF120" i="24"/>
  <c r="BF55" i="24"/>
  <c r="BF115" i="24"/>
  <c r="BF96" i="24"/>
  <c r="BF106" i="24"/>
  <c r="BF116" i="24"/>
  <c r="BF110" i="24"/>
  <c r="BH115" i="24"/>
  <c r="BH78" i="24"/>
  <c r="BF117" i="24"/>
  <c r="BF100" i="24"/>
  <c r="BF60" i="24"/>
  <c r="BH64" i="24"/>
  <c r="BH109" i="24"/>
  <c r="BH61" i="24"/>
  <c r="BH42" i="24"/>
  <c r="BH45" i="24"/>
  <c r="BF81" i="24"/>
  <c r="BH57" i="24"/>
  <c r="BF73" i="24"/>
  <c r="BH88" i="24"/>
  <c r="BF104" i="24"/>
  <c r="BF66" i="24"/>
  <c r="BF48" i="24"/>
  <c r="BF59" i="24"/>
  <c r="BF65" i="24"/>
  <c r="BF80" i="24"/>
  <c r="BH43" i="24"/>
  <c r="BH74" i="24"/>
  <c r="BH119" i="24"/>
  <c r="BH71" i="24"/>
  <c r="BH62" i="24"/>
  <c r="BJ40" i="24"/>
  <c r="BH116" i="24"/>
  <c r="BH87" i="24"/>
  <c r="BH118" i="24"/>
  <c r="BF57" i="24"/>
  <c r="BF78" i="24"/>
  <c r="BF89" i="24"/>
  <c r="BF105" i="24"/>
  <c r="BF45" i="24"/>
  <c r="BH73" i="24"/>
  <c r="BH114" i="24"/>
  <c r="BH80" i="24"/>
  <c r="BH111" i="24"/>
  <c r="BH92" i="24"/>
  <c r="BH93" i="24"/>
  <c r="BH79" i="24"/>
  <c r="BH90" i="24"/>
  <c r="BH121" i="24"/>
  <c r="BH102" i="24"/>
  <c r="BO23" i="24"/>
  <c r="BF101" i="24"/>
  <c r="BF102" i="24"/>
  <c r="BF52" i="24"/>
  <c r="BH107" i="24"/>
  <c r="BF54" i="24"/>
  <c r="BH86" i="24"/>
  <c r="BF77" i="24"/>
  <c r="BF98" i="24"/>
  <c r="BF109" i="24"/>
  <c r="BF86" i="24"/>
  <c r="BF75" i="24"/>
  <c r="BH103" i="24"/>
  <c r="BH49" i="24"/>
  <c r="BH100" i="24"/>
  <c r="BH112" i="24"/>
  <c r="BJ34" i="25"/>
  <c r="L7" i="25" a="1"/>
  <c r="L7" i="25" s="1"/>
  <c r="L28" i="25" a="1"/>
  <c r="L28" i="25" s="1"/>
  <c r="L26" i="25" a="1"/>
  <c r="L26" i="25" s="1"/>
  <c r="L25" i="25" a="1"/>
  <c r="L25" i="25" s="1"/>
  <c r="B16" i="20"/>
  <c r="E16" i="20" s="1"/>
  <c r="C140" i="20"/>
  <c r="G13" i="20"/>
  <c r="H13" i="20"/>
  <c r="E14" i="20"/>
  <c r="F14" i="20" s="1"/>
  <c r="C147" i="20"/>
  <c r="E14" i="34"/>
  <c r="B15" i="34"/>
  <c r="BH83" i="24"/>
  <c r="BH104" i="24"/>
  <c r="BH60" i="24"/>
  <c r="BH81" i="24"/>
  <c r="BH52" i="24"/>
  <c r="BJ44" i="24"/>
  <c r="BI45" i="24"/>
  <c r="D44" i="32"/>
  <c r="D16" i="32"/>
  <c r="D30" i="32"/>
  <c r="D25" i="32"/>
  <c r="D19" i="32"/>
  <c r="D109" i="32"/>
  <c r="D71" i="32"/>
  <c r="D78" i="32"/>
  <c r="D125" i="32"/>
  <c r="D94" i="32"/>
  <c r="D73" i="32"/>
  <c r="D62" i="32"/>
  <c r="D90" i="32"/>
  <c r="D27" i="32"/>
  <c r="D111" i="32"/>
  <c r="D126" i="32"/>
  <c r="D115" i="32"/>
  <c r="D63" i="32"/>
  <c r="D50" i="32"/>
  <c r="D35" i="32"/>
  <c r="D29" i="32"/>
  <c r="D37" i="32"/>
  <c r="D132" i="32"/>
  <c r="D21" i="32"/>
  <c r="D79" i="32"/>
  <c r="D129" i="32"/>
  <c r="D41" i="32"/>
  <c r="D51" i="32"/>
  <c r="D116" i="32"/>
  <c r="D105" i="32"/>
  <c r="D74" i="32"/>
  <c r="D54" i="32"/>
  <c r="D45" i="32"/>
  <c r="D80" i="32"/>
  <c r="D20" i="32"/>
  <c r="D18" i="32"/>
  <c r="D101" i="32"/>
  <c r="D121" i="32"/>
  <c r="D32" i="32"/>
  <c r="D57" i="32"/>
  <c r="D69" i="32"/>
  <c r="D87" i="32"/>
  <c r="D23" i="32"/>
  <c r="D106" i="32"/>
  <c r="D95" i="32"/>
  <c r="D64" i="32"/>
  <c r="D52" i="32"/>
  <c r="D28" i="32"/>
  <c r="D68" i="32"/>
  <c r="D134" i="32"/>
  <c r="D96" i="32"/>
  <c r="D85" i="32"/>
  <c r="D55" i="32"/>
  <c r="D122" i="32"/>
  <c r="D120" i="32"/>
  <c r="D70" i="32"/>
  <c r="D38" i="32"/>
  <c r="D26" i="32"/>
  <c r="D128" i="32"/>
  <c r="D86" i="32"/>
  <c r="D75" i="32"/>
  <c r="D123" i="32"/>
  <c r="D112" i="32"/>
  <c r="D89" i="32"/>
  <c r="D61" i="32"/>
  <c r="D107" i="32"/>
  <c r="D22" i="32"/>
  <c r="D48" i="32"/>
  <c r="D118" i="32"/>
  <c r="D76" i="32"/>
  <c r="D65" i="32"/>
  <c r="D113" i="32"/>
  <c r="D102" i="32"/>
  <c r="D110" i="32"/>
  <c r="D60" i="32"/>
  <c r="D24" i="32"/>
  <c r="D67" i="32"/>
  <c r="D58" i="32"/>
  <c r="D53" i="32"/>
  <c r="D108" i="32"/>
  <c r="D66" i="32"/>
  <c r="D124" i="32"/>
  <c r="D103" i="32"/>
  <c r="D92" i="32"/>
  <c r="D39" i="32"/>
  <c r="D36" i="32"/>
  <c r="D31" i="32"/>
  <c r="D91" i="32"/>
  <c r="D99" i="32"/>
  <c r="D98" i="32"/>
  <c r="D43" i="32"/>
  <c r="D114" i="32"/>
  <c r="D93" i="32"/>
  <c r="D82" i="32"/>
  <c r="D100" i="32"/>
  <c r="D56" i="32"/>
  <c r="D49" i="32"/>
  <c r="D133" i="32"/>
  <c r="D97" i="32"/>
  <c r="D131" i="32"/>
  <c r="D77" i="32"/>
  <c r="D83" i="32"/>
  <c r="D81" i="32"/>
  <c r="D130" i="32"/>
  <c r="D88" i="32"/>
  <c r="D42" i="32"/>
  <c r="D104" i="32"/>
  <c r="D72" i="32"/>
  <c r="D84" i="32"/>
  <c r="D17" i="32"/>
  <c r="D46" i="32"/>
  <c r="D40" i="32"/>
  <c r="D59" i="32"/>
  <c r="D15" i="32"/>
  <c r="F15" i="32" s="1"/>
  <c r="D33" i="32"/>
  <c r="D127" i="32"/>
  <c r="D117" i="32"/>
  <c r="D34" i="32"/>
  <c r="D47" i="32"/>
  <c r="D119" i="32"/>
  <c r="B17" i="32"/>
  <c r="E16" i="32"/>
  <c r="B17" i="20"/>
  <c r="E17" i="20" s="1"/>
  <c r="CC38" i="25"/>
  <c r="AV36" i="25"/>
  <c r="T23" i="25"/>
  <c r="CA41" i="25"/>
  <c r="CP38" i="25"/>
  <c r="CB40" i="25"/>
  <c r="N4" i="25"/>
  <c r="P19" i="25" s="1"/>
  <c r="R20" i="25"/>
  <c r="CB41" i="25"/>
  <c r="T20" i="25"/>
  <c r="S20" i="25"/>
  <c r="P20" i="25"/>
  <c r="CC41" i="25"/>
  <c r="R23" i="25"/>
  <c r="R22" i="25"/>
  <c r="T22" i="25"/>
  <c r="S21" i="25"/>
  <c r="R21" i="25"/>
  <c r="CB38" i="25"/>
  <c r="Q20" i="25"/>
  <c r="Q23" i="25"/>
  <c r="S22" i="25"/>
  <c r="P22" i="25"/>
  <c r="P21" i="25"/>
  <c r="Q22" i="25"/>
  <c r="T21" i="25"/>
  <c r="Q21" i="25"/>
  <c r="P23" i="25"/>
  <c r="S23" i="25"/>
  <c r="L11" i="25"/>
  <c r="L9" i="25"/>
  <c r="L10" i="25" s="1"/>
  <c r="L19" i="25"/>
  <c r="L21" i="25" s="1"/>
  <c r="L14" i="25"/>
  <c r="L13" i="25"/>
  <c r="H4" i="25"/>
  <c r="H5" i="25" s="1"/>
  <c r="H6" i="25" s="1"/>
  <c r="H7" i="25" s="1"/>
  <c r="H8" i="25" s="1"/>
  <c r="H9" i="25" s="1"/>
  <c r="H10" i="25" s="1"/>
  <c r="H11" i="25" s="1"/>
  <c r="H12" i="25" s="1"/>
  <c r="H13" i="25" s="1"/>
  <c r="H14" i="25" s="1"/>
  <c r="H15" i="25" s="1"/>
  <c r="H16" i="25" s="1"/>
  <c r="H17" i="25" s="1"/>
  <c r="H18" i="25" s="1"/>
  <c r="H19" i="25" s="1"/>
  <c r="H20" i="25" s="1"/>
  <c r="H21" i="25" s="1"/>
  <c r="H22" i="25" s="1"/>
  <c r="H23" i="25" s="1"/>
  <c r="H24" i="25" s="1"/>
  <c r="H25" i="25" s="1"/>
  <c r="H26" i="25" s="1"/>
  <c r="H27" i="25" s="1"/>
  <c r="H28" i="25" s="1"/>
  <c r="H29" i="25" s="1"/>
  <c r="H30" i="25" s="1"/>
  <c r="H31" i="25" s="1"/>
  <c r="H32" i="25" s="1"/>
  <c r="H33" i="25" s="1"/>
  <c r="H34" i="25" s="1"/>
  <c r="H35" i="25" s="1"/>
  <c r="H36" i="25" s="1"/>
  <c r="H37" i="25" s="1"/>
  <c r="H38" i="25" s="1"/>
  <c r="H39" i="25" s="1"/>
  <c r="H40" i="25" s="1"/>
  <c r="H41" i="25" s="1"/>
  <c r="H42" i="25" s="1"/>
  <c r="H43" i="25" s="1"/>
  <c r="H44" i="25" s="1"/>
  <c r="H45" i="25" s="1"/>
  <c r="H46" i="25" s="1"/>
  <c r="H47" i="25" s="1"/>
  <c r="H48" i="25" s="1"/>
  <c r="H49" i="25" s="1"/>
  <c r="H50" i="25" s="1"/>
  <c r="H51" i="25" s="1"/>
  <c r="H52" i="25" s="1"/>
  <c r="H53" i="25" s="1"/>
  <c r="H54" i="25" s="1"/>
  <c r="H55" i="25" s="1"/>
  <c r="H56" i="25" s="1"/>
  <c r="H57" i="25" s="1"/>
  <c r="H58" i="25" s="1"/>
  <c r="H59" i="25" s="1"/>
  <c r="H60" i="25" s="1"/>
  <c r="H61" i="25" s="1"/>
  <c r="H62" i="25" s="1"/>
  <c r="H63" i="25" s="1"/>
  <c r="H64" i="25" s="1"/>
  <c r="H65" i="25" s="1"/>
  <c r="H66" i="25" s="1"/>
  <c r="H67" i="25" s="1"/>
  <c r="H68" i="25" s="1"/>
  <c r="H69" i="25" s="1"/>
  <c r="H70" i="25" s="1"/>
  <c r="H71" i="25" s="1"/>
  <c r="H72" i="25" s="1"/>
  <c r="H73" i="25" s="1"/>
  <c r="H74" i="25" s="1"/>
  <c r="H75" i="25" s="1"/>
  <c r="H76" i="25" s="1"/>
  <c r="H77" i="25" s="1"/>
  <c r="H78" i="25" s="1"/>
  <c r="H79" i="25" s="1"/>
  <c r="H80" i="25" s="1"/>
  <c r="H81" i="25" s="1"/>
  <c r="H82" i="25" s="1"/>
  <c r="H83" i="25" s="1"/>
  <c r="H84" i="25" s="1"/>
  <c r="H85" i="25" s="1"/>
  <c r="H86" i="25" s="1"/>
  <c r="H87" i="25" s="1"/>
  <c r="H88" i="25" s="1"/>
  <c r="H89" i="25" s="1"/>
  <c r="H90" i="25" s="1"/>
  <c r="H91" i="25" s="1"/>
  <c r="H92" i="25" s="1"/>
  <c r="H93" i="25" s="1"/>
  <c r="H94" i="25" s="1"/>
  <c r="H95" i="25" s="1"/>
  <c r="H96" i="25" s="1"/>
  <c r="H97" i="25" s="1"/>
  <c r="H98" i="25" s="1"/>
  <c r="H99" i="25" s="1"/>
  <c r="H100" i="25" s="1"/>
  <c r="H101" i="25" s="1"/>
  <c r="H102" i="25" s="1"/>
  <c r="H103" i="25" s="1"/>
  <c r="H104" i="25" s="1"/>
  <c r="H105" i="25" s="1"/>
  <c r="H106" i="25" s="1"/>
  <c r="H107" i="25" s="1"/>
  <c r="H108" i="25" s="1"/>
  <c r="H109" i="25" s="1"/>
  <c r="H110" i="25" s="1"/>
  <c r="H111" i="25" s="1"/>
  <c r="H112" i="25" s="1"/>
  <c r="H113" i="25" s="1"/>
  <c r="H114" i="25" s="1"/>
  <c r="H115" i="25" s="1"/>
  <c r="H116" i="25" s="1"/>
  <c r="H117" i="25" s="1"/>
  <c r="H118" i="25" s="1"/>
  <c r="H119" i="25" s="1"/>
  <c r="H120" i="25" s="1"/>
  <c r="H121" i="25" s="1"/>
  <c r="H122" i="25" s="1"/>
  <c r="H123" i="25" s="1"/>
  <c r="L12" i="25"/>
  <c r="L18" i="25"/>
  <c r="L20" i="25" s="1"/>
  <c r="BI38" i="26"/>
  <c r="AC41" i="26"/>
  <c r="AS41" i="26"/>
  <c r="CR29" i="26"/>
  <c r="CR39" i="26" s="1"/>
  <c r="CQ29" i="26"/>
  <c r="CQ39" i="26" s="1"/>
  <c r="CR28" i="26"/>
  <c r="CR38" i="26" s="1"/>
  <c r="CR26" i="26"/>
  <c r="CP29" i="26"/>
  <c r="CP39" i="26" s="1"/>
  <c r="CO29" i="26"/>
  <c r="CO39" i="26" s="1"/>
  <c r="CR27" i="26"/>
  <c r="CR37" i="26" s="1"/>
  <c r="CB39" i="26"/>
  <c r="BZ39" i="26"/>
  <c r="CQ36" i="26"/>
  <c r="CB40" i="26"/>
  <c r="CA40" i="26"/>
  <c r="CA44" i="26" s="1"/>
  <c r="BZ40" i="26"/>
  <c r="BJ25" i="26"/>
  <c r="BJ27" i="26"/>
  <c r="BJ36" i="26" s="1"/>
  <c r="BH27" i="26"/>
  <c r="BH36" i="26" s="1"/>
  <c r="BH38" i="26" s="1"/>
  <c r="BJ26" i="26"/>
  <c r="BJ35" i="26" s="1"/>
  <c r="BI27" i="26"/>
  <c r="BI36" i="26" s="1"/>
  <c r="CQ37" i="26"/>
  <c r="BZ38" i="26"/>
  <c r="CP36" i="26"/>
  <c r="CO37" i="26"/>
  <c r="AT38" i="26"/>
  <c r="CB31" i="26"/>
  <c r="CB42" i="26" s="1"/>
  <c r="CA31" i="26"/>
  <c r="CA42" i="26" s="1"/>
  <c r="CC30" i="26"/>
  <c r="CC41" i="26" s="1"/>
  <c r="CC29" i="26"/>
  <c r="CC40" i="26" s="1"/>
  <c r="CC28" i="26"/>
  <c r="CC39" i="26" s="1"/>
  <c r="BZ31" i="26"/>
  <c r="BZ42" i="26" s="1"/>
  <c r="BY31" i="26"/>
  <c r="BY42" i="26" s="1"/>
  <c r="CC27" i="26"/>
  <c r="CC31" i="26"/>
  <c r="CC42" i="26" s="1"/>
  <c r="AU38" i="26"/>
  <c r="AU41" i="26" s="1"/>
  <c r="BY38" i="26"/>
  <c r="CB38" i="26"/>
  <c r="AV37" i="26"/>
  <c r="AS37" i="26"/>
  <c r="BY40" i="26"/>
  <c r="BY39" i="26"/>
  <c r="AV29" i="26"/>
  <c r="AV39" i="26" s="1"/>
  <c r="AV27" i="26"/>
  <c r="AS29" i="26"/>
  <c r="AS39" i="26" s="1"/>
  <c r="AU29" i="26"/>
  <c r="AU39" i="26" s="1"/>
  <c r="AT29" i="26"/>
  <c r="AT39" i="26" s="1"/>
  <c r="AV26" i="26"/>
  <c r="AV28" i="26"/>
  <c r="AV38" i="26" s="1"/>
  <c r="BJ34" i="26"/>
  <c r="BJ38" i="26" s="1"/>
  <c r="AT37" i="26"/>
  <c r="AT41" i="26" s="1"/>
  <c r="CA39" i="26"/>
  <c r="AE29" i="26"/>
  <c r="AE39" i="26" s="1"/>
  <c r="AE41" i="26" s="1"/>
  <c r="AF26" i="26"/>
  <c r="AC29" i="26"/>
  <c r="AC39" i="26" s="1"/>
  <c r="AF28" i="26"/>
  <c r="AF38" i="26" s="1"/>
  <c r="AF27" i="26"/>
  <c r="AF37" i="26" s="1"/>
  <c r="AF29" i="26"/>
  <c r="AF39" i="26" s="1"/>
  <c r="AD29" i="26"/>
  <c r="AD39" i="26" s="1"/>
  <c r="AD41" i="26" s="1"/>
  <c r="CO36" i="26"/>
  <c r="CR36" i="25"/>
  <c r="CQ38" i="25"/>
  <c r="CR37" i="25"/>
  <c r="CB39" i="25"/>
  <c r="BZ39" i="25"/>
  <c r="CA40" i="25"/>
  <c r="CP29" i="25"/>
  <c r="CP39" i="25" s="1"/>
  <c r="CS27" i="25"/>
  <c r="CS37" i="25" s="1"/>
  <c r="CS29" i="25"/>
  <c r="CS39" i="25" s="1"/>
  <c r="CR29" i="25"/>
  <c r="CR39" i="25" s="1"/>
  <c r="CQ29" i="25"/>
  <c r="CQ39" i="25" s="1"/>
  <c r="CS28" i="25"/>
  <c r="CS38" i="25" s="1"/>
  <c r="CS26" i="25"/>
  <c r="CA39" i="25"/>
  <c r="AU37" i="25"/>
  <c r="CQ36" i="25"/>
  <c r="CD30" i="25"/>
  <c r="CD41" i="25" s="1"/>
  <c r="CD31" i="25"/>
  <c r="CD42" i="25" s="1"/>
  <c r="CC31" i="25"/>
  <c r="CC42" i="25" s="1"/>
  <c r="CB31" i="25"/>
  <c r="CB42" i="25" s="1"/>
  <c r="CD29" i="25"/>
  <c r="CD40" i="25" s="1"/>
  <c r="CA31" i="25"/>
  <c r="CA42" i="25" s="1"/>
  <c r="BZ31" i="25"/>
  <c r="BZ42" i="25" s="1"/>
  <c r="CD28" i="25"/>
  <c r="CD39" i="25" s="1"/>
  <c r="CD27" i="25"/>
  <c r="BZ40" i="25"/>
  <c r="BJ27" i="25"/>
  <c r="BJ36" i="25" s="1"/>
  <c r="BK25" i="25"/>
  <c r="BK34" i="25" s="1"/>
  <c r="BI27" i="25"/>
  <c r="BI36" i="25" s="1"/>
  <c r="BI38" i="25" s="1"/>
  <c r="BK27" i="25"/>
  <c r="BK36" i="25" s="1"/>
  <c r="BK26" i="25"/>
  <c r="BK35" i="25" s="1"/>
  <c r="AV37" i="25"/>
  <c r="AU36" i="25"/>
  <c r="CQ37" i="25"/>
  <c r="CA38" i="25"/>
  <c r="BJ35" i="25"/>
  <c r="AV29" i="25"/>
  <c r="AV39" i="25" s="1"/>
  <c r="AW28" i="25"/>
  <c r="AW38" i="25" s="1"/>
  <c r="AU29" i="25"/>
  <c r="AU39" i="25" s="1"/>
  <c r="AT29" i="25"/>
  <c r="AT39" i="25" s="1"/>
  <c r="AT41" i="25" s="1"/>
  <c r="AW29" i="25"/>
  <c r="AW39" i="25" s="1"/>
  <c r="AW27" i="25"/>
  <c r="AW37" i="25" s="1"/>
  <c r="AW26" i="25"/>
  <c r="AW36" i="25" s="1"/>
  <c r="G4" i="21"/>
  <c r="CQ42" i="21"/>
  <c r="CO42" i="21"/>
  <c r="CP42" i="21"/>
  <c r="AD4" i="4" a="1"/>
  <c r="AD4" i="4" s="1"/>
  <c r="H1" i="1"/>
  <c r="BN25" i="24" l="1" a="1"/>
  <c r="BN25" i="24" s="1"/>
  <c r="BN26" i="24" s="1" a="1"/>
  <c r="BN26" i="24" s="1"/>
  <c r="F16" i="32"/>
  <c r="F17" i="32" s="1"/>
  <c r="F18" i="32" s="1"/>
  <c r="F19" i="32" s="1"/>
  <c r="F20" i="32" s="1"/>
  <c r="F21" i="32" s="1"/>
  <c r="F22" i="32" s="1"/>
  <c r="F23" i="32" s="1"/>
  <c r="F24" i="32" s="1"/>
  <c r="F25" i="32" s="1"/>
  <c r="F26" i="32" s="1"/>
  <c r="F27" i="32" s="1"/>
  <c r="F28" i="32" s="1"/>
  <c r="F29" i="32" s="1"/>
  <c r="F30" i="32" s="1"/>
  <c r="F31" i="32" s="1"/>
  <c r="F32" i="32" s="1"/>
  <c r="F33" i="32" s="1"/>
  <c r="F34" i="32" s="1"/>
  <c r="F35" i="32" s="1"/>
  <c r="F36" i="32" s="1"/>
  <c r="F37" i="32" s="1"/>
  <c r="F38" i="32" s="1"/>
  <c r="F39" i="32" s="1"/>
  <c r="F40" i="32" s="1"/>
  <c r="F41" i="32" s="1"/>
  <c r="F42" i="32" s="1"/>
  <c r="F43" i="32" s="1"/>
  <c r="F44" i="32" s="1"/>
  <c r="F45" i="32" s="1"/>
  <c r="F46" i="32" s="1"/>
  <c r="F47" i="32" s="1"/>
  <c r="F48" i="32" s="1"/>
  <c r="F49" i="32" s="1"/>
  <c r="F50" i="32" s="1"/>
  <c r="F51" i="32" s="1"/>
  <c r="F52" i="32" s="1"/>
  <c r="F53" i="32" s="1"/>
  <c r="F54" i="32" s="1"/>
  <c r="F55" i="32" s="1"/>
  <c r="F56" i="32" s="1"/>
  <c r="F57" i="32" s="1"/>
  <c r="F58" i="32" s="1"/>
  <c r="F59" i="32" s="1"/>
  <c r="F60" i="32" s="1"/>
  <c r="F61" i="32" s="1"/>
  <c r="F62" i="32" s="1"/>
  <c r="F63" i="32" s="1"/>
  <c r="F64" i="32" s="1"/>
  <c r="F65" i="32" s="1"/>
  <c r="F66" i="32" s="1"/>
  <c r="F67" i="32" s="1"/>
  <c r="F68" i="32" s="1"/>
  <c r="F69" i="32" s="1"/>
  <c r="F70" i="32" s="1"/>
  <c r="F71" i="32" s="1"/>
  <c r="F72" i="32" s="1"/>
  <c r="F73" i="32" s="1"/>
  <c r="F74" i="32" s="1"/>
  <c r="F75" i="32" s="1"/>
  <c r="F76" i="32" s="1"/>
  <c r="F77" i="32" s="1"/>
  <c r="F78" i="32" s="1"/>
  <c r="F79" i="32" s="1"/>
  <c r="F80" i="32" s="1"/>
  <c r="F81" i="32" s="1"/>
  <c r="F82" i="32" s="1"/>
  <c r="F83" i="32" s="1"/>
  <c r="F84" i="32" s="1"/>
  <c r="F85" i="32" s="1"/>
  <c r="F86" i="32" s="1"/>
  <c r="F87" i="32" s="1"/>
  <c r="F88" i="32" s="1"/>
  <c r="F89" i="32" s="1"/>
  <c r="F90" i="32" s="1"/>
  <c r="F91" i="32" s="1"/>
  <c r="F92" i="32" s="1"/>
  <c r="F93" i="32" s="1"/>
  <c r="F94" i="32" s="1"/>
  <c r="F95" i="32" s="1"/>
  <c r="F96" i="32" s="1"/>
  <c r="F97" i="32" s="1"/>
  <c r="F98" i="32" s="1"/>
  <c r="F99" i="32" s="1"/>
  <c r="F100" i="32" s="1"/>
  <c r="F101" i="32" s="1"/>
  <c r="F102" i="32" s="1"/>
  <c r="F103" i="32" s="1"/>
  <c r="F104" i="32" s="1"/>
  <c r="F105" i="32" s="1"/>
  <c r="F106" i="32" s="1"/>
  <c r="F107" i="32" s="1"/>
  <c r="F108" i="32" s="1"/>
  <c r="F109" i="32" s="1"/>
  <c r="F110" i="32" s="1"/>
  <c r="F111" i="32" s="1"/>
  <c r="F112" i="32" s="1"/>
  <c r="F113" i="32" s="1"/>
  <c r="F114" i="32" s="1"/>
  <c r="F115" i="32" s="1"/>
  <c r="F116" i="32" s="1"/>
  <c r="F117" i="32" s="1"/>
  <c r="F118" i="32" s="1"/>
  <c r="F119" i="32" s="1"/>
  <c r="F120" i="32" s="1"/>
  <c r="F121" i="32" s="1"/>
  <c r="F122" i="32" s="1"/>
  <c r="F123" i="32" s="1"/>
  <c r="F124" i="32" s="1"/>
  <c r="F125" i="32" s="1"/>
  <c r="F126" i="32" s="1"/>
  <c r="F127" i="32" s="1"/>
  <c r="F128" i="32" s="1"/>
  <c r="F129" i="32" s="1"/>
  <c r="F130" i="32" s="1"/>
  <c r="F131" i="32" s="1"/>
  <c r="F132" i="32" s="1"/>
  <c r="F133" i="32" s="1"/>
  <c r="F134" i="32" s="1"/>
  <c r="BM25" i="24" a="1"/>
  <c r="BM25" i="24" s="1"/>
  <c r="BM26" i="24" s="1" a="1"/>
  <c r="BM26" i="24" s="1"/>
  <c r="BN20" i="24"/>
  <c r="BM20" i="24"/>
  <c r="CP41" i="25"/>
  <c r="C156" i="32"/>
  <c r="C158" i="32" s="1"/>
  <c r="C155" i="32"/>
  <c r="C157" i="32" s="1"/>
  <c r="L22" i="25"/>
  <c r="L23" i="25" s="1"/>
  <c r="L8" i="25"/>
  <c r="C148" i="32" a="1"/>
  <c r="C148" i="32" s="1"/>
  <c r="C150" i="32" a="1"/>
  <c r="C150" i="32" s="1"/>
  <c r="I147" i="34" s="1"/>
  <c r="E15" i="34"/>
  <c r="B16" i="34"/>
  <c r="BJ45" i="24"/>
  <c r="BI46" i="24"/>
  <c r="BJ46" i="24" s="1"/>
  <c r="I5" i="25"/>
  <c r="I9" i="25"/>
  <c r="I49" i="25"/>
  <c r="I97" i="25"/>
  <c r="I8" i="25"/>
  <c r="I71" i="25"/>
  <c r="I111" i="25"/>
  <c r="I14" i="25"/>
  <c r="I50" i="25"/>
  <c r="I76" i="25"/>
  <c r="I87" i="25"/>
  <c r="I45" i="25"/>
  <c r="I105" i="25"/>
  <c r="I68" i="25"/>
  <c r="I89" i="25"/>
  <c r="I112" i="25"/>
  <c r="I96" i="25"/>
  <c r="I11" i="25"/>
  <c r="I44" i="25"/>
  <c r="I70" i="25"/>
  <c r="I12" i="25"/>
  <c r="I100" i="25"/>
  <c r="I54" i="25"/>
  <c r="I24" i="25"/>
  <c r="I84" i="25"/>
  <c r="I32" i="25"/>
  <c r="P12" i="25" a="1"/>
  <c r="P12" i="25" s="1"/>
  <c r="P13" i="25" s="1"/>
  <c r="I65" i="25"/>
  <c r="I55" i="25"/>
  <c r="E17" i="32"/>
  <c r="B18" i="32"/>
  <c r="F15" i="20"/>
  <c r="G14" i="20"/>
  <c r="G15" i="20" s="1"/>
  <c r="B18" i="20"/>
  <c r="E18" i="20" s="1"/>
  <c r="I80" i="25"/>
  <c r="Q19" i="25"/>
  <c r="Q25" i="25" s="1"/>
  <c r="L15" i="25"/>
  <c r="L16" i="25" s="1"/>
  <c r="L17" i="25" s="1"/>
  <c r="I108" i="25"/>
  <c r="I69" i="25"/>
  <c r="I35" i="25"/>
  <c r="I46" i="25"/>
  <c r="I77" i="25"/>
  <c r="I64" i="25"/>
  <c r="I20" i="25"/>
  <c r="I79" i="25"/>
  <c r="R19" i="25"/>
  <c r="R25" i="25" s="1"/>
  <c r="CC44" i="25"/>
  <c r="I23" i="25"/>
  <c r="I63" i="25"/>
  <c r="I6" i="25"/>
  <c r="I115" i="25"/>
  <c r="I67" i="25"/>
  <c r="I37" i="25"/>
  <c r="I81" i="25"/>
  <c r="I19" i="25"/>
  <c r="I123" i="25"/>
  <c r="I106" i="25"/>
  <c r="I94" i="25"/>
  <c r="I57" i="25"/>
  <c r="I83" i="25"/>
  <c r="I93" i="25"/>
  <c r="I60" i="25"/>
  <c r="I92" i="25"/>
  <c r="I95" i="25"/>
  <c r="I78" i="25"/>
  <c r="I58" i="25"/>
  <c r="I10" i="25"/>
  <c r="I90" i="25"/>
  <c r="I47" i="25"/>
  <c r="S19" i="25"/>
  <c r="S25" i="25" s="1"/>
  <c r="I36" i="25"/>
  <c r="I43" i="25"/>
  <c r="I21" i="25"/>
  <c r="I91" i="25"/>
  <c r="I120" i="25"/>
  <c r="T19" i="25"/>
  <c r="T25" i="25" s="1"/>
  <c r="I116" i="25"/>
  <c r="I31" i="25"/>
  <c r="I34" i="25"/>
  <c r="I61" i="25"/>
  <c r="I75" i="25"/>
  <c r="I98" i="25"/>
  <c r="I113" i="25"/>
  <c r="CB44" i="25"/>
  <c r="I102" i="25"/>
  <c r="I52" i="25"/>
  <c r="I16" i="25"/>
  <c r="I104" i="25"/>
  <c r="I110" i="25"/>
  <c r="I85" i="25"/>
  <c r="I82" i="25"/>
  <c r="I7" i="25"/>
  <c r="I121" i="25"/>
  <c r="I86" i="25"/>
  <c r="I99" i="25"/>
  <c r="I56" i="25"/>
  <c r="I73" i="25"/>
  <c r="I74" i="25"/>
  <c r="I62" i="25"/>
  <c r="I22" i="25"/>
  <c r="I40" i="25"/>
  <c r="I107" i="25"/>
  <c r="I25" i="25"/>
  <c r="I26" i="25"/>
  <c r="I122" i="25"/>
  <c r="I101" i="25"/>
  <c r="I117" i="25"/>
  <c r="I41" i="25"/>
  <c r="I51" i="25"/>
  <c r="I48" i="25"/>
  <c r="I72" i="25"/>
  <c r="I13" i="25"/>
  <c r="I30" i="25"/>
  <c r="I42" i="25"/>
  <c r="I28" i="25"/>
  <c r="I15" i="25"/>
  <c r="I38" i="25"/>
  <c r="I109" i="25"/>
  <c r="I4" i="25"/>
  <c r="I119" i="25"/>
  <c r="I66" i="25"/>
  <c r="I53" i="25"/>
  <c r="I114" i="25"/>
  <c r="I29" i="25"/>
  <c r="I103" i="25"/>
  <c r="I39" i="25"/>
  <c r="I118" i="25"/>
  <c r="I18" i="25"/>
  <c r="I33" i="25"/>
  <c r="I27" i="25"/>
  <c r="I17" i="25"/>
  <c r="I88" i="25"/>
  <c r="I59" i="25"/>
  <c r="CQ31" i="25"/>
  <c r="CQ32" i="25" s="1"/>
  <c r="AV41" i="25"/>
  <c r="BJ38" i="25"/>
  <c r="BZ44" i="25"/>
  <c r="BZ44" i="26"/>
  <c r="BY44" i="26"/>
  <c r="CP31" i="26"/>
  <c r="CP32" i="26" s="1"/>
  <c r="BI39" i="26"/>
  <c r="AT31" i="26"/>
  <c r="AT32" i="26" s="1"/>
  <c r="AV36" i="26"/>
  <c r="CQ41" i="26"/>
  <c r="AF36" i="26"/>
  <c r="AD31" i="26"/>
  <c r="AD32" i="26" s="1"/>
  <c r="CB44" i="26"/>
  <c r="CR36" i="26"/>
  <c r="CR41" i="26" s="1"/>
  <c r="BK36" i="26"/>
  <c r="BJ39" i="26" s="1"/>
  <c r="BZ33" i="26"/>
  <c r="BZ34" i="26" s="1"/>
  <c r="CC38" i="26"/>
  <c r="CC44" i="26" s="1"/>
  <c r="CO41" i="26"/>
  <c r="CP41" i="26"/>
  <c r="BI29" i="26"/>
  <c r="BI30" i="26" s="1"/>
  <c r="BJ29" i="25"/>
  <c r="BJ30" i="25" s="1"/>
  <c r="CA44" i="25"/>
  <c r="P25" i="25"/>
  <c r="CR41" i="25"/>
  <c r="AW41" i="25"/>
  <c r="BK38" i="25"/>
  <c r="AU31" i="25"/>
  <c r="AU32" i="25" s="1"/>
  <c r="AU41" i="25"/>
  <c r="CQ41" i="25"/>
  <c r="BL36" i="25"/>
  <c r="BI39" i="25" s="1"/>
  <c r="AX39" i="25"/>
  <c r="CA33" i="25"/>
  <c r="CA34" i="25" s="1"/>
  <c r="CS36" i="25"/>
  <c r="CS41" i="25" s="1"/>
  <c r="CD38" i="25"/>
  <c r="CD44" i="25" s="1"/>
  <c r="AB40" i="24"/>
  <c r="AB122" i="24"/>
  <c r="AB121" i="24"/>
  <c r="AB120" i="24"/>
  <c r="AB119" i="24"/>
  <c r="AB118" i="24"/>
  <c r="AB117" i="24"/>
  <c r="AB116" i="24"/>
  <c r="AB115" i="24"/>
  <c r="AB114" i="24"/>
  <c r="AB113" i="24"/>
  <c r="AB112" i="24"/>
  <c r="AB111" i="24"/>
  <c r="AB110" i="24"/>
  <c r="AB109" i="24"/>
  <c r="AB108" i="24"/>
  <c r="AB107" i="24"/>
  <c r="AB106" i="24"/>
  <c r="AB105" i="24"/>
  <c r="AB104" i="24"/>
  <c r="AB103" i="24"/>
  <c r="AB102" i="24"/>
  <c r="AB101" i="24"/>
  <c r="AB100" i="24"/>
  <c r="AB99" i="24"/>
  <c r="AB98" i="24"/>
  <c r="AB97" i="24"/>
  <c r="AB96" i="24"/>
  <c r="AB95" i="24"/>
  <c r="AB94" i="24"/>
  <c r="AB93" i="24"/>
  <c r="AB92" i="24"/>
  <c r="AB91" i="24"/>
  <c r="AB90" i="24"/>
  <c r="AB89" i="24"/>
  <c r="AB88" i="24"/>
  <c r="AB87" i="24"/>
  <c r="AB86" i="24"/>
  <c r="AB85" i="24"/>
  <c r="AB84" i="24"/>
  <c r="AB83" i="24"/>
  <c r="AB82" i="24"/>
  <c r="AB81" i="24"/>
  <c r="AB80" i="24"/>
  <c r="AB79" i="24"/>
  <c r="AB78" i="24"/>
  <c r="AB77" i="24"/>
  <c r="AB76" i="24"/>
  <c r="AB75" i="24"/>
  <c r="AB74" i="24"/>
  <c r="AB73" i="24"/>
  <c r="AB72" i="24"/>
  <c r="AB71" i="24"/>
  <c r="AB70" i="24"/>
  <c r="AB69" i="24"/>
  <c r="AB68" i="24"/>
  <c r="AB67" i="24"/>
  <c r="AB66" i="24"/>
  <c r="AB65" i="24"/>
  <c r="AB64" i="24"/>
  <c r="AB63" i="24"/>
  <c r="AB62" i="24"/>
  <c r="AB61" i="24"/>
  <c r="AB60" i="24"/>
  <c r="AB59" i="24"/>
  <c r="AB58" i="24"/>
  <c r="AB57" i="24"/>
  <c r="AB56" i="24"/>
  <c r="AB55" i="24"/>
  <c r="AB54" i="24"/>
  <c r="AB53" i="24"/>
  <c r="AB52" i="24"/>
  <c r="AB51" i="24"/>
  <c r="AB50" i="24"/>
  <c r="J50" i="24"/>
  <c r="I50" i="24"/>
  <c r="AB49" i="24"/>
  <c r="AB48" i="24"/>
  <c r="AB47" i="24"/>
  <c r="AB46" i="24"/>
  <c r="AB45" i="24"/>
  <c r="AB44" i="24"/>
  <c r="AB43" i="24"/>
  <c r="AB42" i="24"/>
  <c r="AB41" i="24"/>
  <c r="AE39" i="24"/>
  <c r="AE40" i="24" s="1"/>
  <c r="AE41" i="24" s="1"/>
  <c r="AE42" i="24" s="1"/>
  <c r="AE43" i="24" s="1"/>
  <c r="AE44" i="24" s="1"/>
  <c r="AE45" i="24" s="1"/>
  <c r="AE46" i="24" s="1"/>
  <c r="AE47" i="24" s="1"/>
  <c r="AE48" i="24" s="1"/>
  <c r="AE49" i="24" s="1"/>
  <c r="AE50" i="24" s="1"/>
  <c r="AE51" i="24" s="1"/>
  <c r="AE52" i="24" s="1"/>
  <c r="AE53" i="24" s="1"/>
  <c r="AE54" i="24" s="1"/>
  <c r="AE55" i="24" s="1"/>
  <c r="AE56" i="24" s="1"/>
  <c r="AE57" i="24" s="1"/>
  <c r="AE58" i="24" s="1"/>
  <c r="AE59" i="24" s="1"/>
  <c r="AE60" i="24" s="1"/>
  <c r="AE61" i="24" s="1"/>
  <c r="AE62" i="24" s="1"/>
  <c r="AE63" i="24" s="1"/>
  <c r="AE64" i="24" s="1"/>
  <c r="AE65" i="24" s="1"/>
  <c r="AE66" i="24" s="1"/>
  <c r="AE67" i="24" s="1"/>
  <c r="AE68" i="24" s="1"/>
  <c r="AE69" i="24" s="1"/>
  <c r="AE70" i="24" s="1"/>
  <c r="AE71" i="24" s="1"/>
  <c r="AE72" i="24" s="1"/>
  <c r="AE73" i="24" s="1"/>
  <c r="AE74" i="24" s="1"/>
  <c r="AE75" i="24" s="1"/>
  <c r="AE76" i="24" s="1"/>
  <c r="AE77" i="24" s="1"/>
  <c r="AE78" i="24" s="1"/>
  <c r="AE79" i="24" s="1"/>
  <c r="AE80" i="24" s="1"/>
  <c r="AE81" i="24" s="1"/>
  <c r="AE82" i="24" s="1"/>
  <c r="AE83" i="24" s="1"/>
  <c r="AE84" i="24" s="1"/>
  <c r="AE85" i="24" s="1"/>
  <c r="AE86" i="24" s="1"/>
  <c r="AE87" i="24" s="1"/>
  <c r="AE88" i="24" s="1"/>
  <c r="AE89" i="24" s="1"/>
  <c r="AE90" i="24" s="1"/>
  <c r="AE91" i="24" s="1"/>
  <c r="AE92" i="24" s="1"/>
  <c r="AE93" i="24" s="1"/>
  <c r="AE94" i="24" s="1"/>
  <c r="AE95" i="24" s="1"/>
  <c r="AE96" i="24" s="1"/>
  <c r="AE97" i="24" s="1"/>
  <c r="AE98" i="24" s="1"/>
  <c r="AE99" i="24" s="1"/>
  <c r="AE100" i="24" s="1"/>
  <c r="AE101" i="24" s="1"/>
  <c r="AE102" i="24" s="1"/>
  <c r="AE103" i="24" s="1"/>
  <c r="AE104" i="24" s="1"/>
  <c r="AE105" i="24" s="1"/>
  <c r="AE106" i="24" s="1"/>
  <c r="AE107" i="24" s="1"/>
  <c r="AE108" i="24" s="1"/>
  <c r="AE109" i="24" s="1"/>
  <c r="AE110" i="24" s="1"/>
  <c r="AE111" i="24" s="1"/>
  <c r="AE112" i="24" s="1"/>
  <c r="AE113" i="24" s="1"/>
  <c r="AE114" i="24" s="1"/>
  <c r="AE115" i="24" s="1"/>
  <c r="AE116" i="24" s="1"/>
  <c r="AE117" i="24" s="1"/>
  <c r="AE118" i="24" s="1"/>
  <c r="AE119" i="24" s="1"/>
  <c r="AE120" i="24" s="1"/>
  <c r="AE121" i="24" s="1"/>
  <c r="AE122" i="24" s="1"/>
  <c r="AD39" i="24"/>
  <c r="AD40" i="24" s="1"/>
  <c r="AD41" i="24" s="1"/>
  <c r="AD42" i="24" s="1"/>
  <c r="AD43" i="24" s="1"/>
  <c r="AD44" i="24" s="1"/>
  <c r="AD45" i="24" s="1"/>
  <c r="AD46" i="24" s="1"/>
  <c r="AD47" i="24" s="1"/>
  <c r="AD48" i="24" s="1"/>
  <c r="AD49" i="24" s="1"/>
  <c r="AD50" i="24" s="1"/>
  <c r="AD51" i="24" s="1"/>
  <c r="AD52" i="24" s="1"/>
  <c r="AD53" i="24" s="1"/>
  <c r="AD54" i="24" s="1"/>
  <c r="AD55" i="24" s="1"/>
  <c r="AD56" i="24" s="1"/>
  <c r="AD57" i="24" s="1"/>
  <c r="AD58" i="24" s="1"/>
  <c r="AD59" i="24" s="1"/>
  <c r="AD60" i="24" s="1"/>
  <c r="AD61" i="24" s="1"/>
  <c r="AD62" i="24" s="1"/>
  <c r="AD63" i="24" s="1"/>
  <c r="AD64" i="24" s="1"/>
  <c r="AD65" i="24" s="1"/>
  <c r="AD66" i="24" s="1"/>
  <c r="AD67" i="24" s="1"/>
  <c r="AD68" i="24" s="1"/>
  <c r="AD69" i="24" s="1"/>
  <c r="AD70" i="24" s="1"/>
  <c r="AD71" i="24" s="1"/>
  <c r="AD72" i="24" s="1"/>
  <c r="AD73" i="24" s="1"/>
  <c r="AD74" i="24" s="1"/>
  <c r="AD75" i="24" s="1"/>
  <c r="AD76" i="24" s="1"/>
  <c r="AD77" i="24" s="1"/>
  <c r="AD78" i="24" s="1"/>
  <c r="AD79" i="24" s="1"/>
  <c r="AD80" i="24" s="1"/>
  <c r="AD81" i="24" s="1"/>
  <c r="AD82" i="24" s="1"/>
  <c r="AD83" i="24" s="1"/>
  <c r="AD84" i="24" s="1"/>
  <c r="AD85" i="24" s="1"/>
  <c r="AD86" i="24" s="1"/>
  <c r="AD87" i="24" s="1"/>
  <c r="AD88" i="24" s="1"/>
  <c r="AD89" i="24" s="1"/>
  <c r="AD90" i="24" s="1"/>
  <c r="AD91" i="24" s="1"/>
  <c r="AD92" i="24" s="1"/>
  <c r="AD93" i="24" s="1"/>
  <c r="AD94" i="24" s="1"/>
  <c r="AD95" i="24" s="1"/>
  <c r="AD96" i="24" s="1"/>
  <c r="AD97" i="24" s="1"/>
  <c r="AD98" i="24" s="1"/>
  <c r="AD99" i="24" s="1"/>
  <c r="AD100" i="24" s="1"/>
  <c r="AD101" i="24" s="1"/>
  <c r="AD102" i="24" s="1"/>
  <c r="AD103" i="24" s="1"/>
  <c r="AD104" i="24" s="1"/>
  <c r="AD105" i="24" s="1"/>
  <c r="AD106" i="24" s="1"/>
  <c r="AD107" i="24" s="1"/>
  <c r="AD108" i="24" s="1"/>
  <c r="AD109" i="24" s="1"/>
  <c r="AD110" i="24" s="1"/>
  <c r="AD111" i="24" s="1"/>
  <c r="AD112" i="24" s="1"/>
  <c r="AD113" i="24" s="1"/>
  <c r="AD114" i="24" s="1"/>
  <c r="AD115" i="24" s="1"/>
  <c r="AD116" i="24" s="1"/>
  <c r="AD117" i="24" s="1"/>
  <c r="AD118" i="24" s="1"/>
  <c r="AD119" i="24" s="1"/>
  <c r="AD120" i="24" s="1"/>
  <c r="AD121" i="24" s="1"/>
  <c r="AD122" i="24" s="1"/>
  <c r="AC39" i="24"/>
  <c r="AC40" i="24" s="1"/>
  <c r="AC41" i="24" s="1"/>
  <c r="AC42" i="24" s="1"/>
  <c r="AC43" i="24" s="1"/>
  <c r="AC44" i="24" s="1"/>
  <c r="AC45" i="24" s="1"/>
  <c r="AC46" i="24" s="1"/>
  <c r="AC47" i="24" s="1"/>
  <c r="AC48" i="24" s="1"/>
  <c r="AC49" i="24" s="1"/>
  <c r="AC50" i="24" s="1"/>
  <c r="AC51" i="24" s="1"/>
  <c r="AC52" i="24" s="1"/>
  <c r="AC53" i="24" s="1"/>
  <c r="AC54" i="24" s="1"/>
  <c r="AC55" i="24" s="1"/>
  <c r="AC56" i="24" s="1"/>
  <c r="AC57" i="24" s="1"/>
  <c r="AC58" i="24" s="1"/>
  <c r="AC59" i="24" s="1"/>
  <c r="AC60" i="24" s="1"/>
  <c r="AC61" i="24" s="1"/>
  <c r="AC62" i="24" s="1"/>
  <c r="AC63" i="24" s="1"/>
  <c r="AC64" i="24" s="1"/>
  <c r="AC65" i="24" s="1"/>
  <c r="AC66" i="24" s="1"/>
  <c r="AC67" i="24" s="1"/>
  <c r="AC68" i="24" s="1"/>
  <c r="AC69" i="24" s="1"/>
  <c r="AC70" i="24" s="1"/>
  <c r="AC71" i="24" s="1"/>
  <c r="AC72" i="24" s="1"/>
  <c r="AC73" i="24" s="1"/>
  <c r="AC74" i="24" s="1"/>
  <c r="AC75" i="24" s="1"/>
  <c r="AC76" i="24" s="1"/>
  <c r="AC77" i="24" s="1"/>
  <c r="AC78" i="24" s="1"/>
  <c r="AC79" i="24" s="1"/>
  <c r="AC80" i="24" s="1"/>
  <c r="AC81" i="24" s="1"/>
  <c r="AC82" i="24" s="1"/>
  <c r="AC83" i="24" s="1"/>
  <c r="AC84" i="24" s="1"/>
  <c r="AC85" i="24" s="1"/>
  <c r="AC86" i="24" s="1"/>
  <c r="AC87" i="24" s="1"/>
  <c r="AC88" i="24" s="1"/>
  <c r="AC89" i="24" s="1"/>
  <c r="AC90" i="24" s="1"/>
  <c r="AC91" i="24" s="1"/>
  <c r="AC92" i="24" s="1"/>
  <c r="AC93" i="24" s="1"/>
  <c r="AC94" i="24" s="1"/>
  <c r="AC95" i="24" s="1"/>
  <c r="AC96" i="24" s="1"/>
  <c r="AC97" i="24" s="1"/>
  <c r="AC98" i="24" s="1"/>
  <c r="AC99" i="24" s="1"/>
  <c r="AC100" i="24" s="1"/>
  <c r="AC101" i="24" s="1"/>
  <c r="AC102" i="24" s="1"/>
  <c r="AC103" i="24" s="1"/>
  <c r="AC104" i="24" s="1"/>
  <c r="AC105" i="24" s="1"/>
  <c r="AC106" i="24" s="1"/>
  <c r="AC107" i="24" s="1"/>
  <c r="AC108" i="24" s="1"/>
  <c r="AC109" i="24" s="1"/>
  <c r="AC110" i="24" s="1"/>
  <c r="AC111" i="24" s="1"/>
  <c r="AC112" i="24" s="1"/>
  <c r="AC113" i="24" s="1"/>
  <c r="AC114" i="24" s="1"/>
  <c r="AC115" i="24" s="1"/>
  <c r="AC116" i="24" s="1"/>
  <c r="AC117" i="24" s="1"/>
  <c r="AC118" i="24" s="1"/>
  <c r="AC119" i="24" s="1"/>
  <c r="AC120" i="24" s="1"/>
  <c r="AC121" i="24" s="1"/>
  <c r="AC122" i="24" s="1"/>
  <c r="AB39" i="24"/>
  <c r="AF39" i="24" s="1"/>
  <c r="AA37" i="24"/>
  <c r="Z37" i="24"/>
  <c r="P33" i="24"/>
  <c r="P30" i="24"/>
  <c r="S17" i="24"/>
  <c r="T16" i="24" s="1"/>
  <c r="R17" i="24"/>
  <c r="T15" i="24" s="1"/>
  <c r="Q17" i="24"/>
  <c r="T14" i="24" s="1"/>
  <c r="P17" i="24"/>
  <c r="T13" i="24" s="1"/>
  <c r="N17" i="24"/>
  <c r="R16" i="24"/>
  <c r="S15" i="24" s="1"/>
  <c r="Q16" i="24"/>
  <c r="S14" i="24" s="1"/>
  <c r="P16" i="24"/>
  <c r="S13" i="24" s="1"/>
  <c r="N16" i="24"/>
  <c r="Q15" i="24"/>
  <c r="R14" i="24" s="1"/>
  <c r="P15" i="24"/>
  <c r="R13" i="24" s="1"/>
  <c r="N15" i="24"/>
  <c r="P14" i="24"/>
  <c r="Q13" i="24" s="1"/>
  <c r="N14" i="24"/>
  <c r="N13" i="24"/>
  <c r="T11" i="24"/>
  <c r="S11" i="24"/>
  <c r="R11" i="24"/>
  <c r="Q11" i="24"/>
  <c r="P11" i="24"/>
  <c r="T17" i="24"/>
  <c r="S16" i="24"/>
  <c r="V16" i="24" s="1"/>
  <c r="R15" i="24"/>
  <c r="V15" i="24" s="1"/>
  <c r="Q14" i="24"/>
  <c r="V14" i="24" s="1"/>
  <c r="P13" i="24"/>
  <c r="V13" i="24" s="1"/>
  <c r="CE42" i="25" l="1"/>
  <c r="BZ45" i="25" s="1"/>
  <c r="L29" i="25" a="1"/>
  <c r="L29" i="25" s="1"/>
  <c r="L30" i="25" s="1" a="1"/>
  <c r="L30" i="25" s="1"/>
  <c r="L27" i="25"/>
  <c r="I145" i="34"/>
  <c r="H15" i="20"/>
  <c r="H14" i="20"/>
  <c r="B17" i="34"/>
  <c r="E16" i="34"/>
  <c r="BI47" i="24"/>
  <c r="BJ47" i="24" s="1"/>
  <c r="U23" i="25"/>
  <c r="S26" i="25" s="1"/>
  <c r="E18" i="32"/>
  <c r="B19" i="32"/>
  <c r="F16" i="20"/>
  <c r="B19" i="20"/>
  <c r="E19" i="20" s="1"/>
  <c r="AV42" i="25"/>
  <c r="CT39" i="25"/>
  <c r="CP42" i="25" s="1"/>
  <c r="L24" i="25"/>
  <c r="AU42" i="25"/>
  <c r="BK39" i="25"/>
  <c r="CB45" i="25"/>
  <c r="AT42" i="25"/>
  <c r="CD42" i="26"/>
  <c r="CA45" i="26" s="1"/>
  <c r="CB45" i="26"/>
  <c r="BH39" i="26"/>
  <c r="BK39" i="26" s="1"/>
  <c r="AF41" i="26"/>
  <c r="AG39" i="26"/>
  <c r="CS39" i="26"/>
  <c r="CP42" i="26" s="1"/>
  <c r="CQ42" i="26"/>
  <c r="CO42" i="26"/>
  <c r="AV41" i="26"/>
  <c r="AV42" i="26" s="1"/>
  <c r="AW39" i="26"/>
  <c r="CC45" i="25"/>
  <c r="CD45" i="25"/>
  <c r="BJ39" i="25"/>
  <c r="CA45" i="25"/>
  <c r="AW42" i="25"/>
  <c r="T25" i="24"/>
  <c r="P27" i="24"/>
  <c r="T26" i="24"/>
  <c r="T28" i="24"/>
  <c r="AB37" i="24"/>
  <c r="R29" i="24"/>
  <c r="R28" i="24"/>
  <c r="S29" i="24"/>
  <c r="AF40" i="24"/>
  <c r="AF41" i="24" s="1"/>
  <c r="AF42" i="24" s="1"/>
  <c r="AF43" i="24" s="1"/>
  <c r="AF44" i="24" s="1"/>
  <c r="AF45" i="24" s="1"/>
  <c r="AF46" i="24" s="1"/>
  <c r="AF47" i="24" s="1"/>
  <c r="AF48" i="24" s="1"/>
  <c r="AF49" i="24" s="1"/>
  <c r="AF50" i="24" s="1"/>
  <c r="AF51" i="24" s="1"/>
  <c r="AF52" i="24" s="1"/>
  <c r="AF53" i="24" s="1"/>
  <c r="AF54" i="24" s="1"/>
  <c r="AF55" i="24" s="1"/>
  <c r="AF56" i="24" s="1"/>
  <c r="AF57" i="24" s="1"/>
  <c r="AF58" i="24" s="1"/>
  <c r="AF59" i="24" s="1"/>
  <c r="AF60" i="24" s="1"/>
  <c r="AF61" i="24" s="1"/>
  <c r="AF62" i="24" s="1"/>
  <c r="AF63" i="24" s="1"/>
  <c r="AF64" i="24" s="1"/>
  <c r="AF65" i="24" s="1"/>
  <c r="AF66" i="24" s="1"/>
  <c r="AF67" i="24" s="1"/>
  <c r="AF68" i="24" s="1"/>
  <c r="AF69" i="24" s="1"/>
  <c r="AF70" i="24" s="1"/>
  <c r="AF71" i="24" s="1"/>
  <c r="AF72" i="24" s="1"/>
  <c r="AF73" i="24" s="1"/>
  <c r="AF74" i="24" s="1"/>
  <c r="AF75" i="24" s="1"/>
  <c r="AF76" i="24" s="1"/>
  <c r="AF77" i="24" s="1"/>
  <c r="AF78" i="24" s="1"/>
  <c r="AF79" i="24" s="1"/>
  <c r="AF80" i="24" s="1"/>
  <c r="AF81" i="24" s="1"/>
  <c r="AF82" i="24" s="1"/>
  <c r="AF83" i="24" s="1"/>
  <c r="AF84" i="24" s="1"/>
  <c r="AF85" i="24" s="1"/>
  <c r="AF86" i="24" s="1"/>
  <c r="AF87" i="24" s="1"/>
  <c r="AF88" i="24" s="1"/>
  <c r="AF89" i="24" s="1"/>
  <c r="AF90" i="24" s="1"/>
  <c r="AF91" i="24" s="1"/>
  <c r="AF92" i="24" s="1"/>
  <c r="AF93" i="24" s="1"/>
  <c r="AF94" i="24" s="1"/>
  <c r="AF95" i="24" s="1"/>
  <c r="AF96" i="24" s="1"/>
  <c r="AF97" i="24" s="1"/>
  <c r="AF98" i="24" s="1"/>
  <c r="AF99" i="24" s="1"/>
  <c r="AF100" i="24" s="1"/>
  <c r="AF101" i="24" s="1"/>
  <c r="AF102" i="24" s="1"/>
  <c r="AF103" i="24" s="1"/>
  <c r="AF104" i="24" s="1"/>
  <c r="AF105" i="24" s="1"/>
  <c r="AF106" i="24" s="1"/>
  <c r="AF107" i="24" s="1"/>
  <c r="AF108" i="24" s="1"/>
  <c r="AF109" i="24" s="1"/>
  <c r="AF110" i="24" s="1"/>
  <c r="AF111" i="24" s="1"/>
  <c r="AF112" i="24" s="1"/>
  <c r="AF113" i="24" s="1"/>
  <c r="AF114" i="24" s="1"/>
  <c r="AF115" i="24" s="1"/>
  <c r="AF116" i="24" s="1"/>
  <c r="AF117" i="24" s="1"/>
  <c r="AF118" i="24" s="1"/>
  <c r="AF119" i="24" s="1"/>
  <c r="AF120" i="24" s="1"/>
  <c r="AF121" i="24" s="1"/>
  <c r="AF122" i="24" s="1"/>
  <c r="V17" i="24"/>
  <c r="T29" i="24"/>
  <c r="S26" i="24"/>
  <c r="P25" i="24"/>
  <c r="Q29" i="24"/>
  <c r="Q26" i="24"/>
  <c r="R25" i="24"/>
  <c r="P26" i="24"/>
  <c r="P29" i="24"/>
  <c r="S25" i="24"/>
  <c r="P28" i="24"/>
  <c r="Q25" i="24"/>
  <c r="Q27" i="24"/>
  <c r="T27" i="24"/>
  <c r="P22" i="24"/>
  <c r="R26" i="24"/>
  <c r="S27" i="24"/>
  <c r="R27" i="24"/>
  <c r="V18" i="24" a="1"/>
  <c r="V18" i="24" s="1"/>
  <c r="Q28" i="24"/>
  <c r="V19" i="24" a="1"/>
  <c r="V19" i="24" s="1"/>
  <c r="P32" i="24" s="1" a="1"/>
  <c r="P32" i="24" s="1"/>
  <c r="S28" i="24"/>
  <c r="CS42" i="25" l="1"/>
  <c r="CQ42" i="25"/>
  <c r="E17" i="34"/>
  <c r="B18" i="34"/>
  <c r="BI48" i="24"/>
  <c r="Q26" i="25"/>
  <c r="R26" i="25"/>
  <c r="T26" i="25"/>
  <c r="P26" i="25"/>
  <c r="B20" i="32"/>
  <c r="E19" i="32"/>
  <c r="F17" i="20"/>
  <c r="G16" i="20"/>
  <c r="G17" i="20" s="1"/>
  <c r="B20" i="20"/>
  <c r="E20" i="20" s="1"/>
  <c r="CE45" i="25"/>
  <c r="BL39" i="25"/>
  <c r="CR42" i="25"/>
  <c r="AX42" i="25"/>
  <c r="CT42" i="25"/>
  <c r="CR42" i="26"/>
  <c r="CS42" i="26" s="1"/>
  <c r="BY45" i="26"/>
  <c r="AE42" i="26"/>
  <c r="AD42" i="26"/>
  <c r="AC42" i="26"/>
  <c r="AG42" i="26" s="1"/>
  <c r="BZ45" i="26"/>
  <c r="AF42" i="26"/>
  <c r="CC45" i="26"/>
  <c r="AT42" i="26"/>
  <c r="AU42" i="26"/>
  <c r="AS42" i="26"/>
  <c r="AW42" i="26" s="1"/>
  <c r="U27" i="24"/>
  <c r="V27" i="24" s="1"/>
  <c r="U26" i="24"/>
  <c r="V26" i="24" s="1"/>
  <c r="D2" i="26"/>
  <c r="C2" i="26"/>
  <c r="E2" i="26"/>
  <c r="F2" i="26"/>
  <c r="U25" i="24"/>
  <c r="V25" i="24" s="1"/>
  <c r="U28" i="24"/>
  <c r="V28" i="24" s="1"/>
  <c r="U29" i="24"/>
  <c r="V29" i="24" s="1"/>
  <c r="H50" i="24" l="1"/>
  <c r="B2" i="26"/>
  <c r="G102" i="26" s="1"/>
  <c r="H17" i="20"/>
  <c r="H16" i="20"/>
  <c r="E18" i="34"/>
  <c r="B19" i="34"/>
  <c r="BI49" i="24"/>
  <c r="BJ48" i="24"/>
  <c r="U26" i="25"/>
  <c r="E20" i="32"/>
  <c r="B21" i="32"/>
  <c r="G12" i="26"/>
  <c r="G32" i="26"/>
  <c r="G42" i="26"/>
  <c r="G72" i="26"/>
  <c r="G82" i="26"/>
  <c r="G92" i="26"/>
  <c r="G112" i="26"/>
  <c r="G13" i="26"/>
  <c r="G43" i="26"/>
  <c r="G63" i="26"/>
  <c r="G93" i="26"/>
  <c r="G103" i="26"/>
  <c r="G113" i="26"/>
  <c r="G4" i="26"/>
  <c r="G24" i="26"/>
  <c r="G44" i="26"/>
  <c r="G54" i="26"/>
  <c r="G74" i="26"/>
  <c r="G104" i="26"/>
  <c r="G5" i="26"/>
  <c r="G15" i="26"/>
  <c r="G25" i="26"/>
  <c r="G55" i="26"/>
  <c r="G65" i="26"/>
  <c r="G75" i="26"/>
  <c r="G105" i="26"/>
  <c r="G115" i="26"/>
  <c r="G16" i="26"/>
  <c r="G36" i="26"/>
  <c r="G56" i="26"/>
  <c r="G66" i="26"/>
  <c r="G86" i="26"/>
  <c r="G96" i="26"/>
  <c r="G106" i="26"/>
  <c r="G116" i="26"/>
  <c r="G17" i="26"/>
  <c r="G37" i="26"/>
  <c r="G67" i="26"/>
  <c r="G77" i="26"/>
  <c r="G87" i="26"/>
  <c r="G97" i="26"/>
  <c r="G117" i="26"/>
  <c r="G8" i="26"/>
  <c r="G18" i="26"/>
  <c r="G28" i="26"/>
  <c r="G48" i="26"/>
  <c r="G68" i="26"/>
  <c r="G78" i="26"/>
  <c r="G98" i="26"/>
  <c r="G108" i="26"/>
  <c r="G118" i="26"/>
  <c r="G10" i="26"/>
  <c r="G20" i="26"/>
  <c r="G30" i="26"/>
  <c r="G40" i="26"/>
  <c r="G60" i="26"/>
  <c r="G80" i="26"/>
  <c r="G90" i="26"/>
  <c r="G100" i="26"/>
  <c r="G110" i="26"/>
  <c r="G120" i="26"/>
  <c r="G11" i="26"/>
  <c r="G21" i="26"/>
  <c r="G31" i="26"/>
  <c r="G61" i="26"/>
  <c r="G71" i="26"/>
  <c r="G81" i="26"/>
  <c r="G91" i="26"/>
  <c r="G101" i="26"/>
  <c r="G111" i="26"/>
  <c r="G121" i="26"/>
  <c r="G99" i="26"/>
  <c r="G9" i="26"/>
  <c r="G119" i="26"/>
  <c r="G29" i="26"/>
  <c r="G39" i="26"/>
  <c r="G49" i="26"/>
  <c r="G59" i="26"/>
  <c r="G69" i="26"/>
  <c r="G79" i="26"/>
  <c r="G89" i="26"/>
  <c r="G123" i="26"/>
  <c r="F18" i="20"/>
  <c r="B21" i="20"/>
  <c r="E21" i="20" s="1"/>
  <c r="CD45" i="26"/>
  <c r="P24" i="24"/>
  <c r="G27" i="26" l="1"/>
  <c r="G6" i="26"/>
  <c r="G94" i="26"/>
  <c r="G53" i="26"/>
  <c r="G85" i="26"/>
  <c r="G84" i="26"/>
  <c r="G73" i="26"/>
  <c r="G62" i="26"/>
  <c r="D71" i="34" s="1"/>
  <c r="G19" i="26"/>
  <c r="G41" i="26"/>
  <c r="G50" i="26"/>
  <c r="D59" i="34" s="1"/>
  <c r="G58" i="26"/>
  <c r="G47" i="26"/>
  <c r="D56" i="34" s="1"/>
  <c r="G46" i="26"/>
  <c r="D55" i="34" s="1"/>
  <c r="G35" i="26"/>
  <c r="G34" i="26"/>
  <c r="G23" i="26"/>
  <c r="G22" i="26"/>
  <c r="D31" i="34" s="1"/>
  <c r="G122" i="26"/>
  <c r="D131" i="34" s="1"/>
  <c r="G38" i="26"/>
  <c r="D47" i="34" s="1"/>
  <c r="G57" i="26"/>
  <c r="D66" i="34" s="1"/>
  <c r="G76" i="26"/>
  <c r="D85" i="34" s="1"/>
  <c r="G95" i="26"/>
  <c r="D104" i="34" s="1"/>
  <c r="G114" i="26"/>
  <c r="D123" i="34" s="1"/>
  <c r="G14" i="26"/>
  <c r="D23" i="34" s="1"/>
  <c r="G33" i="26"/>
  <c r="G52" i="26"/>
  <c r="D61" i="34" s="1"/>
  <c r="M4" i="26" a="1"/>
  <c r="P23" i="26" s="1"/>
  <c r="G109" i="26"/>
  <c r="D118" i="34" s="1"/>
  <c r="G51" i="26"/>
  <c r="D60" i="34" s="1"/>
  <c r="G70" i="26"/>
  <c r="G88" i="26"/>
  <c r="D97" i="34" s="1"/>
  <c r="G107" i="26"/>
  <c r="D116" i="34" s="1"/>
  <c r="G7" i="26"/>
  <c r="D16" i="34" s="1"/>
  <c r="G26" i="26"/>
  <c r="D35" i="34" s="1"/>
  <c r="G45" i="26"/>
  <c r="D54" i="34" s="1"/>
  <c r="G64" i="26"/>
  <c r="D73" i="34" s="1"/>
  <c r="G83" i="26"/>
  <c r="D92" i="34" s="1"/>
  <c r="H18" i="20"/>
  <c r="B20" i="34"/>
  <c r="E19" i="34"/>
  <c r="BJ49" i="24"/>
  <c r="BI50" i="24"/>
  <c r="D51" i="34"/>
  <c r="D76" i="34"/>
  <c r="D29" i="34"/>
  <c r="D42" i="34"/>
  <c r="D37" i="34"/>
  <c r="D127" i="34"/>
  <c r="D103" i="34"/>
  <c r="D122" i="34"/>
  <c r="D22" i="34"/>
  <c r="D41" i="34"/>
  <c r="D20" i="34"/>
  <c r="D33" i="34"/>
  <c r="D100" i="34"/>
  <c r="D32" i="34"/>
  <c r="D80" i="34"/>
  <c r="D74" i="34"/>
  <c r="D93" i="34"/>
  <c r="D112" i="34"/>
  <c r="D39" i="34"/>
  <c r="D48" i="34"/>
  <c r="D113" i="34"/>
  <c r="D27" i="34"/>
  <c r="D17" i="34"/>
  <c r="D126" i="34"/>
  <c r="D64" i="34"/>
  <c r="D83" i="34"/>
  <c r="D102" i="34"/>
  <c r="D121" i="34"/>
  <c r="D21" i="34"/>
  <c r="D68" i="34"/>
  <c r="D14" i="34"/>
  <c r="D129" i="34"/>
  <c r="D13" i="34"/>
  <c r="D46" i="34"/>
  <c r="D36" i="34"/>
  <c r="D107" i="34"/>
  <c r="D111" i="34"/>
  <c r="D114" i="34"/>
  <c r="D110" i="34"/>
  <c r="D109" i="34"/>
  <c r="D128" i="34"/>
  <c r="D87" i="34"/>
  <c r="D44" i="34"/>
  <c r="D101" i="34"/>
  <c r="D120" i="34"/>
  <c r="D52" i="34"/>
  <c r="D119" i="34"/>
  <c r="D75" i="34"/>
  <c r="D90" i="34"/>
  <c r="D65" i="34"/>
  <c r="D99" i="34"/>
  <c r="D132" i="34"/>
  <c r="D70" i="34"/>
  <c r="D26" i="34"/>
  <c r="D79" i="34"/>
  <c r="D98" i="34"/>
  <c r="D18" i="34"/>
  <c r="D69" i="34"/>
  <c r="D106" i="34"/>
  <c r="D125" i="34"/>
  <c r="D25" i="34"/>
  <c r="D63" i="34"/>
  <c r="D82" i="34"/>
  <c r="D88" i="34"/>
  <c r="D108" i="34"/>
  <c r="D40" i="34"/>
  <c r="D77" i="34"/>
  <c r="D96" i="34"/>
  <c r="D115" i="34"/>
  <c r="D15" i="34"/>
  <c r="D34" i="34"/>
  <c r="D53" i="34"/>
  <c r="D72" i="34"/>
  <c r="D91" i="34"/>
  <c r="D57" i="34"/>
  <c r="D95" i="34"/>
  <c r="D58" i="34"/>
  <c r="D19" i="34"/>
  <c r="D94" i="34"/>
  <c r="D38" i="34"/>
  <c r="D84" i="34"/>
  <c r="D117" i="34"/>
  <c r="D28" i="34"/>
  <c r="D89" i="34"/>
  <c r="D45" i="34"/>
  <c r="D50" i="34"/>
  <c r="D78" i="34"/>
  <c r="D130" i="34"/>
  <c r="D30" i="34"/>
  <c r="D49" i="34"/>
  <c r="D67" i="34"/>
  <c r="D86" i="34"/>
  <c r="D105" i="34"/>
  <c r="D124" i="34"/>
  <c r="D24" i="34"/>
  <c r="D43" i="34"/>
  <c r="D62" i="34"/>
  <c r="D81" i="34"/>
  <c r="B22" i="32"/>
  <c r="E21" i="32"/>
  <c r="F19" i="20"/>
  <c r="G18" i="20"/>
  <c r="B22" i="20"/>
  <c r="E22" i="20" s="1"/>
  <c r="P138" i="22"/>
  <c r="O137" i="22"/>
  <c r="N136" i="22"/>
  <c r="M135" i="22"/>
  <c r="L134" i="22"/>
  <c r="K133" i="22"/>
  <c r="J132" i="22"/>
  <c r="I131" i="22"/>
  <c r="H130" i="22"/>
  <c r="G129" i="22"/>
  <c r="F128" i="22"/>
  <c r="E127" i="22"/>
  <c r="D126" i="22"/>
  <c r="C125" i="22"/>
  <c r="B124" i="22"/>
  <c r="BR38" i="22"/>
  <c r="BQ37" i="22"/>
  <c r="BP36" i="22"/>
  <c r="BO35" i="22" a="1"/>
  <c r="BO35" i="22" s="1"/>
  <c r="BN34" i="22" a="1"/>
  <c r="BN34" i="22" s="1"/>
  <c r="BM33" i="22"/>
  <c r="BL32" i="22"/>
  <c r="BK31" i="22"/>
  <c r="BJ30" i="22"/>
  <c r="BI29" i="22" a="1"/>
  <c r="BI29" i="22" s="1"/>
  <c r="BH28" i="22" a="1"/>
  <c r="BH28" i="22" s="1"/>
  <c r="BG27" i="22"/>
  <c r="BF26" i="22" a="1"/>
  <c r="BF26" i="22" s="1"/>
  <c r="BE25" i="22"/>
  <c r="BD24" i="22"/>
  <c r="I4" i="26" l="1" a="1"/>
  <c r="I4" i="26" s="1"/>
  <c r="S23" i="26"/>
  <c r="Q22" i="26"/>
  <c r="R23" i="26"/>
  <c r="S22" i="26"/>
  <c r="S21" i="26"/>
  <c r="Q21" i="26"/>
  <c r="R21" i="26"/>
  <c r="C139" i="34" a="1"/>
  <c r="C139" i="34" s="1"/>
  <c r="C154" i="34"/>
  <c r="C156" i="34" s="1"/>
  <c r="C153" i="34"/>
  <c r="C155" i="34" s="1"/>
  <c r="C148" i="34" a="1"/>
  <c r="C148" i="34" s="1"/>
  <c r="Q20" i="26"/>
  <c r="R22" i="26"/>
  <c r="M4" i="26"/>
  <c r="O12" i="26" s="1" a="1"/>
  <c r="O12" i="26" s="1"/>
  <c r="O13" i="26" s="1"/>
  <c r="Q23" i="26"/>
  <c r="S20" i="26"/>
  <c r="O23" i="26"/>
  <c r="P22" i="26"/>
  <c r="R20" i="26"/>
  <c r="O21" i="26"/>
  <c r="P21" i="26"/>
  <c r="O20" i="26"/>
  <c r="P20" i="26"/>
  <c r="O22" i="26"/>
  <c r="B21" i="34"/>
  <c r="E20" i="34"/>
  <c r="C146" i="34" a="1"/>
  <c r="C146" i="34" s="1"/>
  <c r="BI51" i="24"/>
  <c r="BJ50" i="24"/>
  <c r="C143" i="32"/>
  <c r="C144" i="32" s="1"/>
  <c r="C145" i="32"/>
  <c r="C144" i="34"/>
  <c r="C143" i="34"/>
  <c r="C141" i="34"/>
  <c r="C142" i="34" s="1"/>
  <c r="C141" i="32" a="1"/>
  <c r="C141" i="32" s="1"/>
  <c r="C146" i="32"/>
  <c r="E22" i="32"/>
  <c r="B23" i="32"/>
  <c r="G19" i="20"/>
  <c r="H19" i="20" s="1"/>
  <c r="F20" i="20"/>
  <c r="B23" i="20"/>
  <c r="E23" i="20" s="1"/>
  <c r="O19" i="26" l="1"/>
  <c r="O25" i="26" s="1"/>
  <c r="P19" i="26"/>
  <c r="S19" i="26"/>
  <c r="S25" i="26" s="1"/>
  <c r="P25" i="26"/>
  <c r="Q19" i="26"/>
  <c r="Q25" i="26" s="1"/>
  <c r="R19" i="26"/>
  <c r="R25" i="26" s="1"/>
  <c r="C142" i="32"/>
  <c r="C153" i="32"/>
  <c r="C154" i="32" s="1"/>
  <c r="C140" i="34"/>
  <c r="C147" i="34" s="1"/>
  <c r="C151" i="34"/>
  <c r="C152" i="34" s="1"/>
  <c r="E21" i="34"/>
  <c r="B22" i="34"/>
  <c r="BI52" i="24"/>
  <c r="BJ51" i="24"/>
  <c r="G15" i="32"/>
  <c r="H15" i="32" s="1"/>
  <c r="G13" i="34"/>
  <c r="B24" i="32"/>
  <c r="E23" i="32"/>
  <c r="F21" i="20"/>
  <c r="G20" i="20"/>
  <c r="B24" i="20"/>
  <c r="E24" i="20" s="1"/>
  <c r="BB6" i="22"/>
  <c r="BB7" i="22"/>
  <c r="BB8" i="22"/>
  <c r="BB9" i="22"/>
  <c r="BB10" i="22"/>
  <c r="BD4" i="22"/>
  <c r="BE4" i="22"/>
  <c r="BF4" i="22"/>
  <c r="BG4" i="22"/>
  <c r="BH4" i="22"/>
  <c r="AX12" i="22"/>
  <c r="T23" i="26" l="1"/>
  <c r="Q26" i="26" s="1"/>
  <c r="C149" i="32"/>
  <c r="I146" i="34" s="1"/>
  <c r="G21" i="20"/>
  <c r="H21" i="20" s="1"/>
  <c r="H20" i="20"/>
  <c r="B23" i="34"/>
  <c r="E22" i="34"/>
  <c r="BI53" i="24"/>
  <c r="BJ52" i="24"/>
  <c r="G14" i="34"/>
  <c r="H14" i="34" s="1"/>
  <c r="G16" i="32"/>
  <c r="H16" i="32" s="1"/>
  <c r="H13" i="34"/>
  <c r="E24" i="32"/>
  <c r="B25" i="32"/>
  <c r="F22" i="20"/>
  <c r="B25" i="20"/>
  <c r="E25" i="20" s="1"/>
  <c r="BH18" i="22"/>
  <c r="BH17" i="22"/>
  <c r="BH16" i="22"/>
  <c r="BH15" i="22"/>
  <c r="BH14" i="22"/>
  <c r="BF14" i="22"/>
  <c r="BF16" i="22"/>
  <c r="BF15" i="22"/>
  <c r="BF18" i="22"/>
  <c r="BF17" i="22"/>
  <c r="BE16" i="22"/>
  <c r="BE15" i="22"/>
  <c r="BE14" i="22"/>
  <c r="BE18" i="22"/>
  <c r="BE17" i="22"/>
  <c r="BD18" i="22"/>
  <c r="BD15" i="22"/>
  <c r="BD16" i="22"/>
  <c r="BD17" i="22"/>
  <c r="BG17" i="22"/>
  <c r="BG18" i="22"/>
  <c r="BG16" i="22"/>
  <c r="BG15" i="22"/>
  <c r="BG14" i="22"/>
  <c r="S26" i="26" l="1"/>
  <c r="P26" i="26"/>
  <c r="R26" i="26"/>
  <c r="O26" i="26"/>
  <c r="H22" i="20"/>
  <c r="E23" i="34"/>
  <c r="B24" i="34"/>
  <c r="BJ53" i="24"/>
  <c r="BI54" i="24"/>
  <c r="G15" i="34"/>
  <c r="H15" i="34" s="1"/>
  <c r="G17" i="32"/>
  <c r="H17" i="32" s="1"/>
  <c r="E25" i="32"/>
  <c r="B26" i="32"/>
  <c r="T26" i="26"/>
  <c r="F23" i="20"/>
  <c r="G22" i="20"/>
  <c r="G23" i="20" s="1"/>
  <c r="B26" i="20"/>
  <c r="E26" i="20" s="1"/>
  <c r="BD14" i="22"/>
  <c r="H23" i="20" l="1"/>
  <c r="B25" i="34"/>
  <c r="E24" i="34"/>
  <c r="BJ54" i="24"/>
  <c r="BI55" i="24"/>
  <c r="G18" i="32"/>
  <c r="H18" i="32" s="1"/>
  <c r="G16" i="34"/>
  <c r="B27" i="32"/>
  <c r="E26" i="32"/>
  <c r="F24" i="20"/>
  <c r="B27" i="20"/>
  <c r="E27" i="20" s="1"/>
  <c r="AT12" i="22"/>
  <c r="BO22" i="22"/>
  <c r="BB35" i="22" s="1"/>
  <c r="AN12" i="22"/>
  <c r="BI22" i="22"/>
  <c r="BB29" i="22" s="1"/>
  <c r="AJ12" i="22"/>
  <c r="BE22" i="22"/>
  <c r="BB25" i="22" s="1"/>
  <c r="AM12" i="22"/>
  <c r="BH22" i="22"/>
  <c r="BB28" i="22" s="1"/>
  <c r="AP12" i="22"/>
  <c r="BK22" i="22"/>
  <c r="BB31" i="22" s="1"/>
  <c r="AK12" i="22"/>
  <c r="BF22" i="22"/>
  <c r="BB26" i="22" s="1"/>
  <c r="AU12" i="22"/>
  <c r="BP22" i="22"/>
  <c r="BB36" i="22" s="1"/>
  <c r="AL12" i="22"/>
  <c r="BG22" i="22"/>
  <c r="BB27" i="22" s="1"/>
  <c r="AV12" i="22"/>
  <c r="BQ22" i="22"/>
  <c r="BB37" i="22" s="1"/>
  <c r="AW12" i="22"/>
  <c r="BR22" i="22"/>
  <c r="BB38" i="22" s="1"/>
  <c r="AO12" i="22"/>
  <c r="BJ22" i="22"/>
  <c r="BB30" i="22" s="1"/>
  <c r="AQ12" i="22"/>
  <c r="BL22" i="22"/>
  <c r="BB32" i="22" s="1"/>
  <c r="AR12" i="22"/>
  <c r="BM22" i="22"/>
  <c r="BB33" i="22" s="1"/>
  <c r="AI12" i="22"/>
  <c r="BD22" i="22"/>
  <c r="BB24" i="22" s="1"/>
  <c r="AS12" i="22"/>
  <c r="BN22" i="22"/>
  <c r="BB34" i="22" s="1"/>
  <c r="BI14" i="22"/>
  <c r="BI16" i="22"/>
  <c r="BI17" i="22"/>
  <c r="BI18" i="22"/>
  <c r="BI15" i="22"/>
  <c r="E25" i="34" l="1"/>
  <c r="B26" i="34"/>
  <c r="BI56" i="24"/>
  <c r="BJ55" i="24"/>
  <c r="G17" i="34"/>
  <c r="H17" i="34" s="1"/>
  <c r="G19" i="32"/>
  <c r="H19" i="32" s="1"/>
  <c r="H16" i="34"/>
  <c r="E27" i="32"/>
  <c r="B28" i="32"/>
  <c r="F25" i="20"/>
  <c r="G24" i="20"/>
  <c r="G25" i="20" s="1"/>
  <c r="B28" i="20"/>
  <c r="E28" i="20" s="1"/>
  <c r="BN52" i="22"/>
  <c r="BN44" i="22"/>
  <c r="BN47" i="22"/>
  <c r="BN46" i="22"/>
  <c r="BN45" i="22"/>
  <c r="BN51" i="22"/>
  <c r="BN54" i="22"/>
  <c r="BN41" i="22"/>
  <c r="BN43" i="22"/>
  <c r="BN48" i="22"/>
  <c r="BN42" i="22"/>
  <c r="BN50" i="22"/>
  <c r="BN55" i="22"/>
  <c r="BN49" i="22"/>
  <c r="BN53" i="22"/>
  <c r="BK53" i="22"/>
  <c r="BK50" i="22"/>
  <c r="BK52" i="22"/>
  <c r="BK41" i="22"/>
  <c r="BK42" i="22"/>
  <c r="BK45" i="22"/>
  <c r="BK48" i="22"/>
  <c r="BK55" i="22"/>
  <c r="BK51" i="22"/>
  <c r="BK54" i="22"/>
  <c r="BK43" i="22"/>
  <c r="BK47" i="22"/>
  <c r="BK49" i="22"/>
  <c r="BK44" i="22"/>
  <c r="BK46" i="22"/>
  <c r="BQ48" i="22"/>
  <c r="BQ55" i="22"/>
  <c r="BQ44" i="22"/>
  <c r="BQ49" i="22"/>
  <c r="BQ51" i="22"/>
  <c r="BQ54" i="22"/>
  <c r="BQ46" i="22"/>
  <c r="BQ52" i="22"/>
  <c r="BQ47" i="22"/>
  <c r="BQ42" i="22"/>
  <c r="BQ53" i="22"/>
  <c r="BQ41" i="22"/>
  <c r="BQ43" i="22"/>
  <c r="BQ50" i="22"/>
  <c r="BQ45" i="22"/>
  <c r="BM55" i="22"/>
  <c r="BM42" i="22"/>
  <c r="BM41" i="22"/>
  <c r="BM48" i="22"/>
  <c r="BM44" i="22"/>
  <c r="BM49" i="22"/>
  <c r="BM51" i="22"/>
  <c r="BM43" i="22"/>
  <c r="BM50" i="22"/>
  <c r="BM52" i="22"/>
  <c r="BM53" i="22"/>
  <c r="BM46" i="22"/>
  <c r="BM45" i="22"/>
  <c r="BM54" i="22"/>
  <c r="BM47" i="22"/>
  <c r="BL48" i="22"/>
  <c r="BL49" i="22"/>
  <c r="BL55" i="22"/>
  <c r="BL51" i="22"/>
  <c r="BL42" i="22"/>
  <c r="BL53" i="22"/>
  <c r="BL54" i="22"/>
  <c r="BL44" i="22"/>
  <c r="BL46" i="22"/>
  <c r="BL50" i="22"/>
  <c r="BL41" i="22"/>
  <c r="BL52" i="22"/>
  <c r="BL45" i="22"/>
  <c r="BL43" i="22"/>
  <c r="BL47" i="22"/>
  <c r="BR50" i="22"/>
  <c r="BR46" i="22"/>
  <c r="BR54" i="22"/>
  <c r="BR48" i="22"/>
  <c r="BR47" i="22"/>
  <c r="BR44" i="22"/>
  <c r="BR52" i="22"/>
  <c r="BR51" i="22"/>
  <c r="BR55" i="22"/>
  <c r="BR41" i="22"/>
  <c r="BR42" i="22"/>
  <c r="BR49" i="22"/>
  <c r="BR43" i="22"/>
  <c r="BR53" i="22"/>
  <c r="BR45" i="22"/>
  <c r="BH54" i="22"/>
  <c r="BH53" i="22"/>
  <c r="BH47" i="22"/>
  <c r="BH44" i="22"/>
  <c r="BH45" i="22"/>
  <c r="BH51" i="22"/>
  <c r="BH41" i="22"/>
  <c r="BH48" i="22"/>
  <c r="BH52" i="22"/>
  <c r="BH55" i="22"/>
  <c r="BH49" i="22"/>
  <c r="BH42" i="22"/>
  <c r="BH46" i="22"/>
  <c r="BH50" i="22"/>
  <c r="BH43" i="22"/>
  <c r="BG55" i="22"/>
  <c r="BG43" i="22"/>
  <c r="BG48" i="22"/>
  <c r="BG49" i="22"/>
  <c r="BG45" i="22"/>
  <c r="BG47" i="22"/>
  <c r="BG52" i="22"/>
  <c r="BG41" i="22"/>
  <c r="BG46" i="22"/>
  <c r="BG53" i="22"/>
  <c r="BG51" i="22"/>
  <c r="BG54" i="22"/>
  <c r="BG42" i="22"/>
  <c r="BG44" i="22"/>
  <c r="BG50" i="22"/>
  <c r="BP52" i="22"/>
  <c r="BP41" i="22"/>
  <c r="BP48" i="22"/>
  <c r="BP53" i="22"/>
  <c r="BP51" i="22"/>
  <c r="BP43" i="22"/>
  <c r="BP46" i="22"/>
  <c r="BP45" i="22"/>
  <c r="BP44" i="22"/>
  <c r="BP47" i="22"/>
  <c r="BP54" i="22"/>
  <c r="BP50" i="22"/>
  <c r="BP55" i="22"/>
  <c r="BP42" i="22"/>
  <c r="BP49" i="22"/>
  <c r="BF52" i="22"/>
  <c r="BF53" i="22"/>
  <c r="BF46" i="22"/>
  <c r="BF48" i="22"/>
  <c r="BF45" i="22"/>
  <c r="BF50" i="22"/>
  <c r="BF49" i="22"/>
  <c r="BF55" i="22"/>
  <c r="BF44" i="22"/>
  <c r="BF41" i="22"/>
  <c r="BF54" i="22"/>
  <c r="BF42" i="22"/>
  <c r="BF47" i="22"/>
  <c r="BF43" i="22"/>
  <c r="BF51" i="22"/>
  <c r="BO52" i="22"/>
  <c r="BO51" i="22"/>
  <c r="BO45" i="22"/>
  <c r="BO46" i="22"/>
  <c r="BO54" i="22"/>
  <c r="BO42" i="22"/>
  <c r="BO48" i="22"/>
  <c r="BO41" i="22"/>
  <c r="BO55" i="22"/>
  <c r="BO44" i="22"/>
  <c r="BO43" i="22"/>
  <c r="BO53" i="22"/>
  <c r="BO49" i="22"/>
  <c r="BO47" i="22"/>
  <c r="BO50" i="22"/>
  <c r="BD55" i="22"/>
  <c r="BD46" i="22"/>
  <c r="BD43" i="22"/>
  <c r="BD48" i="22"/>
  <c r="BD44" i="22"/>
  <c r="BD49" i="22"/>
  <c r="BD53" i="22"/>
  <c r="BD51" i="22"/>
  <c r="BD50" i="22"/>
  <c r="BD41" i="22"/>
  <c r="BD47" i="22"/>
  <c r="BD45" i="22"/>
  <c r="BD42" i="22"/>
  <c r="BD54" i="22"/>
  <c r="BD52" i="22"/>
  <c r="BE52" i="22"/>
  <c r="BE49" i="22"/>
  <c r="BE54" i="22"/>
  <c r="BE55" i="22"/>
  <c r="BE48" i="22"/>
  <c r="BE47" i="22"/>
  <c r="BE50" i="22"/>
  <c r="BE53" i="22"/>
  <c r="BE46" i="22"/>
  <c r="BE42" i="22"/>
  <c r="BE51" i="22"/>
  <c r="BE43" i="22"/>
  <c r="BE44" i="22"/>
  <c r="BE41" i="22"/>
  <c r="BE45" i="22"/>
  <c r="BI49" i="22"/>
  <c r="BI42" i="22"/>
  <c r="BI54" i="22"/>
  <c r="BI45" i="22"/>
  <c r="BI47" i="22"/>
  <c r="BI52" i="22"/>
  <c r="BI48" i="22"/>
  <c r="BI51" i="22"/>
  <c r="BI41" i="22"/>
  <c r="BI55" i="22"/>
  <c r="BI53" i="22"/>
  <c r="BI44" i="22"/>
  <c r="BI43" i="22"/>
  <c r="BI46" i="22"/>
  <c r="BI50" i="22"/>
  <c r="BJ53" i="22"/>
  <c r="BJ48" i="22"/>
  <c r="BJ47" i="22"/>
  <c r="BJ41" i="22"/>
  <c r="BJ55" i="22"/>
  <c r="BJ49" i="22"/>
  <c r="BJ42" i="22"/>
  <c r="BJ52" i="22"/>
  <c r="BJ46" i="22"/>
  <c r="BJ45" i="22"/>
  <c r="BJ54" i="22"/>
  <c r="BJ43" i="22"/>
  <c r="BJ51" i="22"/>
  <c r="BJ50" i="22"/>
  <c r="BJ44" i="22"/>
  <c r="BS59" i="22"/>
  <c r="BJ18" i="22"/>
  <c r="AY10" i="22" s="1"/>
  <c r="BJ15" i="22"/>
  <c r="AY7" i="22" s="1"/>
  <c r="BJ16" i="22"/>
  <c r="AY8" i="22" s="1"/>
  <c r="BJ17" i="22"/>
  <c r="AY9" i="22" s="1"/>
  <c r="BJ14" i="22"/>
  <c r="AY6" i="22" s="1"/>
  <c r="H25" i="20" l="1"/>
  <c r="H24" i="20"/>
  <c r="B27" i="34"/>
  <c r="E26" i="34"/>
  <c r="BJ56" i="24"/>
  <c r="BI57" i="24"/>
  <c r="G18" i="34"/>
  <c r="H18" i="34" s="1"/>
  <c r="G20" i="32"/>
  <c r="G21" i="32" s="1"/>
  <c r="E28" i="32"/>
  <c r="B29" i="32"/>
  <c r="F26" i="20"/>
  <c r="B29" i="20"/>
  <c r="E29" i="20" s="1"/>
  <c r="BS54" i="22"/>
  <c r="BS42" i="22"/>
  <c r="BS46" i="22"/>
  <c r="BS47" i="22"/>
  <c r="BS52" i="22"/>
  <c r="BS44" i="22"/>
  <c r="BS45" i="22"/>
  <c r="BS51" i="22"/>
  <c r="BS43" i="22"/>
  <c r="BS41" i="22"/>
  <c r="BS50" i="22"/>
  <c r="BS48" i="22"/>
  <c r="BS55" i="22"/>
  <c r="BS53" i="22"/>
  <c r="BS49" i="22"/>
  <c r="AY12" i="22"/>
  <c r="H26" i="20" l="1"/>
  <c r="E27" i="34"/>
  <c r="B28" i="34"/>
  <c r="BI58" i="24"/>
  <c r="BJ57" i="24"/>
  <c r="H20" i="32"/>
  <c r="H21" i="32"/>
  <c r="G22" i="32"/>
  <c r="G19" i="34"/>
  <c r="B30" i="32"/>
  <c r="E29" i="32"/>
  <c r="F27" i="20"/>
  <c r="G26" i="20"/>
  <c r="G27" i="20" s="1"/>
  <c r="B30" i="20"/>
  <c r="E30" i="20" s="1"/>
  <c r="BT42" i="22"/>
  <c r="AJ13" i="22" s="1"/>
  <c r="BT44" i="22"/>
  <c r="AL13" i="22" s="1"/>
  <c r="BT46" i="22"/>
  <c r="AN13" i="22" s="1"/>
  <c r="BT43" i="22"/>
  <c r="AK13" i="22" s="1"/>
  <c r="BT45" i="22"/>
  <c r="AM13" i="22" s="1"/>
  <c r="BT49" i="22"/>
  <c r="AQ13" i="22" s="1"/>
  <c r="BT47" i="22"/>
  <c r="AO13" i="22" s="1"/>
  <c r="BS58" i="22"/>
  <c r="BS61" i="22" s="1"/>
  <c r="BT41" i="22"/>
  <c r="AI13" i="22" s="1"/>
  <c r="BT51" i="22"/>
  <c r="AS13" i="22" s="1"/>
  <c r="BT52" i="22"/>
  <c r="AT13" i="22" s="1"/>
  <c r="BT53" i="22"/>
  <c r="AU13" i="22" s="1"/>
  <c r="BT55" i="22"/>
  <c r="AW13" i="22" s="1"/>
  <c r="BT48" i="22"/>
  <c r="AP13" i="22" s="1"/>
  <c r="BT50" i="22"/>
  <c r="AR13" i="22" s="1"/>
  <c r="BT54" i="22"/>
  <c r="AV13" i="22" s="1"/>
  <c r="A6" i="17"/>
  <c r="AD3" i="4"/>
  <c r="BW31" i="21"/>
  <c r="CB30" i="21"/>
  <c r="CA30" i="21"/>
  <c r="BZ30" i="21"/>
  <c r="BY30" i="21"/>
  <c r="CM29" i="21"/>
  <c r="CB29" i="21"/>
  <c r="CA29" i="21"/>
  <c r="BZ29" i="21"/>
  <c r="BY29" i="21"/>
  <c r="AQ29" i="21"/>
  <c r="CQ28" i="21"/>
  <c r="CP28" i="21"/>
  <c r="CO28" i="21"/>
  <c r="CB28" i="21"/>
  <c r="CA28" i="21"/>
  <c r="BZ28" i="21"/>
  <c r="BY28" i="21"/>
  <c r="AU28" i="21"/>
  <c r="AT28" i="21"/>
  <c r="AS28" i="21"/>
  <c r="AE28" i="21"/>
  <c r="AD28" i="21"/>
  <c r="AC28" i="21"/>
  <c r="AA28" i="21"/>
  <c r="CQ27" i="21"/>
  <c r="CP27" i="21"/>
  <c r="CO27" i="21"/>
  <c r="CB27" i="21"/>
  <c r="CA27" i="21"/>
  <c r="BZ27" i="21"/>
  <c r="BY27" i="21"/>
  <c r="BF27" i="21"/>
  <c r="AU27" i="21"/>
  <c r="AT27" i="21"/>
  <c r="AS27" i="21"/>
  <c r="AE27" i="21"/>
  <c r="AD27" i="21"/>
  <c r="AC27" i="21"/>
  <c r="AA27" i="21"/>
  <c r="CQ26" i="21"/>
  <c r="CP26" i="21"/>
  <c r="CO26" i="21"/>
  <c r="BI26" i="21"/>
  <c r="BH26" i="21"/>
  <c r="AU26" i="21"/>
  <c r="AT26" i="21"/>
  <c r="AS26" i="21"/>
  <c r="AE26" i="21"/>
  <c r="AD26" i="21"/>
  <c r="AC26" i="21"/>
  <c r="AA26" i="21"/>
  <c r="BI25" i="21"/>
  <c r="BH25" i="21"/>
  <c r="CK2" i="21"/>
  <c r="CJ2" i="21"/>
  <c r="CI2" i="21"/>
  <c r="BU2" i="21"/>
  <c r="BT2" i="21"/>
  <c r="BS2" i="21"/>
  <c r="BR2" i="21"/>
  <c r="BD2" i="21"/>
  <c r="BC2" i="21"/>
  <c r="BF25" i="21" s="1"/>
  <c r="AO2" i="21"/>
  <c r="AQ28" i="21" s="1"/>
  <c r="AN2" i="21"/>
  <c r="AQ27" i="21" s="1"/>
  <c r="AM2" i="21"/>
  <c r="Y2" i="21"/>
  <c r="X2" i="21"/>
  <c r="W2" i="21"/>
  <c r="H27" i="20" l="1"/>
  <c r="E28" i="34"/>
  <c r="B29" i="34"/>
  <c r="BJ58" i="24"/>
  <c r="BI59" i="24"/>
  <c r="H22" i="32"/>
  <c r="G23" i="32"/>
  <c r="G20" i="34"/>
  <c r="H20" i="34" s="1"/>
  <c r="H19" i="34"/>
  <c r="B31" i="32"/>
  <c r="E30" i="32"/>
  <c r="F28" i="20"/>
  <c r="G28" i="20"/>
  <c r="B31" i="20"/>
  <c r="E31" i="20" s="1"/>
  <c r="AX13" i="22"/>
  <c r="BH34" i="21"/>
  <c r="AE38" i="21"/>
  <c r="BW30" i="21"/>
  <c r="CB41" i="21" s="1"/>
  <c r="BI34" i="21"/>
  <c r="BF26" i="21"/>
  <c r="BI35" i="21" s="1"/>
  <c r="AU38" i="21"/>
  <c r="BY41" i="21"/>
  <c r="BW27" i="21"/>
  <c r="BY38" i="21" s="1"/>
  <c r="BW29" i="21"/>
  <c r="CB40" i="21" s="1"/>
  <c r="BW28" i="21"/>
  <c r="CM26" i="21"/>
  <c r="AE37" i="21"/>
  <c r="AE36" i="21"/>
  <c r="AS38" i="21"/>
  <c r="AQ26" i="21"/>
  <c r="AS36" i="21" s="1"/>
  <c r="AC36" i="21"/>
  <c r="AT38" i="21"/>
  <c r="CM28" i="21"/>
  <c r="CP38" i="21" s="1"/>
  <c r="AS37" i="21"/>
  <c r="AC37" i="21"/>
  <c r="AC38" i="21"/>
  <c r="CM27" i="21"/>
  <c r="CO37" i="21" s="1"/>
  <c r="AT37" i="21"/>
  <c r="AU37" i="21"/>
  <c r="AD38" i="21"/>
  <c r="AD36" i="21"/>
  <c r="AD37" i="21"/>
  <c r="H28" i="20" l="1"/>
  <c r="E29" i="34"/>
  <c r="B30" i="34"/>
  <c r="BI60" i="24"/>
  <c r="BJ60" i="24" s="1"/>
  <c r="BJ59" i="24"/>
  <c r="G24" i="32"/>
  <c r="H23" i="32"/>
  <c r="G21" i="34"/>
  <c r="B32" i="32"/>
  <c r="E31" i="32"/>
  <c r="F29" i="20"/>
  <c r="B32" i="20"/>
  <c r="E32" i="20" s="1"/>
  <c r="BZ38" i="21"/>
  <c r="BH35" i="21"/>
  <c r="BZ41" i="21"/>
  <c r="CA41" i="21"/>
  <c r="CA40" i="21"/>
  <c r="BZ40" i="21"/>
  <c r="BZ39" i="21"/>
  <c r="BY39" i="21"/>
  <c r="CB39" i="21"/>
  <c r="AT36" i="21"/>
  <c r="BY40" i="21"/>
  <c r="CQ38" i="21"/>
  <c r="AU36" i="21"/>
  <c r="CO38" i="21"/>
  <c r="CP36" i="21"/>
  <c r="CO36" i="21"/>
  <c r="CA39" i="21"/>
  <c r="CB38" i="21"/>
  <c r="CQ37" i="21"/>
  <c r="CA38" i="21"/>
  <c r="CP37" i="21"/>
  <c r="CQ36" i="21"/>
  <c r="E30" i="34" l="1"/>
  <c r="B31" i="34"/>
  <c r="BI61" i="24"/>
  <c r="G25" i="32"/>
  <c r="H24" i="32"/>
  <c r="G22" i="34"/>
  <c r="H21" i="34"/>
  <c r="E32" i="32"/>
  <c r="B33" i="32"/>
  <c r="F30" i="20"/>
  <c r="G29" i="20"/>
  <c r="H29" i="20" s="1"/>
  <c r="B33" i="20"/>
  <c r="E33" i="20" s="1"/>
  <c r="M4" i="21" a="1"/>
  <c r="M4" i="21" s="1"/>
  <c r="O3" i="14"/>
  <c r="O4" i="14"/>
  <c r="N4" i="14"/>
  <c r="N3" i="14"/>
  <c r="M3" i="7"/>
  <c r="O5" i="14"/>
  <c r="N5" i="14"/>
  <c r="O2" i="14"/>
  <c r="N2" i="14"/>
  <c r="F5" i="21"/>
  <c r="CL5" i="21" s="1"/>
  <c r="F6" i="21"/>
  <c r="CL6" i="21" s="1"/>
  <c r="F7" i="21"/>
  <c r="CL7" i="21" s="1"/>
  <c r="F8" i="21"/>
  <c r="CL8" i="21" s="1"/>
  <c r="F9" i="21"/>
  <c r="CL9" i="21" s="1"/>
  <c r="F10" i="21"/>
  <c r="CL10" i="21" s="1"/>
  <c r="F11" i="21"/>
  <c r="CL11" i="21" s="1"/>
  <c r="F12" i="21"/>
  <c r="CL12" i="21" s="1"/>
  <c r="F13" i="21"/>
  <c r="CL13" i="21" s="1"/>
  <c r="F14" i="21"/>
  <c r="CL14" i="21" s="1"/>
  <c r="F15" i="21"/>
  <c r="CL15" i="21" s="1"/>
  <c r="F16" i="21"/>
  <c r="CL16" i="21" s="1"/>
  <c r="F17" i="21"/>
  <c r="CL17" i="21" s="1"/>
  <c r="F18" i="21"/>
  <c r="CL18" i="21" s="1"/>
  <c r="F19" i="21"/>
  <c r="CL19" i="21" s="1"/>
  <c r="F20" i="21"/>
  <c r="CL20" i="21" s="1"/>
  <c r="F21" i="21"/>
  <c r="CL21" i="21" s="1"/>
  <c r="F22" i="21"/>
  <c r="CL22" i="21" s="1"/>
  <c r="F23" i="21"/>
  <c r="CL23" i="21" s="1"/>
  <c r="F24" i="21"/>
  <c r="CL24" i="21" s="1"/>
  <c r="F25" i="21"/>
  <c r="CL25" i="21" s="1"/>
  <c r="F26" i="21"/>
  <c r="CL26" i="21" s="1"/>
  <c r="F27" i="21"/>
  <c r="CL27" i="21" s="1"/>
  <c r="F28" i="21"/>
  <c r="CL28" i="21" s="1"/>
  <c r="F29" i="21"/>
  <c r="CL29" i="21" s="1"/>
  <c r="F30" i="21"/>
  <c r="CL30" i="21" s="1"/>
  <c r="F31" i="21"/>
  <c r="CL31" i="21" s="1"/>
  <c r="F32" i="21"/>
  <c r="CL32" i="21" s="1"/>
  <c r="F33" i="21"/>
  <c r="CL33" i="21" s="1"/>
  <c r="F34" i="21"/>
  <c r="CL34" i="21" s="1"/>
  <c r="F35" i="21"/>
  <c r="CL35" i="21" s="1"/>
  <c r="F36" i="21"/>
  <c r="CL36" i="21" s="1"/>
  <c r="F37" i="21"/>
  <c r="CL37" i="21" s="1"/>
  <c r="F38" i="21"/>
  <c r="CL38" i="21" s="1"/>
  <c r="F39" i="21"/>
  <c r="CL39" i="21" s="1"/>
  <c r="F40" i="21"/>
  <c r="CL40" i="21" s="1"/>
  <c r="F41" i="21"/>
  <c r="CL41" i="21" s="1"/>
  <c r="F42" i="21"/>
  <c r="CL42" i="21" s="1"/>
  <c r="F43" i="21"/>
  <c r="CL43" i="21" s="1"/>
  <c r="F44" i="21"/>
  <c r="CL44" i="21" s="1"/>
  <c r="F45" i="21"/>
  <c r="CL45" i="21" s="1"/>
  <c r="F46" i="21"/>
  <c r="CL46" i="21" s="1"/>
  <c r="F47" i="21"/>
  <c r="CL47" i="21" s="1"/>
  <c r="F48" i="21"/>
  <c r="CL48" i="21" s="1"/>
  <c r="F49" i="21"/>
  <c r="CL49" i="21" s="1"/>
  <c r="F50" i="21"/>
  <c r="CL50" i="21" s="1"/>
  <c r="F51" i="21"/>
  <c r="CL51" i="21" s="1"/>
  <c r="F52" i="21"/>
  <c r="CL52" i="21" s="1"/>
  <c r="F53" i="21"/>
  <c r="CL53" i="21" s="1"/>
  <c r="F54" i="21"/>
  <c r="CL54" i="21" s="1"/>
  <c r="F55" i="21"/>
  <c r="CL55" i="21" s="1"/>
  <c r="F56" i="21"/>
  <c r="CL56" i="21" s="1"/>
  <c r="F57" i="21"/>
  <c r="CL57" i="21" s="1"/>
  <c r="F58" i="21"/>
  <c r="CL58" i="21" s="1"/>
  <c r="F59" i="21"/>
  <c r="CL59" i="21" s="1"/>
  <c r="F60" i="21"/>
  <c r="CL60" i="21" s="1"/>
  <c r="F61" i="21"/>
  <c r="CL61" i="21" s="1"/>
  <c r="F62" i="21"/>
  <c r="CL62" i="21" s="1"/>
  <c r="F63" i="21"/>
  <c r="CL63" i="21" s="1"/>
  <c r="F64" i="21"/>
  <c r="CL64" i="21" s="1"/>
  <c r="F65" i="21"/>
  <c r="CL65" i="21" s="1"/>
  <c r="F66" i="21"/>
  <c r="CL66" i="21" s="1"/>
  <c r="F67" i="21"/>
  <c r="CL67" i="21" s="1"/>
  <c r="F68" i="21"/>
  <c r="CL68" i="21" s="1"/>
  <c r="F69" i="21"/>
  <c r="CL69" i="21" s="1"/>
  <c r="F70" i="21"/>
  <c r="CL70" i="21" s="1"/>
  <c r="F71" i="21"/>
  <c r="CL71" i="21" s="1"/>
  <c r="F72" i="21"/>
  <c r="CL72" i="21" s="1"/>
  <c r="F73" i="21"/>
  <c r="CL73" i="21" s="1"/>
  <c r="F74" i="21"/>
  <c r="CL74" i="21" s="1"/>
  <c r="F75" i="21"/>
  <c r="CL75" i="21" s="1"/>
  <c r="F76" i="21"/>
  <c r="CL76" i="21" s="1"/>
  <c r="F77" i="21"/>
  <c r="CL77" i="21" s="1"/>
  <c r="F78" i="21"/>
  <c r="CL78" i="21" s="1"/>
  <c r="F79" i="21"/>
  <c r="CL79" i="21" s="1"/>
  <c r="F80" i="21"/>
  <c r="CL80" i="21" s="1"/>
  <c r="F81" i="21"/>
  <c r="CL81" i="21" s="1"/>
  <c r="F82" i="21"/>
  <c r="CL82" i="21" s="1"/>
  <c r="F83" i="21"/>
  <c r="CL83" i="21" s="1"/>
  <c r="F84" i="21"/>
  <c r="CL84" i="21" s="1"/>
  <c r="F85" i="21"/>
  <c r="CL85" i="21" s="1"/>
  <c r="F86" i="21"/>
  <c r="CL86" i="21" s="1"/>
  <c r="F87" i="21"/>
  <c r="CL87" i="21" s="1"/>
  <c r="F88" i="21"/>
  <c r="CL88" i="21" s="1"/>
  <c r="F89" i="21"/>
  <c r="CL89" i="21" s="1"/>
  <c r="F90" i="21"/>
  <c r="CL90" i="21" s="1"/>
  <c r="F91" i="21"/>
  <c r="CL91" i="21" s="1"/>
  <c r="F92" i="21"/>
  <c r="CL92" i="21" s="1"/>
  <c r="F93" i="21"/>
  <c r="CL93" i="21" s="1"/>
  <c r="F94" i="21"/>
  <c r="CL94" i="21" s="1"/>
  <c r="F95" i="21"/>
  <c r="CL95" i="21" s="1"/>
  <c r="F96" i="21"/>
  <c r="CL96" i="21" s="1"/>
  <c r="F97" i="21"/>
  <c r="CL97" i="21" s="1"/>
  <c r="F98" i="21"/>
  <c r="CL98" i="21" s="1"/>
  <c r="F99" i="21"/>
  <c r="CL99" i="21" s="1"/>
  <c r="F100" i="21"/>
  <c r="CL100" i="21" s="1"/>
  <c r="F101" i="21"/>
  <c r="CL101" i="21" s="1"/>
  <c r="F102" i="21"/>
  <c r="CL102" i="21" s="1"/>
  <c r="F103" i="21"/>
  <c r="CL103" i="21" s="1"/>
  <c r="F104" i="21"/>
  <c r="CL104" i="21" s="1"/>
  <c r="F105" i="21"/>
  <c r="CL105" i="21" s="1"/>
  <c r="F106" i="21"/>
  <c r="CL106" i="21" s="1"/>
  <c r="F107" i="21"/>
  <c r="CL107" i="21" s="1"/>
  <c r="F108" i="21"/>
  <c r="CL108" i="21" s="1"/>
  <c r="F109" i="21"/>
  <c r="CL109" i="21" s="1"/>
  <c r="F110" i="21"/>
  <c r="CL110" i="21" s="1"/>
  <c r="F111" i="21"/>
  <c r="CL111" i="21" s="1"/>
  <c r="F112" i="21"/>
  <c r="CL112" i="21" s="1"/>
  <c r="F113" i="21"/>
  <c r="CL113" i="21" s="1"/>
  <c r="F114" i="21"/>
  <c r="CL114" i="21" s="1"/>
  <c r="F115" i="21"/>
  <c r="CL115" i="21" s="1"/>
  <c r="F116" i="21"/>
  <c r="CL116" i="21" s="1"/>
  <c r="F117" i="21"/>
  <c r="CL117" i="21" s="1"/>
  <c r="F118" i="21"/>
  <c r="CL118" i="21" s="1"/>
  <c r="F119" i="21"/>
  <c r="CL119" i="21" s="1"/>
  <c r="F120" i="21"/>
  <c r="CL120" i="21" s="1"/>
  <c r="F121" i="21"/>
  <c r="CL121" i="21" s="1"/>
  <c r="F122" i="21"/>
  <c r="CL122" i="21" s="1"/>
  <c r="F123" i="21"/>
  <c r="CL123" i="21" s="1"/>
  <c r="B5" i="21"/>
  <c r="C5" i="21"/>
  <c r="AP5" i="21" s="1"/>
  <c r="D5" i="21"/>
  <c r="BE5" i="21" s="1"/>
  <c r="E5" i="21"/>
  <c r="BV5" i="21" s="1"/>
  <c r="B6" i="21"/>
  <c r="C6" i="21"/>
  <c r="AP6" i="21" s="1"/>
  <c r="D6" i="21"/>
  <c r="BE6" i="21" s="1"/>
  <c r="E6" i="21"/>
  <c r="BV6" i="21" s="1"/>
  <c r="B7" i="21"/>
  <c r="C7" i="21"/>
  <c r="AP7" i="21" s="1"/>
  <c r="D7" i="21"/>
  <c r="BE7" i="21" s="1"/>
  <c r="E7" i="21"/>
  <c r="BV7" i="21" s="1"/>
  <c r="B8" i="21"/>
  <c r="C8" i="21"/>
  <c r="AP8" i="21" s="1"/>
  <c r="D8" i="21"/>
  <c r="BE8" i="21" s="1"/>
  <c r="E8" i="21"/>
  <c r="BV8" i="21" s="1"/>
  <c r="B9" i="21"/>
  <c r="C9" i="21"/>
  <c r="AP9" i="21" s="1"/>
  <c r="D9" i="21"/>
  <c r="BE9" i="21" s="1"/>
  <c r="E9" i="21"/>
  <c r="BV9" i="21" s="1"/>
  <c r="B10" i="21"/>
  <c r="C10" i="21"/>
  <c r="AP10" i="21" s="1"/>
  <c r="D10" i="21"/>
  <c r="BE10" i="21" s="1"/>
  <c r="E10" i="21"/>
  <c r="BV10" i="21" s="1"/>
  <c r="B11" i="21"/>
  <c r="C11" i="21"/>
  <c r="AP11" i="21" s="1"/>
  <c r="D11" i="21"/>
  <c r="BE11" i="21" s="1"/>
  <c r="E11" i="21"/>
  <c r="BV11" i="21" s="1"/>
  <c r="B12" i="21"/>
  <c r="C12" i="21"/>
  <c r="AP12" i="21" s="1"/>
  <c r="D12" i="21"/>
  <c r="BE12" i="21" s="1"/>
  <c r="E12" i="21"/>
  <c r="BV12" i="21" s="1"/>
  <c r="B13" i="21"/>
  <c r="C13" i="21"/>
  <c r="AP13" i="21" s="1"/>
  <c r="D13" i="21"/>
  <c r="BE13" i="21" s="1"/>
  <c r="E13" i="21"/>
  <c r="BV13" i="21" s="1"/>
  <c r="B14" i="21"/>
  <c r="C14" i="21"/>
  <c r="AP14" i="21" s="1"/>
  <c r="D14" i="21"/>
  <c r="BE14" i="21" s="1"/>
  <c r="E14" i="21"/>
  <c r="BV14" i="21" s="1"/>
  <c r="B15" i="21"/>
  <c r="C15" i="21"/>
  <c r="AP15" i="21" s="1"/>
  <c r="D15" i="21"/>
  <c r="BE15" i="21" s="1"/>
  <c r="E15" i="21"/>
  <c r="BV15" i="21" s="1"/>
  <c r="B16" i="21"/>
  <c r="C16" i="21"/>
  <c r="AP16" i="21" s="1"/>
  <c r="D16" i="21"/>
  <c r="BE16" i="21" s="1"/>
  <c r="E16" i="21"/>
  <c r="BV16" i="21" s="1"/>
  <c r="B17" i="21"/>
  <c r="C17" i="21"/>
  <c r="AP17" i="21" s="1"/>
  <c r="D17" i="21"/>
  <c r="BE17" i="21" s="1"/>
  <c r="E17" i="21"/>
  <c r="BV17" i="21" s="1"/>
  <c r="B18" i="21"/>
  <c r="C18" i="21"/>
  <c r="AP18" i="21" s="1"/>
  <c r="D18" i="21"/>
  <c r="BE18" i="21" s="1"/>
  <c r="E18" i="21"/>
  <c r="BV18" i="21" s="1"/>
  <c r="B19" i="21"/>
  <c r="C19" i="21"/>
  <c r="AP19" i="21" s="1"/>
  <c r="D19" i="21"/>
  <c r="BE19" i="21" s="1"/>
  <c r="E19" i="21"/>
  <c r="BV19" i="21" s="1"/>
  <c r="B20" i="21"/>
  <c r="C20" i="21"/>
  <c r="AP20" i="21" s="1"/>
  <c r="D20" i="21"/>
  <c r="BE20" i="21" s="1"/>
  <c r="E20" i="21"/>
  <c r="BV20" i="21" s="1"/>
  <c r="B21" i="21"/>
  <c r="C21" i="21"/>
  <c r="AP21" i="21" s="1"/>
  <c r="D21" i="21"/>
  <c r="BE21" i="21" s="1"/>
  <c r="E21" i="21"/>
  <c r="BV21" i="21" s="1"/>
  <c r="B22" i="21"/>
  <c r="C22" i="21"/>
  <c r="AP22" i="21" s="1"/>
  <c r="D22" i="21"/>
  <c r="BE22" i="21" s="1"/>
  <c r="E22" i="21"/>
  <c r="BV22" i="21" s="1"/>
  <c r="B23" i="21"/>
  <c r="C23" i="21"/>
  <c r="AP23" i="21" s="1"/>
  <c r="D23" i="21"/>
  <c r="BE23" i="21" s="1"/>
  <c r="E23" i="21"/>
  <c r="BV23" i="21" s="1"/>
  <c r="B24" i="21"/>
  <c r="C24" i="21"/>
  <c r="AP24" i="21" s="1"/>
  <c r="D24" i="21"/>
  <c r="BE24" i="21" s="1"/>
  <c r="E24" i="21"/>
  <c r="BV24" i="21" s="1"/>
  <c r="B25" i="21"/>
  <c r="C25" i="21"/>
  <c r="AP25" i="21" s="1"/>
  <c r="D25" i="21"/>
  <c r="BE25" i="21" s="1"/>
  <c r="E25" i="21"/>
  <c r="BV25" i="21" s="1"/>
  <c r="B26" i="21"/>
  <c r="C26" i="21"/>
  <c r="AP26" i="21" s="1"/>
  <c r="D26" i="21"/>
  <c r="BE26" i="21" s="1"/>
  <c r="E26" i="21"/>
  <c r="BV26" i="21" s="1"/>
  <c r="B27" i="21"/>
  <c r="C27" i="21"/>
  <c r="AP27" i="21" s="1"/>
  <c r="D27" i="21"/>
  <c r="BE27" i="21" s="1"/>
  <c r="E27" i="21"/>
  <c r="BV27" i="21" s="1"/>
  <c r="B28" i="21"/>
  <c r="C28" i="21"/>
  <c r="AP28" i="21" s="1"/>
  <c r="D28" i="21"/>
  <c r="BE28" i="21" s="1"/>
  <c r="E28" i="21"/>
  <c r="BV28" i="21" s="1"/>
  <c r="B29" i="21"/>
  <c r="C29" i="21"/>
  <c r="AP29" i="21" s="1"/>
  <c r="D29" i="21"/>
  <c r="BE29" i="21" s="1"/>
  <c r="E29" i="21"/>
  <c r="BV29" i="21" s="1"/>
  <c r="B30" i="21"/>
  <c r="C30" i="21"/>
  <c r="AP30" i="21" s="1"/>
  <c r="D30" i="21"/>
  <c r="BE30" i="21" s="1"/>
  <c r="E30" i="21"/>
  <c r="BV30" i="21" s="1"/>
  <c r="B31" i="21"/>
  <c r="C31" i="21"/>
  <c r="AP31" i="21" s="1"/>
  <c r="D31" i="21"/>
  <c r="BE31" i="21" s="1"/>
  <c r="E31" i="21"/>
  <c r="BV31" i="21" s="1"/>
  <c r="B32" i="21"/>
  <c r="C32" i="21"/>
  <c r="AP32" i="21" s="1"/>
  <c r="D32" i="21"/>
  <c r="BE32" i="21" s="1"/>
  <c r="E32" i="21"/>
  <c r="BV32" i="21" s="1"/>
  <c r="B33" i="21"/>
  <c r="C33" i="21"/>
  <c r="AP33" i="21" s="1"/>
  <c r="D33" i="21"/>
  <c r="BE33" i="21" s="1"/>
  <c r="E33" i="21"/>
  <c r="BV33" i="21" s="1"/>
  <c r="B34" i="21"/>
  <c r="C34" i="21"/>
  <c r="AP34" i="21" s="1"/>
  <c r="D34" i="21"/>
  <c r="BE34" i="21" s="1"/>
  <c r="E34" i="21"/>
  <c r="BV34" i="21" s="1"/>
  <c r="B35" i="21"/>
  <c r="C35" i="21"/>
  <c r="AP35" i="21" s="1"/>
  <c r="D35" i="21"/>
  <c r="BE35" i="21" s="1"/>
  <c r="E35" i="21"/>
  <c r="BV35" i="21" s="1"/>
  <c r="B36" i="21"/>
  <c r="C36" i="21"/>
  <c r="AP36" i="21" s="1"/>
  <c r="D36" i="21"/>
  <c r="BE36" i="21" s="1"/>
  <c r="E36" i="21"/>
  <c r="BV36" i="21" s="1"/>
  <c r="B37" i="21"/>
  <c r="C37" i="21"/>
  <c r="AP37" i="21" s="1"/>
  <c r="D37" i="21"/>
  <c r="BE37" i="21" s="1"/>
  <c r="E37" i="21"/>
  <c r="BV37" i="21" s="1"/>
  <c r="B38" i="21"/>
  <c r="C38" i="21"/>
  <c r="AP38" i="21" s="1"/>
  <c r="D38" i="21"/>
  <c r="BE38" i="21" s="1"/>
  <c r="E38" i="21"/>
  <c r="BV38" i="21" s="1"/>
  <c r="B39" i="21"/>
  <c r="C39" i="21"/>
  <c r="AP39" i="21" s="1"/>
  <c r="D39" i="21"/>
  <c r="BE39" i="21" s="1"/>
  <c r="E39" i="21"/>
  <c r="BV39" i="21" s="1"/>
  <c r="B40" i="21"/>
  <c r="C40" i="21"/>
  <c r="AP40" i="21" s="1"/>
  <c r="D40" i="21"/>
  <c r="BE40" i="21" s="1"/>
  <c r="E40" i="21"/>
  <c r="BV40" i="21" s="1"/>
  <c r="B41" i="21"/>
  <c r="C41" i="21"/>
  <c r="AP41" i="21" s="1"/>
  <c r="D41" i="21"/>
  <c r="BE41" i="21" s="1"/>
  <c r="E41" i="21"/>
  <c r="BV41" i="21" s="1"/>
  <c r="B42" i="21"/>
  <c r="C42" i="21"/>
  <c r="AP42" i="21" s="1"/>
  <c r="D42" i="21"/>
  <c r="BE42" i="21" s="1"/>
  <c r="E42" i="21"/>
  <c r="BV42" i="21" s="1"/>
  <c r="B43" i="21"/>
  <c r="C43" i="21"/>
  <c r="AP43" i="21" s="1"/>
  <c r="D43" i="21"/>
  <c r="BE43" i="21" s="1"/>
  <c r="E43" i="21"/>
  <c r="BV43" i="21" s="1"/>
  <c r="B44" i="21"/>
  <c r="C44" i="21"/>
  <c r="AP44" i="21" s="1"/>
  <c r="D44" i="21"/>
  <c r="BE44" i="21" s="1"/>
  <c r="E44" i="21"/>
  <c r="BV44" i="21" s="1"/>
  <c r="B45" i="21"/>
  <c r="C45" i="21"/>
  <c r="AP45" i="21" s="1"/>
  <c r="D45" i="21"/>
  <c r="BE45" i="21" s="1"/>
  <c r="E45" i="21"/>
  <c r="BV45" i="21" s="1"/>
  <c r="B46" i="21"/>
  <c r="C46" i="21"/>
  <c r="AP46" i="21" s="1"/>
  <c r="D46" i="21"/>
  <c r="BE46" i="21" s="1"/>
  <c r="E46" i="21"/>
  <c r="BV46" i="21" s="1"/>
  <c r="B47" i="21"/>
  <c r="C47" i="21"/>
  <c r="AP47" i="21" s="1"/>
  <c r="D47" i="21"/>
  <c r="BE47" i="21" s="1"/>
  <c r="E47" i="21"/>
  <c r="BV47" i="21" s="1"/>
  <c r="B48" i="21"/>
  <c r="C48" i="21"/>
  <c r="AP48" i="21" s="1"/>
  <c r="D48" i="21"/>
  <c r="BE48" i="21" s="1"/>
  <c r="E48" i="21"/>
  <c r="BV48" i="21" s="1"/>
  <c r="B49" i="21"/>
  <c r="C49" i="21"/>
  <c r="AP49" i="21" s="1"/>
  <c r="D49" i="21"/>
  <c r="BE49" i="21" s="1"/>
  <c r="E49" i="21"/>
  <c r="BV49" i="21" s="1"/>
  <c r="B50" i="21"/>
  <c r="C50" i="21"/>
  <c r="AP50" i="21" s="1"/>
  <c r="D50" i="21"/>
  <c r="BE50" i="21" s="1"/>
  <c r="E50" i="21"/>
  <c r="BV50" i="21" s="1"/>
  <c r="B51" i="21"/>
  <c r="C51" i="21"/>
  <c r="AP51" i="21" s="1"/>
  <c r="D51" i="21"/>
  <c r="BE51" i="21" s="1"/>
  <c r="E51" i="21"/>
  <c r="BV51" i="21" s="1"/>
  <c r="B52" i="21"/>
  <c r="C52" i="21"/>
  <c r="AP52" i="21" s="1"/>
  <c r="D52" i="21"/>
  <c r="BE52" i="21" s="1"/>
  <c r="E52" i="21"/>
  <c r="BV52" i="21" s="1"/>
  <c r="B53" i="21"/>
  <c r="C53" i="21"/>
  <c r="AP53" i="21" s="1"/>
  <c r="D53" i="21"/>
  <c r="BE53" i="21" s="1"/>
  <c r="E53" i="21"/>
  <c r="BV53" i="21" s="1"/>
  <c r="B54" i="21"/>
  <c r="C54" i="21"/>
  <c r="AP54" i="21" s="1"/>
  <c r="D54" i="21"/>
  <c r="BE54" i="21" s="1"/>
  <c r="E54" i="21"/>
  <c r="BV54" i="21" s="1"/>
  <c r="B55" i="21"/>
  <c r="C55" i="21"/>
  <c r="AP55" i="21" s="1"/>
  <c r="D55" i="21"/>
  <c r="BE55" i="21" s="1"/>
  <c r="E55" i="21"/>
  <c r="BV55" i="21" s="1"/>
  <c r="B56" i="21"/>
  <c r="C56" i="21"/>
  <c r="AP56" i="21" s="1"/>
  <c r="D56" i="21"/>
  <c r="BE56" i="21" s="1"/>
  <c r="E56" i="21"/>
  <c r="BV56" i="21" s="1"/>
  <c r="B57" i="21"/>
  <c r="C57" i="21"/>
  <c r="AP57" i="21" s="1"/>
  <c r="D57" i="21"/>
  <c r="BE57" i="21" s="1"/>
  <c r="E57" i="21"/>
  <c r="BV57" i="21" s="1"/>
  <c r="B58" i="21"/>
  <c r="C58" i="21"/>
  <c r="AP58" i="21" s="1"/>
  <c r="D58" i="21"/>
  <c r="BE58" i="21" s="1"/>
  <c r="E58" i="21"/>
  <c r="BV58" i="21" s="1"/>
  <c r="B59" i="21"/>
  <c r="C59" i="21"/>
  <c r="AP59" i="21" s="1"/>
  <c r="D59" i="21"/>
  <c r="BE59" i="21" s="1"/>
  <c r="E59" i="21"/>
  <c r="BV59" i="21" s="1"/>
  <c r="B60" i="21"/>
  <c r="C60" i="21"/>
  <c r="AP60" i="21" s="1"/>
  <c r="D60" i="21"/>
  <c r="BE60" i="21" s="1"/>
  <c r="E60" i="21"/>
  <c r="BV60" i="21" s="1"/>
  <c r="B61" i="21"/>
  <c r="C61" i="21"/>
  <c r="AP61" i="21" s="1"/>
  <c r="D61" i="21"/>
  <c r="BE61" i="21" s="1"/>
  <c r="E61" i="21"/>
  <c r="BV61" i="21" s="1"/>
  <c r="B62" i="21"/>
  <c r="C62" i="21"/>
  <c r="AP62" i="21" s="1"/>
  <c r="D62" i="21"/>
  <c r="BE62" i="21" s="1"/>
  <c r="E62" i="21"/>
  <c r="BV62" i="21" s="1"/>
  <c r="B63" i="21"/>
  <c r="C63" i="21"/>
  <c r="AP63" i="21" s="1"/>
  <c r="D63" i="21"/>
  <c r="BE63" i="21" s="1"/>
  <c r="E63" i="21"/>
  <c r="BV63" i="21" s="1"/>
  <c r="B64" i="21"/>
  <c r="C64" i="21"/>
  <c r="AP64" i="21" s="1"/>
  <c r="D64" i="21"/>
  <c r="BE64" i="21" s="1"/>
  <c r="E64" i="21"/>
  <c r="BV64" i="21" s="1"/>
  <c r="B65" i="21"/>
  <c r="C65" i="21"/>
  <c r="AP65" i="21" s="1"/>
  <c r="D65" i="21"/>
  <c r="BE65" i="21" s="1"/>
  <c r="E65" i="21"/>
  <c r="BV65" i="21" s="1"/>
  <c r="B66" i="21"/>
  <c r="C66" i="21"/>
  <c r="AP66" i="21" s="1"/>
  <c r="D66" i="21"/>
  <c r="BE66" i="21" s="1"/>
  <c r="E66" i="21"/>
  <c r="BV66" i="21" s="1"/>
  <c r="B67" i="21"/>
  <c r="C67" i="21"/>
  <c r="AP67" i="21" s="1"/>
  <c r="D67" i="21"/>
  <c r="BE67" i="21" s="1"/>
  <c r="E67" i="21"/>
  <c r="BV67" i="21" s="1"/>
  <c r="B68" i="21"/>
  <c r="C68" i="21"/>
  <c r="AP68" i="21" s="1"/>
  <c r="D68" i="21"/>
  <c r="BE68" i="21" s="1"/>
  <c r="E68" i="21"/>
  <c r="BV68" i="21" s="1"/>
  <c r="B69" i="21"/>
  <c r="C69" i="21"/>
  <c r="AP69" i="21" s="1"/>
  <c r="D69" i="21"/>
  <c r="BE69" i="21" s="1"/>
  <c r="E69" i="21"/>
  <c r="BV69" i="21" s="1"/>
  <c r="B70" i="21"/>
  <c r="C70" i="21"/>
  <c r="AP70" i="21" s="1"/>
  <c r="D70" i="21"/>
  <c r="BE70" i="21" s="1"/>
  <c r="E70" i="21"/>
  <c r="BV70" i="21" s="1"/>
  <c r="B71" i="21"/>
  <c r="C71" i="21"/>
  <c r="AP71" i="21" s="1"/>
  <c r="D71" i="21"/>
  <c r="BE71" i="21" s="1"/>
  <c r="E71" i="21"/>
  <c r="BV71" i="21" s="1"/>
  <c r="B72" i="21"/>
  <c r="C72" i="21"/>
  <c r="AP72" i="21" s="1"/>
  <c r="D72" i="21"/>
  <c r="BE72" i="21" s="1"/>
  <c r="E72" i="21"/>
  <c r="BV72" i="21" s="1"/>
  <c r="B73" i="21"/>
  <c r="C73" i="21"/>
  <c r="AP73" i="21" s="1"/>
  <c r="D73" i="21"/>
  <c r="BE73" i="21" s="1"/>
  <c r="E73" i="21"/>
  <c r="BV73" i="21" s="1"/>
  <c r="B74" i="21"/>
  <c r="C74" i="21"/>
  <c r="AP74" i="21" s="1"/>
  <c r="D74" i="21"/>
  <c r="BE74" i="21" s="1"/>
  <c r="E74" i="21"/>
  <c r="BV74" i="21" s="1"/>
  <c r="B75" i="21"/>
  <c r="C75" i="21"/>
  <c r="AP75" i="21" s="1"/>
  <c r="D75" i="21"/>
  <c r="BE75" i="21" s="1"/>
  <c r="E75" i="21"/>
  <c r="BV75" i="21" s="1"/>
  <c r="B76" i="21"/>
  <c r="C76" i="21"/>
  <c r="AP76" i="21" s="1"/>
  <c r="D76" i="21"/>
  <c r="BE76" i="21" s="1"/>
  <c r="E76" i="21"/>
  <c r="BV76" i="21" s="1"/>
  <c r="B77" i="21"/>
  <c r="C77" i="21"/>
  <c r="AP77" i="21" s="1"/>
  <c r="D77" i="21"/>
  <c r="BE77" i="21" s="1"/>
  <c r="E77" i="21"/>
  <c r="BV77" i="21" s="1"/>
  <c r="B78" i="21"/>
  <c r="C78" i="21"/>
  <c r="AP78" i="21" s="1"/>
  <c r="D78" i="21"/>
  <c r="BE78" i="21" s="1"/>
  <c r="E78" i="21"/>
  <c r="BV78" i="21" s="1"/>
  <c r="B79" i="21"/>
  <c r="C79" i="21"/>
  <c r="AP79" i="21" s="1"/>
  <c r="D79" i="21"/>
  <c r="BE79" i="21" s="1"/>
  <c r="E79" i="21"/>
  <c r="BV79" i="21" s="1"/>
  <c r="B80" i="21"/>
  <c r="C80" i="21"/>
  <c r="AP80" i="21" s="1"/>
  <c r="D80" i="21"/>
  <c r="BE80" i="21" s="1"/>
  <c r="E80" i="21"/>
  <c r="BV80" i="21" s="1"/>
  <c r="B81" i="21"/>
  <c r="C81" i="21"/>
  <c r="AP81" i="21" s="1"/>
  <c r="D81" i="21"/>
  <c r="BE81" i="21" s="1"/>
  <c r="E81" i="21"/>
  <c r="BV81" i="21" s="1"/>
  <c r="B82" i="21"/>
  <c r="C82" i="21"/>
  <c r="AP82" i="21" s="1"/>
  <c r="D82" i="21"/>
  <c r="BE82" i="21" s="1"/>
  <c r="E82" i="21"/>
  <c r="BV82" i="21" s="1"/>
  <c r="B83" i="21"/>
  <c r="C83" i="21"/>
  <c r="AP83" i="21" s="1"/>
  <c r="D83" i="21"/>
  <c r="BE83" i="21" s="1"/>
  <c r="E83" i="21"/>
  <c r="BV83" i="21" s="1"/>
  <c r="B84" i="21"/>
  <c r="C84" i="21"/>
  <c r="AP84" i="21" s="1"/>
  <c r="D84" i="21"/>
  <c r="BE84" i="21" s="1"/>
  <c r="E84" i="21"/>
  <c r="BV84" i="21" s="1"/>
  <c r="B85" i="21"/>
  <c r="C85" i="21"/>
  <c r="AP85" i="21" s="1"/>
  <c r="D85" i="21"/>
  <c r="BE85" i="21" s="1"/>
  <c r="E85" i="21"/>
  <c r="BV85" i="21" s="1"/>
  <c r="B86" i="21"/>
  <c r="C86" i="21"/>
  <c r="AP86" i="21" s="1"/>
  <c r="D86" i="21"/>
  <c r="BE86" i="21" s="1"/>
  <c r="E86" i="21"/>
  <c r="BV86" i="21" s="1"/>
  <c r="B87" i="21"/>
  <c r="C87" i="21"/>
  <c r="AP87" i="21" s="1"/>
  <c r="D87" i="21"/>
  <c r="BE87" i="21" s="1"/>
  <c r="E87" i="21"/>
  <c r="BV87" i="21" s="1"/>
  <c r="B88" i="21"/>
  <c r="C88" i="21"/>
  <c r="AP88" i="21" s="1"/>
  <c r="D88" i="21"/>
  <c r="BE88" i="21" s="1"/>
  <c r="E88" i="21"/>
  <c r="BV88" i="21" s="1"/>
  <c r="B89" i="21"/>
  <c r="C89" i="21"/>
  <c r="AP89" i="21" s="1"/>
  <c r="D89" i="21"/>
  <c r="BE89" i="21" s="1"/>
  <c r="E89" i="21"/>
  <c r="BV89" i="21" s="1"/>
  <c r="B90" i="21"/>
  <c r="C90" i="21"/>
  <c r="AP90" i="21" s="1"/>
  <c r="D90" i="21"/>
  <c r="BE90" i="21" s="1"/>
  <c r="E90" i="21"/>
  <c r="BV90" i="21" s="1"/>
  <c r="B91" i="21"/>
  <c r="C91" i="21"/>
  <c r="AP91" i="21" s="1"/>
  <c r="D91" i="21"/>
  <c r="BE91" i="21" s="1"/>
  <c r="E91" i="21"/>
  <c r="BV91" i="21" s="1"/>
  <c r="B92" i="21"/>
  <c r="C92" i="21"/>
  <c r="AP92" i="21" s="1"/>
  <c r="D92" i="21"/>
  <c r="BE92" i="21" s="1"/>
  <c r="E92" i="21"/>
  <c r="BV92" i="21" s="1"/>
  <c r="B93" i="21"/>
  <c r="C93" i="21"/>
  <c r="AP93" i="21" s="1"/>
  <c r="D93" i="21"/>
  <c r="BE93" i="21" s="1"/>
  <c r="E93" i="21"/>
  <c r="BV93" i="21" s="1"/>
  <c r="B94" i="21"/>
  <c r="C94" i="21"/>
  <c r="AP94" i="21" s="1"/>
  <c r="D94" i="21"/>
  <c r="BE94" i="21" s="1"/>
  <c r="E94" i="21"/>
  <c r="BV94" i="21" s="1"/>
  <c r="B95" i="21"/>
  <c r="C95" i="21"/>
  <c r="AP95" i="21" s="1"/>
  <c r="D95" i="21"/>
  <c r="BE95" i="21" s="1"/>
  <c r="E95" i="21"/>
  <c r="BV95" i="21" s="1"/>
  <c r="B96" i="21"/>
  <c r="C96" i="21"/>
  <c r="AP96" i="21" s="1"/>
  <c r="D96" i="21"/>
  <c r="BE96" i="21" s="1"/>
  <c r="E96" i="21"/>
  <c r="BV96" i="21" s="1"/>
  <c r="B97" i="21"/>
  <c r="C97" i="21"/>
  <c r="AP97" i="21" s="1"/>
  <c r="D97" i="21"/>
  <c r="BE97" i="21" s="1"/>
  <c r="E97" i="21"/>
  <c r="BV97" i="21" s="1"/>
  <c r="B98" i="21"/>
  <c r="C98" i="21"/>
  <c r="AP98" i="21" s="1"/>
  <c r="D98" i="21"/>
  <c r="BE98" i="21" s="1"/>
  <c r="E98" i="21"/>
  <c r="BV98" i="21" s="1"/>
  <c r="B99" i="21"/>
  <c r="C99" i="21"/>
  <c r="AP99" i="21" s="1"/>
  <c r="D99" i="21"/>
  <c r="BE99" i="21" s="1"/>
  <c r="E99" i="21"/>
  <c r="BV99" i="21" s="1"/>
  <c r="B100" i="21"/>
  <c r="C100" i="21"/>
  <c r="AP100" i="21" s="1"/>
  <c r="D100" i="21"/>
  <c r="BE100" i="21" s="1"/>
  <c r="E100" i="21"/>
  <c r="BV100" i="21" s="1"/>
  <c r="B101" i="21"/>
  <c r="C101" i="21"/>
  <c r="AP101" i="21" s="1"/>
  <c r="D101" i="21"/>
  <c r="BE101" i="21" s="1"/>
  <c r="E101" i="21"/>
  <c r="BV101" i="21" s="1"/>
  <c r="B102" i="21"/>
  <c r="C102" i="21"/>
  <c r="AP102" i="21" s="1"/>
  <c r="D102" i="21"/>
  <c r="BE102" i="21" s="1"/>
  <c r="E102" i="21"/>
  <c r="BV102" i="21" s="1"/>
  <c r="B103" i="21"/>
  <c r="C103" i="21"/>
  <c r="AP103" i="21" s="1"/>
  <c r="D103" i="21"/>
  <c r="BE103" i="21" s="1"/>
  <c r="E103" i="21"/>
  <c r="BV103" i="21" s="1"/>
  <c r="B104" i="21"/>
  <c r="C104" i="21"/>
  <c r="AP104" i="21" s="1"/>
  <c r="D104" i="21"/>
  <c r="BE104" i="21" s="1"/>
  <c r="E104" i="21"/>
  <c r="BV104" i="21" s="1"/>
  <c r="B105" i="21"/>
  <c r="C105" i="21"/>
  <c r="AP105" i="21" s="1"/>
  <c r="D105" i="21"/>
  <c r="BE105" i="21" s="1"/>
  <c r="E105" i="21"/>
  <c r="BV105" i="21" s="1"/>
  <c r="B106" i="21"/>
  <c r="C106" i="21"/>
  <c r="AP106" i="21" s="1"/>
  <c r="D106" i="21"/>
  <c r="BE106" i="21" s="1"/>
  <c r="E106" i="21"/>
  <c r="BV106" i="21" s="1"/>
  <c r="B107" i="21"/>
  <c r="C107" i="21"/>
  <c r="AP107" i="21" s="1"/>
  <c r="D107" i="21"/>
  <c r="BE107" i="21" s="1"/>
  <c r="E107" i="21"/>
  <c r="BV107" i="21" s="1"/>
  <c r="B108" i="21"/>
  <c r="C108" i="21"/>
  <c r="AP108" i="21" s="1"/>
  <c r="D108" i="21"/>
  <c r="BE108" i="21" s="1"/>
  <c r="E108" i="21"/>
  <c r="BV108" i="21" s="1"/>
  <c r="B109" i="21"/>
  <c r="C109" i="21"/>
  <c r="AP109" i="21" s="1"/>
  <c r="D109" i="21"/>
  <c r="BE109" i="21" s="1"/>
  <c r="E109" i="21"/>
  <c r="BV109" i="21" s="1"/>
  <c r="B110" i="21"/>
  <c r="C110" i="21"/>
  <c r="AP110" i="21" s="1"/>
  <c r="D110" i="21"/>
  <c r="BE110" i="21" s="1"/>
  <c r="E110" i="21"/>
  <c r="BV110" i="21" s="1"/>
  <c r="B111" i="21"/>
  <c r="C111" i="21"/>
  <c r="AP111" i="21" s="1"/>
  <c r="D111" i="21"/>
  <c r="BE111" i="21" s="1"/>
  <c r="E111" i="21"/>
  <c r="BV111" i="21" s="1"/>
  <c r="B112" i="21"/>
  <c r="C112" i="21"/>
  <c r="AP112" i="21" s="1"/>
  <c r="D112" i="21"/>
  <c r="BE112" i="21" s="1"/>
  <c r="E112" i="21"/>
  <c r="BV112" i="21" s="1"/>
  <c r="B113" i="21"/>
  <c r="C113" i="21"/>
  <c r="AP113" i="21" s="1"/>
  <c r="D113" i="21"/>
  <c r="BE113" i="21" s="1"/>
  <c r="E113" i="21"/>
  <c r="BV113" i="21" s="1"/>
  <c r="B114" i="21"/>
  <c r="C114" i="21"/>
  <c r="AP114" i="21" s="1"/>
  <c r="D114" i="21"/>
  <c r="BE114" i="21" s="1"/>
  <c r="E114" i="21"/>
  <c r="BV114" i="21" s="1"/>
  <c r="B115" i="21"/>
  <c r="C115" i="21"/>
  <c r="AP115" i="21" s="1"/>
  <c r="D115" i="21"/>
  <c r="BE115" i="21" s="1"/>
  <c r="E115" i="21"/>
  <c r="BV115" i="21" s="1"/>
  <c r="B116" i="21"/>
  <c r="C116" i="21"/>
  <c r="AP116" i="21" s="1"/>
  <c r="D116" i="21"/>
  <c r="BE116" i="21" s="1"/>
  <c r="E116" i="21"/>
  <c r="BV116" i="21" s="1"/>
  <c r="B117" i="21"/>
  <c r="C117" i="21"/>
  <c r="AP117" i="21" s="1"/>
  <c r="D117" i="21"/>
  <c r="BE117" i="21" s="1"/>
  <c r="E117" i="21"/>
  <c r="BV117" i="21" s="1"/>
  <c r="B118" i="21"/>
  <c r="C118" i="21"/>
  <c r="AP118" i="21" s="1"/>
  <c r="D118" i="21"/>
  <c r="BE118" i="21" s="1"/>
  <c r="E118" i="21"/>
  <c r="BV118" i="21" s="1"/>
  <c r="B119" i="21"/>
  <c r="C119" i="21"/>
  <c r="AP119" i="21" s="1"/>
  <c r="D119" i="21"/>
  <c r="BE119" i="21" s="1"/>
  <c r="E119" i="21"/>
  <c r="BV119" i="21" s="1"/>
  <c r="B120" i="21"/>
  <c r="C120" i="21"/>
  <c r="AP120" i="21" s="1"/>
  <c r="D120" i="21"/>
  <c r="BE120" i="21" s="1"/>
  <c r="E120" i="21"/>
  <c r="BV120" i="21" s="1"/>
  <c r="B121" i="21"/>
  <c r="C121" i="21"/>
  <c r="AP121" i="21" s="1"/>
  <c r="D121" i="21"/>
  <c r="BE121" i="21" s="1"/>
  <c r="E121" i="21"/>
  <c r="BV121" i="21" s="1"/>
  <c r="B122" i="21"/>
  <c r="C122" i="21"/>
  <c r="AP122" i="21" s="1"/>
  <c r="D122" i="21"/>
  <c r="BE122" i="21" s="1"/>
  <c r="E122" i="21"/>
  <c r="BV122" i="21" s="1"/>
  <c r="B123" i="21"/>
  <c r="C123" i="21"/>
  <c r="AP123" i="21" s="1"/>
  <c r="D123" i="21"/>
  <c r="BE123" i="21" s="1"/>
  <c r="E123" i="21"/>
  <c r="BV123" i="21" s="1"/>
  <c r="C4" i="21"/>
  <c r="AP4" i="21" s="1"/>
  <c r="D4" i="21"/>
  <c r="BE4" i="21" s="1"/>
  <c r="E4" i="21"/>
  <c r="BV4" i="21" s="1"/>
  <c r="F4" i="21"/>
  <c r="CL4" i="21" s="1"/>
  <c r="B4" i="21"/>
  <c r="C14" i="16"/>
  <c r="C16" i="16" s="1"/>
  <c r="D14" i="16"/>
  <c r="D16" i="16" s="1"/>
  <c r="E14" i="16"/>
  <c r="E16" i="16" s="1"/>
  <c r="F14" i="16"/>
  <c r="F16" i="16" s="1"/>
  <c r="B14" i="16"/>
  <c r="B16" i="16" s="1"/>
  <c r="E31" i="34" l="1"/>
  <c r="B32" i="34"/>
  <c r="BI62" i="24"/>
  <c r="BJ61" i="24"/>
  <c r="G26" i="32"/>
  <c r="H25" i="32"/>
  <c r="G23" i="34"/>
  <c r="H23" i="34" s="1"/>
  <c r="H22" i="34"/>
  <c r="B34" i="32"/>
  <c r="E33" i="32"/>
  <c r="G30" i="20"/>
  <c r="H30" i="20" s="1"/>
  <c r="F31" i="20"/>
  <c r="B34" i="20"/>
  <c r="E34" i="20" s="1"/>
  <c r="G98" i="21"/>
  <c r="Z98" i="21"/>
  <c r="G53" i="21"/>
  <c r="Z53" i="21"/>
  <c r="G113" i="21"/>
  <c r="Z113" i="21"/>
  <c r="G56" i="21"/>
  <c r="Z56" i="21"/>
  <c r="G20" i="21"/>
  <c r="Z20" i="21"/>
  <c r="G14" i="21"/>
  <c r="Z14" i="21"/>
  <c r="G5" i="21"/>
  <c r="Z5" i="21"/>
  <c r="G26" i="21"/>
  <c r="Z26" i="21"/>
  <c r="G29" i="21"/>
  <c r="Z29" i="21"/>
  <c r="G104" i="21"/>
  <c r="Z104" i="21"/>
  <c r="G74" i="21"/>
  <c r="Z74" i="21"/>
  <c r="G38" i="21"/>
  <c r="Z38" i="21"/>
  <c r="AV27" i="21"/>
  <c r="AV37" i="21" s="1"/>
  <c r="AV28" i="21"/>
  <c r="AV38" i="21" s="1"/>
  <c r="AV29" i="21"/>
  <c r="AV39" i="21" s="1"/>
  <c r="AS29" i="21"/>
  <c r="AS39" i="21" s="1"/>
  <c r="AS41" i="21" s="1"/>
  <c r="AV26" i="21"/>
  <c r="AT29" i="21"/>
  <c r="AT39" i="21" s="1"/>
  <c r="AT41" i="21" s="1"/>
  <c r="AU29" i="21"/>
  <c r="AU39" i="21" s="1"/>
  <c r="AU41" i="21" s="1"/>
  <c r="G121" i="21"/>
  <c r="Z121" i="21"/>
  <c r="G118" i="21"/>
  <c r="Z118" i="21"/>
  <c r="G115" i="21"/>
  <c r="Z115" i="21"/>
  <c r="G112" i="21"/>
  <c r="Z112" i="21"/>
  <c r="G109" i="21"/>
  <c r="Z109" i="21"/>
  <c r="G106" i="21"/>
  <c r="Z106" i="21"/>
  <c r="G103" i="21"/>
  <c r="Z103" i="21"/>
  <c r="G100" i="21"/>
  <c r="Z100" i="21"/>
  <c r="G97" i="21"/>
  <c r="Z97" i="21"/>
  <c r="G94" i="21"/>
  <c r="Z94" i="21"/>
  <c r="G91" i="21"/>
  <c r="Z91" i="21"/>
  <c r="G88" i="21"/>
  <c r="Z88" i="21"/>
  <c r="G85" i="21"/>
  <c r="Z85" i="21"/>
  <c r="G82" i="21"/>
  <c r="Z82" i="21"/>
  <c r="G79" i="21"/>
  <c r="Z79" i="21"/>
  <c r="G76" i="21"/>
  <c r="Z76" i="21"/>
  <c r="G73" i="21"/>
  <c r="Z73" i="21"/>
  <c r="G70" i="21"/>
  <c r="Z70" i="21"/>
  <c r="G67" i="21"/>
  <c r="Z67" i="21"/>
  <c r="G64" i="21"/>
  <c r="Z64" i="21"/>
  <c r="G61" i="21"/>
  <c r="Z61" i="21"/>
  <c r="G58" i="21"/>
  <c r="Z58" i="21"/>
  <c r="G55" i="21"/>
  <c r="Z55" i="21"/>
  <c r="G52" i="21"/>
  <c r="Z52" i="21"/>
  <c r="G49" i="21"/>
  <c r="Z49" i="21"/>
  <c r="G46" i="21"/>
  <c r="Z46" i="21"/>
  <c r="G43" i="21"/>
  <c r="Z43" i="21"/>
  <c r="G40" i="21"/>
  <c r="Z40" i="21"/>
  <c r="G37" i="21"/>
  <c r="Z37" i="21"/>
  <c r="G34" i="21"/>
  <c r="Z34" i="21"/>
  <c r="G31" i="21"/>
  <c r="Z31" i="21"/>
  <c r="G28" i="21"/>
  <c r="Z28" i="21"/>
  <c r="G25" i="21"/>
  <c r="Z25" i="21"/>
  <c r="G22" i="21"/>
  <c r="Z22" i="21"/>
  <c r="G19" i="21"/>
  <c r="Z19" i="21"/>
  <c r="G16" i="21"/>
  <c r="Z16" i="21"/>
  <c r="G13" i="21"/>
  <c r="Z13" i="21"/>
  <c r="G10" i="21"/>
  <c r="Z10" i="21"/>
  <c r="G7" i="21"/>
  <c r="Z7" i="21"/>
  <c r="G119" i="21"/>
  <c r="Z119" i="21"/>
  <c r="G83" i="21"/>
  <c r="Z83" i="21"/>
  <c r="G11" i="21"/>
  <c r="Z11" i="21"/>
  <c r="BJ26" i="21"/>
  <c r="BJ35" i="21" s="1"/>
  <c r="BI27" i="21"/>
  <c r="BI36" i="21" s="1"/>
  <c r="BI38" i="21" s="1"/>
  <c r="BJ27" i="21"/>
  <c r="BJ36" i="21" s="1"/>
  <c r="BH27" i="21"/>
  <c r="BH36" i="21" s="1"/>
  <c r="BH38" i="21" s="1"/>
  <c r="BJ25" i="21"/>
  <c r="G116" i="21"/>
  <c r="Z116" i="21"/>
  <c r="G107" i="21"/>
  <c r="Z107" i="21"/>
  <c r="G101" i="21"/>
  <c r="Z101" i="21"/>
  <c r="G92" i="21"/>
  <c r="Z92" i="21"/>
  <c r="G89" i="21"/>
  <c r="Z89" i="21"/>
  <c r="G77" i="21"/>
  <c r="Z77" i="21"/>
  <c r="G71" i="21"/>
  <c r="Z71" i="21"/>
  <c r="G65" i="21"/>
  <c r="Z65" i="21"/>
  <c r="G59" i="21"/>
  <c r="Z59" i="21"/>
  <c r="G44" i="21"/>
  <c r="Z44" i="21"/>
  <c r="G32" i="21"/>
  <c r="Z32" i="21"/>
  <c r="G8" i="21"/>
  <c r="Z8" i="21"/>
  <c r="Z4" i="21"/>
  <c r="O4" i="21"/>
  <c r="O5" i="21"/>
  <c r="O20" i="21" s="1"/>
  <c r="P4" i="21"/>
  <c r="P19" i="21" s="1"/>
  <c r="G95" i="21"/>
  <c r="Z95" i="21"/>
  <c r="G86" i="21"/>
  <c r="Z86" i="21"/>
  <c r="G62" i="21"/>
  <c r="Z62" i="21"/>
  <c r="G47" i="21"/>
  <c r="Z47" i="21"/>
  <c r="G41" i="21"/>
  <c r="Z41" i="21"/>
  <c r="G35" i="21"/>
  <c r="Z35" i="21"/>
  <c r="G23" i="21"/>
  <c r="Z23" i="21"/>
  <c r="G17" i="21"/>
  <c r="Z17" i="21"/>
  <c r="CR29" i="21"/>
  <c r="CR39" i="21" s="1"/>
  <c r="CR28" i="21"/>
  <c r="CR38" i="21" s="1"/>
  <c r="CP29" i="21"/>
  <c r="CP39" i="21" s="1"/>
  <c r="CP41" i="21" s="1"/>
  <c r="CO29" i="21"/>
  <c r="CO39" i="21" s="1"/>
  <c r="CO41" i="21" s="1"/>
  <c r="CQ29" i="21"/>
  <c r="CQ39" i="21" s="1"/>
  <c r="CQ41" i="21" s="1"/>
  <c r="CR27" i="21"/>
  <c r="CR37" i="21" s="1"/>
  <c r="CR26" i="21"/>
  <c r="CC30" i="21"/>
  <c r="CC41" i="21" s="1"/>
  <c r="BY31" i="21"/>
  <c r="BY42" i="21" s="1"/>
  <c r="BY44" i="21" s="1"/>
  <c r="CC28" i="21"/>
  <c r="CC31" i="21"/>
  <c r="CC42" i="21" s="1"/>
  <c r="CC29" i="21"/>
  <c r="CC40" i="21" s="1"/>
  <c r="CB31" i="21"/>
  <c r="CB42" i="21" s="1"/>
  <c r="CB44" i="21" s="1"/>
  <c r="BZ31" i="21"/>
  <c r="BZ42" i="21" s="1"/>
  <c r="BZ44" i="21" s="1"/>
  <c r="CA31" i="21"/>
  <c r="CA42" i="21" s="1"/>
  <c r="CA44" i="21" s="1"/>
  <c r="CC27" i="21"/>
  <c r="CC38" i="21" s="1"/>
  <c r="G110" i="21"/>
  <c r="Z110" i="21"/>
  <c r="G68" i="21"/>
  <c r="Z68" i="21"/>
  <c r="G123" i="21"/>
  <c r="Z123" i="21"/>
  <c r="G120" i="21"/>
  <c r="Z120" i="21"/>
  <c r="G117" i="21"/>
  <c r="Z117" i="21"/>
  <c r="G114" i="21"/>
  <c r="Z114" i="21"/>
  <c r="G111" i="21"/>
  <c r="Z111" i="21"/>
  <c r="G108" i="21"/>
  <c r="Z108" i="21"/>
  <c r="G105" i="21"/>
  <c r="Z105" i="21"/>
  <c r="G102" i="21"/>
  <c r="Z102" i="21"/>
  <c r="G99" i="21"/>
  <c r="Z99" i="21"/>
  <c r="G96" i="21"/>
  <c r="Z96" i="21"/>
  <c r="G93" i="21"/>
  <c r="Z93" i="21"/>
  <c r="G90" i="21"/>
  <c r="Z90" i="21"/>
  <c r="G87" i="21"/>
  <c r="Z87" i="21"/>
  <c r="G84" i="21"/>
  <c r="Z84" i="21"/>
  <c r="G81" i="21"/>
  <c r="Z81" i="21"/>
  <c r="G78" i="21"/>
  <c r="Z78" i="21"/>
  <c r="G75" i="21"/>
  <c r="Z75" i="21"/>
  <c r="G72" i="21"/>
  <c r="Z72" i="21"/>
  <c r="G69" i="21"/>
  <c r="Z69" i="21"/>
  <c r="G66" i="21"/>
  <c r="Z66" i="21"/>
  <c r="G63" i="21"/>
  <c r="Z63" i="21"/>
  <c r="G60" i="21"/>
  <c r="Z60" i="21"/>
  <c r="G57" i="21"/>
  <c r="Z57" i="21"/>
  <c r="G54" i="21"/>
  <c r="Z54" i="21"/>
  <c r="G51" i="21"/>
  <c r="Z51" i="21"/>
  <c r="G48" i="21"/>
  <c r="Z48" i="21"/>
  <c r="G45" i="21"/>
  <c r="Z45" i="21"/>
  <c r="G42" i="21"/>
  <c r="Z42" i="21"/>
  <c r="G39" i="21"/>
  <c r="Z39" i="21"/>
  <c r="G36" i="21"/>
  <c r="Z36" i="21"/>
  <c r="G33" i="21"/>
  <c r="Z33" i="21"/>
  <c r="G30" i="21"/>
  <c r="Z30" i="21"/>
  <c r="G27" i="21"/>
  <c r="Z27" i="21"/>
  <c r="G24" i="21"/>
  <c r="Z24" i="21"/>
  <c r="G21" i="21"/>
  <c r="Z21" i="21"/>
  <c r="G18" i="21"/>
  <c r="Z18" i="21"/>
  <c r="G15" i="21"/>
  <c r="Z15" i="21"/>
  <c r="G12" i="21"/>
  <c r="Z12" i="21"/>
  <c r="G9" i="21"/>
  <c r="Z9" i="21"/>
  <c r="G6" i="21"/>
  <c r="Z6" i="21"/>
  <c r="G122" i="21"/>
  <c r="Z122" i="21"/>
  <c r="G80" i="21"/>
  <c r="Z80" i="21"/>
  <c r="G50" i="21"/>
  <c r="Z50" i="21"/>
  <c r="O6" i="21"/>
  <c r="O21" i="21" s="1"/>
  <c r="R5" i="21"/>
  <c r="R20" i="21" s="1"/>
  <c r="S6" i="21"/>
  <c r="S21" i="21" s="1"/>
  <c r="Q6" i="21"/>
  <c r="Q21" i="21" s="1"/>
  <c r="P6" i="21"/>
  <c r="P21" i="21" s="1"/>
  <c r="P5" i="21"/>
  <c r="P20" i="21" s="1"/>
  <c r="R4" i="21"/>
  <c r="R19" i="21" s="1"/>
  <c r="S4" i="21"/>
  <c r="S19" i="21" s="1"/>
  <c r="S8" i="21"/>
  <c r="S23" i="21" s="1"/>
  <c r="Q5" i="21"/>
  <c r="Q20" i="21" s="1"/>
  <c r="P7" i="21"/>
  <c r="P22" i="21" s="1"/>
  <c r="P8" i="21"/>
  <c r="P23" i="21" s="1"/>
  <c r="Q4" i="21"/>
  <c r="Q19" i="21" s="1"/>
  <c r="S5" i="21"/>
  <c r="S20" i="21" s="1"/>
  <c r="Q8" i="21"/>
  <c r="Q23" i="21" s="1"/>
  <c r="R6" i="21"/>
  <c r="R21" i="21" s="1"/>
  <c r="Q7" i="21"/>
  <c r="Q22" i="21" s="1"/>
  <c r="R8" i="21"/>
  <c r="R23" i="21" s="1"/>
  <c r="O7" i="21"/>
  <c r="O22" i="21" s="1"/>
  <c r="O8" i="21"/>
  <c r="O23" i="21" s="1"/>
  <c r="S7" i="21"/>
  <c r="S22" i="21" s="1"/>
  <c r="R7" i="21"/>
  <c r="R22" i="21" s="1"/>
  <c r="B33" i="34" l="1"/>
  <c r="E32" i="34"/>
  <c r="BI63" i="24"/>
  <c r="BJ62" i="24"/>
  <c r="G27" i="32"/>
  <c r="H26" i="32"/>
  <c r="G24" i="34"/>
  <c r="E34" i="32"/>
  <c r="B35" i="32"/>
  <c r="F32" i="20"/>
  <c r="G31" i="20"/>
  <c r="G32" i="20" s="1"/>
  <c r="B35" i="20"/>
  <c r="E35" i="20" s="1"/>
  <c r="BZ33" i="21"/>
  <c r="BZ34" i="21" s="1"/>
  <c r="CC39" i="21"/>
  <c r="CD42" i="21" s="1"/>
  <c r="AV36" i="21"/>
  <c r="AT31" i="21"/>
  <c r="AT32" i="21" s="1"/>
  <c r="BJ34" i="21"/>
  <c r="BI29" i="21"/>
  <c r="BI30" i="21" s="1"/>
  <c r="CR36" i="21"/>
  <c r="CP31" i="21"/>
  <c r="CP32" i="21" s="1"/>
  <c r="AF29" i="21"/>
  <c r="AF39" i="21" s="1"/>
  <c r="AF27" i="21"/>
  <c r="AF37" i="21" s="1"/>
  <c r="AD29" i="21"/>
  <c r="AD39" i="21" s="1"/>
  <c r="AD41" i="21" s="1"/>
  <c r="AF28" i="21"/>
  <c r="AF38" i="21" s="1"/>
  <c r="AF26" i="21"/>
  <c r="AC29" i="21"/>
  <c r="AC39" i="21" s="1"/>
  <c r="AC41" i="21" s="1"/>
  <c r="AE29" i="21"/>
  <c r="AE39" i="21" s="1"/>
  <c r="AE41" i="21" s="1"/>
  <c r="R25" i="21"/>
  <c r="S25" i="21"/>
  <c r="P25" i="21"/>
  <c r="Q25" i="21"/>
  <c r="O12" i="21" a="1"/>
  <c r="O12" i="21" s="1"/>
  <c r="O13" i="21" s="1"/>
  <c r="O19" i="21"/>
  <c r="H32" i="20" l="1"/>
  <c r="H31" i="20"/>
  <c r="B34" i="34"/>
  <c r="E33" i="34"/>
  <c r="BI64" i="24"/>
  <c r="BJ63" i="24"/>
  <c r="G25" i="34"/>
  <c r="H25" i="34" s="1"/>
  <c r="H27" i="32"/>
  <c r="G28" i="32"/>
  <c r="H24" i="34"/>
  <c r="E35" i="32"/>
  <c r="B36" i="32"/>
  <c r="F33" i="20"/>
  <c r="B36" i="20"/>
  <c r="E36" i="20" s="1"/>
  <c r="BZ45" i="21"/>
  <c r="CB45" i="21"/>
  <c r="CA45" i="21"/>
  <c r="BY45" i="21"/>
  <c r="AF36" i="21"/>
  <c r="AD31" i="21"/>
  <c r="AD32" i="21" s="1"/>
  <c r="CR41" i="21"/>
  <c r="CS39" i="21"/>
  <c r="CC44" i="21"/>
  <c r="CC45" i="21" s="1"/>
  <c r="AV41" i="21"/>
  <c r="AW39" i="21"/>
  <c r="BJ38" i="21"/>
  <c r="BK36" i="21"/>
  <c r="T23" i="21"/>
  <c r="O25" i="21"/>
  <c r="Q26" i="21"/>
  <c r="S26" i="21"/>
  <c r="G33" i="20" l="1"/>
  <c r="H33" i="20"/>
  <c r="E34" i="34"/>
  <c r="B35" i="34"/>
  <c r="BJ64" i="24"/>
  <c r="BI65" i="24"/>
  <c r="H28" i="32"/>
  <c r="G29" i="32"/>
  <c r="G26" i="34"/>
  <c r="B37" i="32"/>
  <c r="E36" i="32"/>
  <c r="F34" i="20"/>
  <c r="B37" i="20"/>
  <c r="E37" i="20" s="1"/>
  <c r="CR42" i="21"/>
  <c r="AG39" i="21"/>
  <c r="AF41" i="21"/>
  <c r="AF42" i="21" s="1"/>
  <c r="BJ39" i="21"/>
  <c r="BH39" i="21"/>
  <c r="BI39" i="21"/>
  <c r="AS42" i="21"/>
  <c r="AU42" i="21"/>
  <c r="AT42" i="21"/>
  <c r="AV42" i="21"/>
  <c r="O26" i="21"/>
  <c r="P26" i="21"/>
  <c r="R26" i="21"/>
  <c r="B36" i="34" l="1"/>
  <c r="E35" i="34"/>
  <c r="BJ65" i="24"/>
  <c r="BI66" i="24"/>
  <c r="G30" i="32"/>
  <c r="H29" i="32"/>
  <c r="G27" i="34"/>
  <c r="H27" i="34" s="1"/>
  <c r="H26" i="34"/>
  <c r="E37" i="32"/>
  <c r="B38" i="32"/>
  <c r="F35" i="20"/>
  <c r="G34" i="20"/>
  <c r="G35" i="20" s="1"/>
  <c r="B38" i="20"/>
  <c r="E38" i="20" s="1"/>
  <c r="AW42" i="21"/>
  <c r="BK39" i="21"/>
  <c r="AD42" i="21"/>
  <c r="AE42" i="21"/>
  <c r="AC42" i="21"/>
  <c r="AG42" i="21" s="1"/>
  <c r="CS42" i="21"/>
  <c r="T26" i="21"/>
  <c r="F36" i="20" l="1"/>
  <c r="H35" i="20"/>
  <c r="H34" i="20"/>
  <c r="E36" i="34"/>
  <c r="B37" i="34"/>
  <c r="BJ66" i="24"/>
  <c r="BI67" i="24"/>
  <c r="G31" i="32"/>
  <c r="H30" i="32"/>
  <c r="G28" i="34"/>
  <c r="E38" i="32"/>
  <c r="B39" i="32"/>
  <c r="B39" i="20"/>
  <c r="E39" i="20" s="1"/>
  <c r="B39" i="18"/>
  <c r="C39" i="18"/>
  <c r="D39" i="18"/>
  <c r="E39" i="18"/>
  <c r="B40" i="18"/>
  <c r="C40" i="18"/>
  <c r="D40" i="18"/>
  <c r="E40" i="18"/>
  <c r="B41" i="18"/>
  <c r="C41" i="18"/>
  <c r="D41" i="18"/>
  <c r="E41" i="18"/>
  <c r="B42" i="18"/>
  <c r="C42" i="18"/>
  <c r="D42" i="18"/>
  <c r="E42" i="18"/>
  <c r="B43" i="18"/>
  <c r="C43" i="18"/>
  <c r="D43" i="18"/>
  <c r="E43" i="18"/>
  <c r="B44" i="18"/>
  <c r="C44" i="18"/>
  <c r="D44" i="18"/>
  <c r="E44" i="18"/>
  <c r="B45" i="18"/>
  <c r="C45" i="18"/>
  <c r="D45" i="18"/>
  <c r="E45" i="18"/>
  <c r="B46" i="18"/>
  <c r="C46" i="18"/>
  <c r="D46" i="18"/>
  <c r="E46" i="18"/>
  <c r="B47" i="18"/>
  <c r="C47" i="18"/>
  <c r="D47" i="18"/>
  <c r="E47" i="18"/>
  <c r="B48" i="18"/>
  <c r="C48" i="18"/>
  <c r="D48" i="18"/>
  <c r="E48" i="18"/>
  <c r="B49" i="18"/>
  <c r="C49" i="18"/>
  <c r="D49" i="18"/>
  <c r="E49" i="18"/>
  <c r="B50" i="18"/>
  <c r="C50" i="18"/>
  <c r="D50" i="18"/>
  <c r="E50" i="18"/>
  <c r="B51" i="18"/>
  <c r="C51" i="18"/>
  <c r="D51" i="18"/>
  <c r="E51" i="18"/>
  <c r="B52" i="18"/>
  <c r="C52" i="18"/>
  <c r="D52" i="18"/>
  <c r="E52" i="18"/>
  <c r="B53" i="18"/>
  <c r="C53" i="18"/>
  <c r="D53" i="18"/>
  <c r="E53" i="18"/>
  <c r="B54" i="18"/>
  <c r="C54" i="18"/>
  <c r="D54" i="18"/>
  <c r="E54" i="18"/>
  <c r="B55" i="18"/>
  <c r="C55" i="18"/>
  <c r="D55" i="18"/>
  <c r="E55" i="18"/>
  <c r="B56" i="18"/>
  <c r="C56" i="18"/>
  <c r="D56" i="18"/>
  <c r="E56" i="18"/>
  <c r="B57" i="18"/>
  <c r="C57" i="18"/>
  <c r="D57" i="18"/>
  <c r="E57" i="18"/>
  <c r="B58" i="18"/>
  <c r="C58" i="18"/>
  <c r="D58" i="18"/>
  <c r="E58" i="18"/>
  <c r="B59" i="18"/>
  <c r="C59" i="18"/>
  <c r="D59" i="18"/>
  <c r="E59" i="18"/>
  <c r="B60" i="18"/>
  <c r="C60" i="18"/>
  <c r="D60" i="18"/>
  <c r="E60" i="18"/>
  <c r="B61" i="18"/>
  <c r="C61" i="18"/>
  <c r="D61" i="18"/>
  <c r="E61" i="18"/>
  <c r="B62" i="18"/>
  <c r="C62" i="18"/>
  <c r="D62" i="18"/>
  <c r="E62" i="18"/>
  <c r="B63" i="18"/>
  <c r="C63" i="18"/>
  <c r="D63" i="18"/>
  <c r="E63" i="18"/>
  <c r="B64" i="18"/>
  <c r="C64" i="18"/>
  <c r="D64" i="18"/>
  <c r="E64" i="18"/>
  <c r="B65" i="18"/>
  <c r="C65" i="18"/>
  <c r="D65" i="18"/>
  <c r="E65" i="18"/>
  <c r="B66" i="18"/>
  <c r="C66" i="18"/>
  <c r="D66" i="18"/>
  <c r="E66" i="18"/>
  <c r="B67" i="18"/>
  <c r="C67" i="18"/>
  <c r="D67" i="18"/>
  <c r="E67" i="18"/>
  <c r="B68" i="18"/>
  <c r="C68" i="18"/>
  <c r="D68" i="18"/>
  <c r="E68" i="18"/>
  <c r="B69" i="18"/>
  <c r="C69" i="18"/>
  <c r="D69" i="18"/>
  <c r="E69" i="18"/>
  <c r="B70" i="18"/>
  <c r="C70" i="18"/>
  <c r="D70" i="18"/>
  <c r="E70" i="18"/>
  <c r="B71" i="18"/>
  <c r="C71" i="18"/>
  <c r="D71" i="18"/>
  <c r="E71" i="18"/>
  <c r="B72" i="18"/>
  <c r="C72" i="18"/>
  <c r="D72" i="18"/>
  <c r="E72" i="18"/>
  <c r="B73" i="18"/>
  <c r="C73" i="18"/>
  <c r="D73" i="18"/>
  <c r="E73" i="18"/>
  <c r="B74" i="18"/>
  <c r="C74" i="18"/>
  <c r="D74" i="18"/>
  <c r="E74" i="18"/>
  <c r="B75" i="18"/>
  <c r="C75" i="18"/>
  <c r="D75" i="18"/>
  <c r="E75" i="18"/>
  <c r="B76" i="18"/>
  <c r="C76" i="18"/>
  <c r="D76" i="18"/>
  <c r="E76" i="18"/>
  <c r="B77" i="18"/>
  <c r="C77" i="18"/>
  <c r="D77" i="18"/>
  <c r="E77" i="18"/>
  <c r="B78" i="18"/>
  <c r="C78" i="18"/>
  <c r="D78" i="18"/>
  <c r="E78" i="18"/>
  <c r="B79" i="18"/>
  <c r="C79" i="18"/>
  <c r="D79" i="18"/>
  <c r="E79" i="18"/>
  <c r="B80" i="18"/>
  <c r="C80" i="18"/>
  <c r="D80" i="18"/>
  <c r="E80" i="18"/>
  <c r="B81" i="18"/>
  <c r="C81" i="18"/>
  <c r="D81" i="18"/>
  <c r="E81" i="18"/>
  <c r="B82" i="18"/>
  <c r="C82" i="18"/>
  <c r="D82" i="18"/>
  <c r="E82" i="18"/>
  <c r="B83" i="18"/>
  <c r="C83" i="18"/>
  <c r="D83" i="18"/>
  <c r="E83" i="18"/>
  <c r="B84" i="18"/>
  <c r="C84" i="18"/>
  <c r="D84" i="18"/>
  <c r="E84" i="18"/>
  <c r="B85" i="18"/>
  <c r="C85" i="18"/>
  <c r="D85" i="18"/>
  <c r="E85" i="18"/>
  <c r="B86" i="18"/>
  <c r="C86" i="18"/>
  <c r="D86" i="18"/>
  <c r="E86" i="18"/>
  <c r="B87" i="18"/>
  <c r="C87" i="18"/>
  <c r="D87" i="18"/>
  <c r="E87" i="18"/>
  <c r="B88" i="18"/>
  <c r="C88" i="18"/>
  <c r="D88" i="18"/>
  <c r="E88" i="18"/>
  <c r="B89" i="18"/>
  <c r="C89" i="18"/>
  <c r="D89" i="18"/>
  <c r="E89" i="18"/>
  <c r="B90" i="18"/>
  <c r="C90" i="18"/>
  <c r="D90" i="18"/>
  <c r="E90" i="18"/>
  <c r="B91" i="18"/>
  <c r="C91" i="18"/>
  <c r="D91" i="18"/>
  <c r="E91" i="18"/>
  <c r="B92" i="18"/>
  <c r="C92" i="18"/>
  <c r="D92" i="18"/>
  <c r="E92" i="18"/>
  <c r="B93" i="18"/>
  <c r="C93" i="18"/>
  <c r="D93" i="18"/>
  <c r="E93" i="18"/>
  <c r="B94" i="18"/>
  <c r="C94" i="18"/>
  <c r="D94" i="18"/>
  <c r="E94" i="18"/>
  <c r="B95" i="18"/>
  <c r="C95" i="18"/>
  <c r="D95" i="18"/>
  <c r="E95" i="18"/>
  <c r="B96" i="18"/>
  <c r="C96" i="18"/>
  <c r="D96" i="18"/>
  <c r="E96" i="18"/>
  <c r="B97" i="18"/>
  <c r="C97" i="18"/>
  <c r="D97" i="18"/>
  <c r="E97" i="18"/>
  <c r="B98" i="18"/>
  <c r="C98" i="18"/>
  <c r="D98" i="18"/>
  <c r="E98" i="18"/>
  <c r="B99" i="18"/>
  <c r="C99" i="18"/>
  <c r="D99" i="18"/>
  <c r="E99" i="18"/>
  <c r="B100" i="18"/>
  <c r="C100" i="18"/>
  <c r="D100" i="18"/>
  <c r="E100" i="18"/>
  <c r="B101" i="18"/>
  <c r="C101" i="18"/>
  <c r="D101" i="18"/>
  <c r="E101" i="18"/>
  <c r="B102" i="18"/>
  <c r="C102" i="18"/>
  <c r="D102" i="18"/>
  <c r="E102" i="18"/>
  <c r="B103" i="18"/>
  <c r="C103" i="18"/>
  <c r="D103" i="18"/>
  <c r="E103" i="18"/>
  <c r="B104" i="18"/>
  <c r="C104" i="18"/>
  <c r="D104" i="18"/>
  <c r="E104" i="18"/>
  <c r="B105" i="18"/>
  <c r="C105" i="18"/>
  <c r="D105" i="18"/>
  <c r="E105" i="18"/>
  <c r="B106" i="18"/>
  <c r="C106" i="18"/>
  <c r="D106" i="18"/>
  <c r="E106" i="18"/>
  <c r="B107" i="18"/>
  <c r="C107" i="18"/>
  <c r="D107" i="18"/>
  <c r="E107" i="18"/>
  <c r="B108" i="18"/>
  <c r="C108" i="18"/>
  <c r="D108" i="18"/>
  <c r="E108" i="18"/>
  <c r="B109" i="18"/>
  <c r="C109" i="18"/>
  <c r="D109" i="18"/>
  <c r="E109" i="18"/>
  <c r="B110" i="18"/>
  <c r="C110" i="18"/>
  <c r="D110" i="18"/>
  <c r="E110" i="18"/>
  <c r="B111" i="18"/>
  <c r="C111" i="18"/>
  <c r="D111" i="18"/>
  <c r="E111" i="18"/>
  <c r="B112" i="18"/>
  <c r="C112" i="18"/>
  <c r="D112" i="18"/>
  <c r="E112" i="18"/>
  <c r="B113" i="18"/>
  <c r="C113" i="18"/>
  <c r="D113" i="18"/>
  <c r="E113" i="18"/>
  <c r="B114" i="18"/>
  <c r="C114" i="18"/>
  <c r="D114" i="18"/>
  <c r="E114" i="18"/>
  <c r="B115" i="18"/>
  <c r="C115" i="18"/>
  <c r="D115" i="18"/>
  <c r="E115" i="18"/>
  <c r="B116" i="18"/>
  <c r="C116" i="18"/>
  <c r="D116" i="18"/>
  <c r="E116" i="18"/>
  <c r="B117" i="18"/>
  <c r="C117" i="18"/>
  <c r="D117" i="18"/>
  <c r="E117" i="18"/>
  <c r="B118" i="18"/>
  <c r="C118" i="18"/>
  <c r="D118" i="18"/>
  <c r="E118" i="18"/>
  <c r="B119" i="18"/>
  <c r="C119" i="18"/>
  <c r="D119" i="18"/>
  <c r="E119" i="18"/>
  <c r="B120" i="18"/>
  <c r="C120" i="18"/>
  <c r="D120" i="18"/>
  <c r="E120" i="18"/>
  <c r="B121" i="18"/>
  <c r="C121" i="18"/>
  <c r="D121" i="18"/>
  <c r="E121" i="18"/>
  <c r="E38" i="18"/>
  <c r="D38" i="18"/>
  <c r="C38" i="18"/>
  <c r="B38" i="18"/>
  <c r="A39" i="18"/>
  <c r="A40" i="18"/>
  <c r="A41" i="18"/>
  <c r="A42" i="18"/>
  <c r="A43" i="18"/>
  <c r="A44" i="18"/>
  <c r="A45" i="18"/>
  <c r="A46" i="18"/>
  <c r="A47" i="18"/>
  <c r="A48" i="18"/>
  <c r="A49" i="18"/>
  <c r="A50" i="18"/>
  <c r="A51" i="18"/>
  <c r="A52" i="18"/>
  <c r="A53" i="18"/>
  <c r="A54" i="18"/>
  <c r="A55" i="18"/>
  <c r="A56" i="18"/>
  <c r="A57" i="18"/>
  <c r="A58" i="18"/>
  <c r="A59" i="18"/>
  <c r="A60" i="18"/>
  <c r="A61" i="18"/>
  <c r="A62" i="18"/>
  <c r="A63" i="18"/>
  <c r="A64" i="18"/>
  <c r="A65" i="18"/>
  <c r="A66" i="18"/>
  <c r="A67" i="18"/>
  <c r="A68" i="18"/>
  <c r="A69" i="18"/>
  <c r="A70" i="18"/>
  <c r="A71" i="18"/>
  <c r="A72" i="18"/>
  <c r="A73" i="18"/>
  <c r="A74" i="18"/>
  <c r="A75" i="18"/>
  <c r="A76" i="18"/>
  <c r="A77" i="18"/>
  <c r="A78" i="18"/>
  <c r="A79" i="18"/>
  <c r="A80" i="18"/>
  <c r="A81" i="18"/>
  <c r="A82" i="18"/>
  <c r="A83" i="18"/>
  <c r="A84" i="18"/>
  <c r="A85" i="18"/>
  <c r="A86" i="18"/>
  <c r="A87" i="18"/>
  <c r="A88" i="18"/>
  <c r="A89" i="18"/>
  <c r="A90" i="18"/>
  <c r="A91" i="18"/>
  <c r="A92" i="18"/>
  <c r="A93" i="18"/>
  <c r="A94" i="18"/>
  <c r="A95" i="18"/>
  <c r="A96" i="18"/>
  <c r="A97" i="18"/>
  <c r="A98" i="18"/>
  <c r="A99" i="18"/>
  <c r="A100" i="18"/>
  <c r="A101" i="18"/>
  <c r="A102" i="18"/>
  <c r="A103" i="18"/>
  <c r="A104" i="18"/>
  <c r="A105" i="18"/>
  <c r="A106" i="18"/>
  <c r="A107" i="18"/>
  <c r="A108" i="18"/>
  <c r="A109" i="18"/>
  <c r="A110" i="18"/>
  <c r="A111" i="18"/>
  <c r="A112" i="18"/>
  <c r="A113" i="18"/>
  <c r="A114" i="18"/>
  <c r="A115" i="18"/>
  <c r="A116" i="18"/>
  <c r="A117" i="18"/>
  <c r="A118" i="18"/>
  <c r="A119" i="18"/>
  <c r="A120" i="18"/>
  <c r="A121" i="18"/>
  <c r="A38" i="18"/>
  <c r="B66" i="17" a="1"/>
  <c r="B66" i="17" s="1"/>
  <c r="A68" i="17"/>
  <c r="A69" i="17" s="1"/>
  <c r="A70" i="17" s="1"/>
  <c r="A71" i="17" s="1"/>
  <c r="A72" i="17" s="1"/>
  <c r="A73" i="17" s="1"/>
  <c r="A74" i="17" s="1"/>
  <c r="A75" i="17" s="1"/>
  <c r="A67" i="17"/>
  <c r="B46" i="17" a="1"/>
  <c r="B46" i="17" s="1"/>
  <c r="A62" i="17"/>
  <c r="A60" i="17"/>
  <c r="A61" i="17" s="1"/>
  <c r="A56" i="17"/>
  <c r="A57" i="17" s="1"/>
  <c r="A58" i="17" s="1"/>
  <c r="A59" i="17" s="1"/>
  <c r="A48" i="17"/>
  <c r="A49" i="17" s="1"/>
  <c r="A50" i="17" s="1"/>
  <c r="A51" i="17" s="1"/>
  <c r="A52" i="17" s="1"/>
  <c r="A53" i="17" s="1"/>
  <c r="A54" i="17" s="1"/>
  <c r="A55" i="17" s="1"/>
  <c r="A47" i="17"/>
  <c r="B31" i="17" a="1"/>
  <c r="B31" i="17" s="1"/>
  <c r="A32" i="17"/>
  <c r="A33" i="17" s="1"/>
  <c r="A34" i="17" s="1"/>
  <c r="A35" i="17" s="1"/>
  <c r="A36" i="17" s="1"/>
  <c r="A37" i="17" s="1"/>
  <c r="A38" i="17" s="1"/>
  <c r="A39" i="17" s="1"/>
  <c r="A40" i="17" s="1"/>
  <c r="A19" i="17"/>
  <c r="A4" i="17"/>
  <c r="A5" i="17" s="1"/>
  <c r="M4" i="12"/>
  <c r="N4" i="12" s="1"/>
  <c r="M3" i="12"/>
  <c r="N3" i="12" s="1"/>
  <c r="M2" i="12"/>
  <c r="N2" i="12" s="1"/>
  <c r="N3" i="9"/>
  <c r="N2" i="9"/>
  <c r="M3" i="9"/>
  <c r="M2" i="9"/>
  <c r="M4" i="8"/>
  <c r="N4" i="8" s="1"/>
  <c r="M3" i="8"/>
  <c r="N3" i="8" s="1"/>
  <c r="M2" i="8"/>
  <c r="N2" i="8" s="1"/>
  <c r="N4" i="7"/>
  <c r="M4" i="7"/>
  <c r="N3" i="7"/>
  <c r="N2" i="7"/>
  <c r="M2" i="7"/>
  <c r="B38" i="34" l="1"/>
  <c r="E37" i="34"/>
  <c r="BJ67" i="24"/>
  <c r="BI68" i="24"/>
  <c r="H31" i="32"/>
  <c r="G32" i="32"/>
  <c r="G29" i="34"/>
  <c r="H29" i="34" s="1"/>
  <c r="H28" i="34"/>
  <c r="B40" i="32"/>
  <c r="E39" i="32"/>
  <c r="F37" i="20"/>
  <c r="G36" i="20"/>
  <c r="H36" i="20" s="1"/>
  <c r="B40" i="20"/>
  <c r="E40" i="20" s="1"/>
  <c r="A20" i="17"/>
  <c r="M3" i="16"/>
  <c r="M4" i="16" s="1"/>
  <c r="M5" i="16" s="1"/>
  <c r="M6" i="16" s="1"/>
  <c r="M7" i="16" s="1"/>
  <c r="M8" i="16" s="1"/>
  <c r="M9" i="16" s="1"/>
  <c r="M10" i="16" s="1"/>
  <c r="M11" i="16" s="1"/>
  <c r="M12" i="16" s="1"/>
  <c r="M13" i="16" s="1"/>
  <c r="M14" i="16" s="1"/>
  <c r="M15" i="16" s="1"/>
  <c r="M16" i="16" s="1"/>
  <c r="M17" i="16" s="1"/>
  <c r="M18" i="16" s="1"/>
  <c r="M19" i="16" s="1"/>
  <c r="M20" i="16" s="1"/>
  <c r="M21" i="16" s="1"/>
  <c r="M22" i="16" s="1"/>
  <c r="M23" i="16" s="1"/>
  <c r="M24" i="16" s="1"/>
  <c r="M25" i="16" s="1"/>
  <c r="M26" i="16" s="1"/>
  <c r="M27" i="16" s="1"/>
  <c r="M28" i="16" s="1"/>
  <c r="M29" i="16" s="1"/>
  <c r="M30" i="16" s="1"/>
  <c r="M31" i="16" s="1"/>
  <c r="M32" i="16" s="1"/>
  <c r="M33" i="16" s="1"/>
  <c r="M34" i="16" s="1"/>
  <c r="M35" i="16" s="1"/>
  <c r="M36" i="16" s="1"/>
  <c r="M37" i="16" s="1"/>
  <c r="M38" i="16" s="1"/>
  <c r="M39" i="16" s="1"/>
  <c r="M40" i="16" s="1"/>
  <c r="M41" i="16" s="1"/>
  <c r="M42" i="16" s="1"/>
  <c r="M43" i="16" s="1"/>
  <c r="M44" i="16" s="1"/>
  <c r="M45" i="16" s="1"/>
  <c r="M46" i="16" s="1"/>
  <c r="M47" i="16" s="1"/>
  <c r="M48" i="16" s="1"/>
  <c r="M49" i="16" s="1"/>
  <c r="M50" i="16" s="1"/>
  <c r="M51" i="16" s="1"/>
  <c r="M52" i="16" s="1"/>
  <c r="M53" i="16" s="1"/>
  <c r="M54" i="16" s="1"/>
  <c r="M55" i="16" s="1"/>
  <c r="M56" i="16" s="1"/>
  <c r="M57" i="16" s="1"/>
  <c r="M58" i="16" s="1"/>
  <c r="M59" i="16" s="1"/>
  <c r="M60" i="16" s="1"/>
  <c r="M61" i="16" s="1"/>
  <c r="M62" i="16" s="1"/>
  <c r="M63" i="16" s="1"/>
  <c r="M64" i="16" s="1"/>
  <c r="M65" i="16" s="1"/>
  <c r="M66" i="16" s="1"/>
  <c r="M67" i="16" s="1"/>
  <c r="M68" i="16" s="1"/>
  <c r="M69" i="16" s="1"/>
  <c r="M70" i="16" s="1"/>
  <c r="M71" i="16" s="1"/>
  <c r="M72" i="16" s="1"/>
  <c r="M73" i="16" s="1"/>
  <c r="M74" i="16" s="1"/>
  <c r="M75" i="16" s="1"/>
  <c r="M76" i="16" s="1"/>
  <c r="M77" i="16" s="1"/>
  <c r="M78" i="16" s="1"/>
  <c r="M79" i="16" s="1"/>
  <c r="M80" i="16" s="1"/>
  <c r="M81" i="16" s="1"/>
  <c r="M82" i="16" s="1"/>
  <c r="M83" i="16" s="1"/>
  <c r="M84" i="16" s="1"/>
  <c r="M85" i="16" s="1"/>
  <c r="M86" i="16" s="1"/>
  <c r="M87" i="16" s="1"/>
  <c r="M88" i="16" s="1"/>
  <c r="M89" i="16" s="1"/>
  <c r="M90" i="16" s="1"/>
  <c r="M91" i="16" s="1"/>
  <c r="M92" i="16" s="1"/>
  <c r="M93" i="16" s="1"/>
  <c r="M94" i="16" s="1"/>
  <c r="M95" i="16" s="1"/>
  <c r="M96" i="16" s="1"/>
  <c r="M97" i="16" s="1"/>
  <c r="M98" i="16" s="1"/>
  <c r="M99" i="16" s="1"/>
  <c r="M100" i="16" s="1"/>
  <c r="M101" i="16" s="1"/>
  <c r="M102" i="16" s="1"/>
  <c r="M103" i="16" s="1"/>
  <c r="M104" i="16" s="1"/>
  <c r="M105" i="16" s="1"/>
  <c r="M106" i="16" s="1"/>
  <c r="M107" i="16" s="1"/>
  <c r="M108" i="16" s="1"/>
  <c r="M109" i="16" s="1"/>
  <c r="M110" i="16" s="1"/>
  <c r="M111" i="16" s="1"/>
  <c r="M112" i="16" s="1"/>
  <c r="M113" i="16" s="1"/>
  <c r="M114" i="16" s="1"/>
  <c r="M115" i="16" s="1"/>
  <c r="M116" i="16" s="1"/>
  <c r="M117" i="16" s="1"/>
  <c r="M118" i="16" s="1"/>
  <c r="M119" i="16" s="1"/>
  <c r="M120" i="16" s="1"/>
  <c r="M121" i="16" s="1"/>
  <c r="R2" i="16"/>
  <c r="N2" i="16"/>
  <c r="Q2" i="16"/>
  <c r="Q3" i="16" s="1"/>
  <c r="Q4" i="16" s="1"/>
  <c r="Q5" i="16" s="1"/>
  <c r="Q6" i="16" s="1"/>
  <c r="Q7" i="16" s="1"/>
  <c r="Q8" i="16" s="1"/>
  <c r="Q9" i="16" s="1"/>
  <c r="Q10" i="16" s="1"/>
  <c r="Q11" i="16" s="1"/>
  <c r="Q12" i="16" s="1"/>
  <c r="Q13" i="16" s="1"/>
  <c r="Q14" i="16" s="1"/>
  <c r="Q15" i="16" s="1"/>
  <c r="Q16" i="16" s="1"/>
  <c r="Q17" i="16" s="1"/>
  <c r="Q18" i="16" s="1"/>
  <c r="Q19" i="16" s="1"/>
  <c r="Q20" i="16" s="1"/>
  <c r="Q21" i="16" s="1"/>
  <c r="Q22" i="16" s="1"/>
  <c r="Q23" i="16" s="1"/>
  <c r="Q24" i="16" s="1"/>
  <c r="Q25" i="16" s="1"/>
  <c r="Q26" i="16" s="1"/>
  <c r="Q27" i="16" s="1"/>
  <c r="Q28" i="16" s="1"/>
  <c r="Q29" i="16" s="1"/>
  <c r="Q30" i="16" s="1"/>
  <c r="Q31" i="16" s="1"/>
  <c r="Q32" i="16" s="1"/>
  <c r="Q33" i="16" s="1"/>
  <c r="Q34" i="16" s="1"/>
  <c r="Q35" i="16" s="1"/>
  <c r="Q36" i="16" s="1"/>
  <c r="Q37" i="16" s="1"/>
  <c r="Q38" i="16" s="1"/>
  <c r="Q39" i="16" s="1"/>
  <c r="Q40" i="16" s="1"/>
  <c r="Q41" i="16" s="1"/>
  <c r="Q42" i="16" s="1"/>
  <c r="Q43" i="16" s="1"/>
  <c r="Q44" i="16" s="1"/>
  <c r="Q45" i="16" s="1"/>
  <c r="Q46" i="16" s="1"/>
  <c r="Q47" i="16" s="1"/>
  <c r="Q48" i="16" s="1"/>
  <c r="Q49" i="16" s="1"/>
  <c r="Q50" i="16" s="1"/>
  <c r="Q51" i="16" s="1"/>
  <c r="Q52" i="16" s="1"/>
  <c r="Q53" i="16" s="1"/>
  <c r="Q54" i="16" s="1"/>
  <c r="Q55" i="16" s="1"/>
  <c r="Q56" i="16" s="1"/>
  <c r="Q57" i="16" s="1"/>
  <c r="Q58" i="16" s="1"/>
  <c r="Q59" i="16" s="1"/>
  <c r="Q60" i="16" s="1"/>
  <c r="Q61" i="16" s="1"/>
  <c r="Q62" i="16" s="1"/>
  <c r="Q63" i="16" s="1"/>
  <c r="Q64" i="16" s="1"/>
  <c r="Q65" i="16" s="1"/>
  <c r="Q66" i="16" s="1"/>
  <c r="Q67" i="16" s="1"/>
  <c r="Q68" i="16" s="1"/>
  <c r="Q69" i="16" s="1"/>
  <c r="Q70" i="16" s="1"/>
  <c r="Q71" i="16" s="1"/>
  <c r="Q72" i="16" s="1"/>
  <c r="Q73" i="16" s="1"/>
  <c r="Q74" i="16" s="1"/>
  <c r="Q75" i="16" s="1"/>
  <c r="Q76" i="16" s="1"/>
  <c r="Q77" i="16" s="1"/>
  <c r="Q78" i="16" s="1"/>
  <c r="Q79" i="16" s="1"/>
  <c r="Q80" i="16" s="1"/>
  <c r="Q81" i="16" s="1"/>
  <c r="Q82" i="16" s="1"/>
  <c r="Q83" i="16" s="1"/>
  <c r="Q84" i="16" s="1"/>
  <c r="Q85" i="16" s="1"/>
  <c r="Q86" i="16" s="1"/>
  <c r="Q87" i="16" s="1"/>
  <c r="Q88" i="16" s="1"/>
  <c r="Q89" i="16" s="1"/>
  <c r="Q90" i="16" s="1"/>
  <c r="Q91" i="16" s="1"/>
  <c r="Q92" i="16" s="1"/>
  <c r="Q93" i="16" s="1"/>
  <c r="Q94" i="16" s="1"/>
  <c r="Q95" i="16" s="1"/>
  <c r="Q96" i="16" s="1"/>
  <c r="Q97" i="16" s="1"/>
  <c r="Q98" i="16" s="1"/>
  <c r="Q99" i="16" s="1"/>
  <c r="Q100" i="16" s="1"/>
  <c r="Q101" i="16" s="1"/>
  <c r="Q102" i="16" s="1"/>
  <c r="Q103" i="16" s="1"/>
  <c r="Q104" i="16" s="1"/>
  <c r="Q105" i="16" s="1"/>
  <c r="Q106" i="16" s="1"/>
  <c r="Q107" i="16" s="1"/>
  <c r="Q108" i="16" s="1"/>
  <c r="Q109" i="16" s="1"/>
  <c r="Q110" i="16" s="1"/>
  <c r="Q111" i="16" s="1"/>
  <c r="Q112" i="16" s="1"/>
  <c r="Q113" i="16" s="1"/>
  <c r="Q114" i="16" s="1"/>
  <c r="Q115" i="16" s="1"/>
  <c r="Q116" i="16" s="1"/>
  <c r="Q117" i="16" s="1"/>
  <c r="Q118" i="16" s="1"/>
  <c r="Q119" i="16" s="1"/>
  <c r="Q120" i="16" s="1"/>
  <c r="Q121" i="16" s="1"/>
  <c r="O2" i="16"/>
  <c r="O3" i="16" s="1"/>
  <c r="P3" i="16" s="1"/>
  <c r="M2" i="16"/>
  <c r="K2" i="16"/>
  <c r="K3" i="16" s="1"/>
  <c r="K4" i="16" s="1"/>
  <c r="K5" i="16" s="1"/>
  <c r="K6" i="16" s="1"/>
  <c r="K7" i="16" s="1"/>
  <c r="K8" i="16" s="1"/>
  <c r="K9" i="16" s="1"/>
  <c r="K10" i="16" s="1"/>
  <c r="K11" i="16" s="1"/>
  <c r="K12" i="16" s="1"/>
  <c r="K13" i="16" s="1"/>
  <c r="K14" i="16" s="1"/>
  <c r="K15" i="16" s="1"/>
  <c r="K16" i="16" s="1"/>
  <c r="K17" i="16" s="1"/>
  <c r="K18" i="16" s="1"/>
  <c r="K19" i="16" s="1"/>
  <c r="K20" i="16" s="1"/>
  <c r="K21" i="16" s="1"/>
  <c r="K22" i="16" s="1"/>
  <c r="K23" i="16" s="1"/>
  <c r="K24" i="16" s="1"/>
  <c r="K25" i="16" s="1"/>
  <c r="K26" i="16" s="1"/>
  <c r="K27" i="16" s="1"/>
  <c r="K28" i="16" s="1"/>
  <c r="K29" i="16" s="1"/>
  <c r="K30" i="16" s="1"/>
  <c r="K31" i="16" s="1"/>
  <c r="K32" i="16" s="1"/>
  <c r="K33" i="16" s="1"/>
  <c r="K34" i="16" s="1"/>
  <c r="K35" i="16" s="1"/>
  <c r="K36" i="16" s="1"/>
  <c r="K37" i="16" s="1"/>
  <c r="K38" i="16" s="1"/>
  <c r="K39" i="16" s="1"/>
  <c r="K40" i="16" s="1"/>
  <c r="K41" i="16" s="1"/>
  <c r="K42" i="16" s="1"/>
  <c r="K43" i="16" s="1"/>
  <c r="K44" i="16" s="1"/>
  <c r="K45" i="16" s="1"/>
  <c r="K46" i="16" s="1"/>
  <c r="K47" i="16" s="1"/>
  <c r="K48" i="16" s="1"/>
  <c r="K49" i="16" s="1"/>
  <c r="K50" i="16" s="1"/>
  <c r="K51" i="16" s="1"/>
  <c r="K52" i="16" s="1"/>
  <c r="K53" i="16" s="1"/>
  <c r="K54" i="16" s="1"/>
  <c r="K55" i="16" s="1"/>
  <c r="K56" i="16" s="1"/>
  <c r="K57" i="16" s="1"/>
  <c r="K58" i="16" s="1"/>
  <c r="K59" i="16" s="1"/>
  <c r="K60" i="16" s="1"/>
  <c r="K61" i="16" s="1"/>
  <c r="K62" i="16" s="1"/>
  <c r="K63" i="16" s="1"/>
  <c r="K64" i="16" s="1"/>
  <c r="K65" i="16" s="1"/>
  <c r="K66" i="16" s="1"/>
  <c r="K67" i="16" s="1"/>
  <c r="K68" i="16" s="1"/>
  <c r="K69" i="16" s="1"/>
  <c r="K70" i="16" s="1"/>
  <c r="K71" i="16" s="1"/>
  <c r="K72" i="16" s="1"/>
  <c r="K73" i="16" s="1"/>
  <c r="K74" i="16" s="1"/>
  <c r="K75" i="16" s="1"/>
  <c r="K76" i="16" s="1"/>
  <c r="K77" i="16" s="1"/>
  <c r="K78" i="16" s="1"/>
  <c r="K79" i="16" s="1"/>
  <c r="K80" i="16" s="1"/>
  <c r="K81" i="16" s="1"/>
  <c r="K82" i="16" s="1"/>
  <c r="K83" i="16" s="1"/>
  <c r="K84" i="16" s="1"/>
  <c r="K85" i="16" s="1"/>
  <c r="K86" i="16" s="1"/>
  <c r="K87" i="16" s="1"/>
  <c r="K88" i="16" s="1"/>
  <c r="K89" i="16" s="1"/>
  <c r="K90" i="16" s="1"/>
  <c r="K91" i="16" s="1"/>
  <c r="K92" i="16" s="1"/>
  <c r="K93" i="16" s="1"/>
  <c r="K94" i="16" s="1"/>
  <c r="K95" i="16" s="1"/>
  <c r="K96" i="16" s="1"/>
  <c r="K97" i="16" s="1"/>
  <c r="K98" i="16" s="1"/>
  <c r="K99" i="16" s="1"/>
  <c r="K100" i="16" s="1"/>
  <c r="K101" i="16" s="1"/>
  <c r="K102" i="16" s="1"/>
  <c r="K103" i="16" s="1"/>
  <c r="K104" i="16" s="1"/>
  <c r="K105" i="16" s="1"/>
  <c r="K106" i="16" s="1"/>
  <c r="K107" i="16" s="1"/>
  <c r="K108" i="16" s="1"/>
  <c r="K109" i="16" s="1"/>
  <c r="K110" i="16" s="1"/>
  <c r="K111" i="16" s="1"/>
  <c r="K112" i="16" s="1"/>
  <c r="K113" i="16" s="1"/>
  <c r="K114" i="16" s="1"/>
  <c r="K115" i="16" s="1"/>
  <c r="K116" i="16" s="1"/>
  <c r="K117" i="16" s="1"/>
  <c r="K118" i="16" s="1"/>
  <c r="K119" i="16" s="1"/>
  <c r="K120" i="16" s="1"/>
  <c r="K121" i="16" s="1"/>
  <c r="H3" i="16"/>
  <c r="H4" i="16"/>
  <c r="H5" i="16"/>
  <c r="H6" i="16"/>
  <c r="H7" i="16"/>
  <c r="H8" i="16"/>
  <c r="H9" i="16"/>
  <c r="H10" i="16"/>
  <c r="H11" i="16"/>
  <c r="H12" i="16"/>
  <c r="H13" i="16"/>
  <c r="H14" i="16"/>
  <c r="H15" i="16"/>
  <c r="H16" i="16"/>
  <c r="H17" i="16"/>
  <c r="H18" i="16"/>
  <c r="H19" i="16"/>
  <c r="H20" i="16"/>
  <c r="H21" i="16"/>
  <c r="H22" i="16"/>
  <c r="H23" i="16"/>
  <c r="H24" i="16"/>
  <c r="H25" i="16"/>
  <c r="H26" i="16"/>
  <c r="H27" i="16"/>
  <c r="H28" i="16"/>
  <c r="H29" i="16"/>
  <c r="H30" i="16"/>
  <c r="H31" i="16"/>
  <c r="H32" i="16"/>
  <c r="H33" i="16"/>
  <c r="H34" i="16"/>
  <c r="H35" i="16"/>
  <c r="H36" i="16"/>
  <c r="H37" i="16"/>
  <c r="H38" i="16"/>
  <c r="H39" i="16"/>
  <c r="H40" i="16"/>
  <c r="H41" i="16"/>
  <c r="H42" i="16"/>
  <c r="H43" i="16"/>
  <c r="H44" i="16"/>
  <c r="H45" i="16"/>
  <c r="H46" i="16"/>
  <c r="H47" i="16"/>
  <c r="H48" i="16"/>
  <c r="H49" i="16"/>
  <c r="H50" i="16"/>
  <c r="H51" i="16"/>
  <c r="H52" i="16"/>
  <c r="H53" i="16"/>
  <c r="H54" i="16"/>
  <c r="H55" i="16"/>
  <c r="H56" i="16"/>
  <c r="H57" i="16"/>
  <c r="H58" i="16"/>
  <c r="H59" i="16"/>
  <c r="H60" i="16"/>
  <c r="H61" i="16"/>
  <c r="H62" i="16"/>
  <c r="H63" i="16"/>
  <c r="H64" i="16"/>
  <c r="H65" i="16"/>
  <c r="H66" i="16"/>
  <c r="H67" i="16"/>
  <c r="H68" i="16"/>
  <c r="H69" i="16"/>
  <c r="H70" i="16"/>
  <c r="H71" i="16"/>
  <c r="H72" i="16"/>
  <c r="H73" i="16"/>
  <c r="H74" i="16"/>
  <c r="H75" i="16"/>
  <c r="H76" i="16"/>
  <c r="H77" i="16"/>
  <c r="H78" i="16"/>
  <c r="H79" i="16"/>
  <c r="H80" i="16"/>
  <c r="H81" i="16"/>
  <c r="H82" i="16"/>
  <c r="H83" i="16"/>
  <c r="H84" i="16"/>
  <c r="H85" i="16"/>
  <c r="H86" i="16"/>
  <c r="H87" i="16"/>
  <c r="H88" i="16"/>
  <c r="H89" i="16"/>
  <c r="H90" i="16"/>
  <c r="H91" i="16"/>
  <c r="H92" i="16"/>
  <c r="H93" i="16"/>
  <c r="H94" i="16"/>
  <c r="H95" i="16"/>
  <c r="H96" i="16"/>
  <c r="H97" i="16"/>
  <c r="H98" i="16"/>
  <c r="H99" i="16"/>
  <c r="H100" i="16"/>
  <c r="H101" i="16"/>
  <c r="H102" i="16"/>
  <c r="H103" i="16"/>
  <c r="H104" i="16"/>
  <c r="H105" i="16"/>
  <c r="H106" i="16"/>
  <c r="H107" i="16"/>
  <c r="H108" i="16"/>
  <c r="H109" i="16"/>
  <c r="H110" i="16"/>
  <c r="H111" i="16"/>
  <c r="H112" i="16"/>
  <c r="H113" i="16"/>
  <c r="H114" i="16"/>
  <c r="H115" i="16"/>
  <c r="H116" i="16"/>
  <c r="H117" i="16"/>
  <c r="H118" i="16"/>
  <c r="H119" i="16"/>
  <c r="H120" i="16"/>
  <c r="H121" i="16"/>
  <c r="I2" i="16"/>
  <c r="J2" i="16" s="1"/>
  <c r="H2" i="16"/>
  <c r="C2" i="16"/>
  <c r="D2" i="16"/>
  <c r="E2" i="16"/>
  <c r="F2" i="16"/>
  <c r="C4" i="16"/>
  <c r="C5" i="16" s="1"/>
  <c r="D4" i="16"/>
  <c r="D5" i="16" s="1"/>
  <c r="E4" i="16"/>
  <c r="E5" i="16" s="1"/>
  <c r="F4" i="16"/>
  <c r="F5" i="16" s="1"/>
  <c r="C6" i="16"/>
  <c r="D6" i="16"/>
  <c r="E6" i="16"/>
  <c r="F6" i="16"/>
  <c r="C7" i="16"/>
  <c r="D7" i="16"/>
  <c r="E7" i="16"/>
  <c r="F7" i="16"/>
  <c r="C8" i="16"/>
  <c r="D8" i="16"/>
  <c r="E8" i="16"/>
  <c r="F8" i="16"/>
  <c r="C9" i="16"/>
  <c r="D9" i="16"/>
  <c r="E9" i="16"/>
  <c r="E10" i="16" s="1"/>
  <c r="E11" i="16" s="1"/>
  <c r="E12" i="16" s="1"/>
  <c r="F9" i="16"/>
  <c r="C13" i="16"/>
  <c r="C15" i="16" s="1"/>
  <c r="D13" i="16"/>
  <c r="D15" i="16" s="1"/>
  <c r="E13" i="16"/>
  <c r="E15" i="16" s="1"/>
  <c r="F13" i="16"/>
  <c r="F15" i="16" s="1"/>
  <c r="B13" i="16"/>
  <c r="B15" i="16" s="1"/>
  <c r="B9" i="16"/>
  <c r="B8" i="16"/>
  <c r="B7" i="16"/>
  <c r="B6" i="16"/>
  <c r="B4" i="16"/>
  <c r="B5" i="16" s="1"/>
  <c r="B2" i="16"/>
  <c r="B3" i="16" s="1"/>
  <c r="F3" i="15"/>
  <c r="F4" i="15"/>
  <c r="F5" i="15"/>
  <c r="F6" i="15"/>
  <c r="F7" i="15"/>
  <c r="F8" i="15"/>
  <c r="F9" i="15"/>
  <c r="F10" i="15"/>
  <c r="F11" i="15"/>
  <c r="F12" i="15"/>
  <c r="F13" i="15"/>
  <c r="F14" i="15"/>
  <c r="F15" i="15"/>
  <c r="F16" i="15"/>
  <c r="F17" i="15"/>
  <c r="F18" i="15"/>
  <c r="F19" i="15"/>
  <c r="F20" i="15"/>
  <c r="F21" i="15"/>
  <c r="F22" i="15"/>
  <c r="F23" i="15"/>
  <c r="F24" i="15"/>
  <c r="F25" i="15"/>
  <c r="F26" i="15"/>
  <c r="F27" i="15"/>
  <c r="F28" i="15"/>
  <c r="F29" i="15"/>
  <c r="F30" i="15"/>
  <c r="F31" i="15"/>
  <c r="F32" i="15"/>
  <c r="F33" i="15"/>
  <c r="F34" i="15"/>
  <c r="F35" i="15"/>
  <c r="F36" i="15"/>
  <c r="F37" i="15"/>
  <c r="F38" i="15"/>
  <c r="F39" i="15"/>
  <c r="F40" i="15"/>
  <c r="F41" i="15"/>
  <c r="F42" i="15"/>
  <c r="F43" i="15"/>
  <c r="F44" i="15"/>
  <c r="F45" i="15"/>
  <c r="F46" i="15"/>
  <c r="F47" i="15"/>
  <c r="F48" i="15"/>
  <c r="F49" i="15"/>
  <c r="F50" i="15"/>
  <c r="F51" i="15"/>
  <c r="F52" i="15"/>
  <c r="F53" i="15"/>
  <c r="F54" i="15"/>
  <c r="F55" i="15"/>
  <c r="F56" i="15"/>
  <c r="F57" i="15"/>
  <c r="F58" i="15"/>
  <c r="F59" i="15"/>
  <c r="F60" i="15"/>
  <c r="F61" i="15"/>
  <c r="F62" i="15"/>
  <c r="F63" i="15"/>
  <c r="F64" i="15"/>
  <c r="F65" i="15"/>
  <c r="F66" i="15"/>
  <c r="F67" i="15"/>
  <c r="F68" i="15"/>
  <c r="F69" i="15"/>
  <c r="F70" i="15"/>
  <c r="F71" i="15"/>
  <c r="F72" i="15"/>
  <c r="F73" i="15"/>
  <c r="F74" i="15"/>
  <c r="F75" i="15"/>
  <c r="F76" i="15"/>
  <c r="F77" i="15"/>
  <c r="F78" i="15"/>
  <c r="F79" i="15"/>
  <c r="F80" i="15"/>
  <c r="F81" i="15"/>
  <c r="F82" i="15"/>
  <c r="F83" i="15"/>
  <c r="F84" i="15"/>
  <c r="F85" i="15"/>
  <c r="F86" i="15"/>
  <c r="F87" i="15"/>
  <c r="F88" i="15"/>
  <c r="F89" i="15"/>
  <c r="F90" i="15"/>
  <c r="F91" i="15"/>
  <c r="F92" i="15"/>
  <c r="F93" i="15"/>
  <c r="F94" i="15"/>
  <c r="F95" i="15"/>
  <c r="F96" i="15"/>
  <c r="F97" i="15"/>
  <c r="F98" i="15"/>
  <c r="F99" i="15"/>
  <c r="F100" i="15"/>
  <c r="F101" i="15"/>
  <c r="F102" i="15"/>
  <c r="F103" i="15"/>
  <c r="F104" i="15"/>
  <c r="F105" i="15"/>
  <c r="F106" i="15"/>
  <c r="F107" i="15"/>
  <c r="F108" i="15"/>
  <c r="F109" i="15"/>
  <c r="F110" i="15"/>
  <c r="F111" i="15"/>
  <c r="F112" i="15"/>
  <c r="F113" i="15"/>
  <c r="F114" i="15"/>
  <c r="F115" i="15"/>
  <c r="F116" i="15"/>
  <c r="F117" i="15"/>
  <c r="F118" i="15"/>
  <c r="F119" i="15"/>
  <c r="F120" i="15"/>
  <c r="F121" i="15"/>
  <c r="F2" i="15"/>
  <c r="E3" i="15"/>
  <c r="E4" i="15"/>
  <c r="E5" i="15"/>
  <c r="E6" i="15"/>
  <c r="E7" i="15"/>
  <c r="E8" i="15"/>
  <c r="E9" i="15"/>
  <c r="E10" i="15"/>
  <c r="E11" i="15"/>
  <c r="E12" i="15"/>
  <c r="E13" i="15"/>
  <c r="E14" i="15"/>
  <c r="E15" i="15"/>
  <c r="E16" i="15"/>
  <c r="E17" i="15"/>
  <c r="E18" i="15"/>
  <c r="E19" i="15"/>
  <c r="E20" i="15"/>
  <c r="E21" i="15"/>
  <c r="E22" i="15"/>
  <c r="E23" i="15"/>
  <c r="E24" i="15"/>
  <c r="E25" i="15"/>
  <c r="E26" i="15"/>
  <c r="E27" i="15"/>
  <c r="E28" i="15"/>
  <c r="E29" i="15"/>
  <c r="E30" i="15"/>
  <c r="E31" i="15"/>
  <c r="E32" i="15"/>
  <c r="E33" i="15"/>
  <c r="E34" i="15"/>
  <c r="E35" i="15"/>
  <c r="E36" i="15"/>
  <c r="E37" i="15"/>
  <c r="E38" i="15"/>
  <c r="E39" i="15"/>
  <c r="E40" i="15"/>
  <c r="E41" i="15"/>
  <c r="E42" i="15"/>
  <c r="E43" i="15"/>
  <c r="E44" i="15"/>
  <c r="E45" i="15"/>
  <c r="E46" i="15"/>
  <c r="E47" i="15"/>
  <c r="E48" i="15"/>
  <c r="E49" i="15"/>
  <c r="E50" i="15"/>
  <c r="E51" i="15"/>
  <c r="E52" i="15"/>
  <c r="E53" i="15"/>
  <c r="E54" i="15"/>
  <c r="E55" i="15"/>
  <c r="E56" i="15"/>
  <c r="E57" i="15"/>
  <c r="E58" i="15"/>
  <c r="E59" i="15"/>
  <c r="E60" i="15"/>
  <c r="E61" i="15"/>
  <c r="E62" i="15"/>
  <c r="E63" i="15"/>
  <c r="E64" i="15"/>
  <c r="E65" i="15"/>
  <c r="E66" i="15"/>
  <c r="E67" i="15"/>
  <c r="E68" i="15"/>
  <c r="E69" i="15"/>
  <c r="E70" i="15"/>
  <c r="E71" i="15"/>
  <c r="E72" i="15"/>
  <c r="E73" i="15"/>
  <c r="E74" i="15"/>
  <c r="E75" i="15"/>
  <c r="E76" i="15"/>
  <c r="E77" i="15"/>
  <c r="E78" i="15"/>
  <c r="E79" i="15"/>
  <c r="E80" i="15"/>
  <c r="E81" i="15"/>
  <c r="E82" i="15"/>
  <c r="E83" i="15"/>
  <c r="E84" i="15"/>
  <c r="E85" i="15"/>
  <c r="E86" i="15"/>
  <c r="E87" i="15"/>
  <c r="E88" i="15"/>
  <c r="E89" i="15"/>
  <c r="E90" i="15"/>
  <c r="E91" i="15"/>
  <c r="E92" i="15"/>
  <c r="E93" i="15"/>
  <c r="E94" i="15"/>
  <c r="E95" i="15"/>
  <c r="E96" i="15"/>
  <c r="E97" i="15"/>
  <c r="E98" i="15"/>
  <c r="E99" i="15"/>
  <c r="E100" i="15"/>
  <c r="E101" i="15"/>
  <c r="E102" i="15"/>
  <c r="E103" i="15"/>
  <c r="E104" i="15"/>
  <c r="E105" i="15"/>
  <c r="E106" i="15"/>
  <c r="E107" i="15"/>
  <c r="E108" i="15"/>
  <c r="E109" i="15"/>
  <c r="E110" i="15"/>
  <c r="E111" i="15"/>
  <c r="E112" i="15"/>
  <c r="E113" i="15"/>
  <c r="E114" i="15"/>
  <c r="E115" i="15"/>
  <c r="E116" i="15"/>
  <c r="E117" i="15"/>
  <c r="E118" i="15"/>
  <c r="E119" i="15"/>
  <c r="E120" i="15"/>
  <c r="E121" i="15"/>
  <c r="E2" i="15"/>
  <c r="D121" i="15"/>
  <c r="C121" i="15"/>
  <c r="B121" i="15"/>
  <c r="A121" i="15"/>
  <c r="K121" i="15" s="1"/>
  <c r="D120" i="15"/>
  <c r="C120" i="15"/>
  <c r="B120" i="15"/>
  <c r="A120" i="15"/>
  <c r="K120" i="15" s="1"/>
  <c r="D119" i="15"/>
  <c r="C119" i="15"/>
  <c r="B119" i="15"/>
  <c r="A119" i="15"/>
  <c r="D118" i="15"/>
  <c r="C118" i="15"/>
  <c r="B118" i="15"/>
  <c r="A118" i="15"/>
  <c r="K118" i="15" s="1"/>
  <c r="D117" i="15"/>
  <c r="C117" i="15"/>
  <c r="B117" i="15"/>
  <c r="A117" i="15"/>
  <c r="K117" i="15" s="1"/>
  <c r="K116" i="15"/>
  <c r="D116" i="15"/>
  <c r="C116" i="15"/>
  <c r="B116" i="15"/>
  <c r="A116" i="15"/>
  <c r="D115" i="15"/>
  <c r="C115" i="15"/>
  <c r="B115" i="15"/>
  <c r="A115" i="15"/>
  <c r="K115" i="15" s="1"/>
  <c r="D114" i="15"/>
  <c r="C114" i="15"/>
  <c r="B114" i="15"/>
  <c r="A114" i="15"/>
  <c r="K114" i="15" s="1"/>
  <c r="D113" i="15"/>
  <c r="C113" i="15"/>
  <c r="B113" i="15"/>
  <c r="K113" i="15" s="1"/>
  <c r="A113" i="15"/>
  <c r="D112" i="15"/>
  <c r="C112" i="15"/>
  <c r="B112" i="15"/>
  <c r="A112" i="15"/>
  <c r="K112" i="15" s="1"/>
  <c r="D111" i="15"/>
  <c r="C111" i="15"/>
  <c r="B111" i="15"/>
  <c r="A111" i="15"/>
  <c r="D110" i="15"/>
  <c r="C110" i="15"/>
  <c r="B110" i="15"/>
  <c r="A110" i="15"/>
  <c r="K110" i="15" s="1"/>
  <c r="D109" i="15"/>
  <c r="C109" i="15"/>
  <c r="B109" i="15"/>
  <c r="A109" i="15"/>
  <c r="K109" i="15" s="1"/>
  <c r="K108" i="15"/>
  <c r="D108" i="15"/>
  <c r="C108" i="15"/>
  <c r="B108" i="15"/>
  <c r="A108" i="15"/>
  <c r="D107" i="15"/>
  <c r="C107" i="15"/>
  <c r="B107" i="15"/>
  <c r="A107" i="15"/>
  <c r="K107" i="15" s="1"/>
  <c r="D106" i="15"/>
  <c r="C106" i="15"/>
  <c r="B106" i="15"/>
  <c r="A106" i="15"/>
  <c r="K106" i="15" s="1"/>
  <c r="D105" i="15"/>
  <c r="C105" i="15"/>
  <c r="B105" i="15"/>
  <c r="K105" i="15" s="1"/>
  <c r="A105" i="15"/>
  <c r="D104" i="15"/>
  <c r="C104" i="15"/>
  <c r="B104" i="15"/>
  <c r="A104" i="15"/>
  <c r="K104" i="15" s="1"/>
  <c r="D103" i="15"/>
  <c r="C103" i="15"/>
  <c r="B103" i="15"/>
  <c r="A103" i="15"/>
  <c r="D102" i="15"/>
  <c r="C102" i="15"/>
  <c r="B102" i="15"/>
  <c r="A102" i="15"/>
  <c r="K102" i="15" s="1"/>
  <c r="D101" i="15"/>
  <c r="C101" i="15"/>
  <c r="B101" i="15"/>
  <c r="A101" i="15"/>
  <c r="K101" i="15" s="1"/>
  <c r="K100" i="15"/>
  <c r="D100" i="15"/>
  <c r="C100" i="15"/>
  <c r="B100" i="15"/>
  <c r="A100" i="15"/>
  <c r="D99" i="15"/>
  <c r="C99" i="15"/>
  <c r="B99" i="15"/>
  <c r="A99" i="15"/>
  <c r="K99" i="15" s="1"/>
  <c r="D98" i="15"/>
  <c r="C98" i="15"/>
  <c r="B98" i="15"/>
  <c r="A98" i="15"/>
  <c r="K98" i="15" s="1"/>
  <c r="D97" i="15"/>
  <c r="C97" i="15"/>
  <c r="B97" i="15"/>
  <c r="K97" i="15" s="1"/>
  <c r="A97" i="15"/>
  <c r="D96" i="15"/>
  <c r="C96" i="15"/>
  <c r="B96" i="15"/>
  <c r="A96" i="15"/>
  <c r="K96" i="15" s="1"/>
  <c r="D95" i="15"/>
  <c r="C95" i="15"/>
  <c r="B95" i="15"/>
  <c r="A95" i="15"/>
  <c r="D94" i="15"/>
  <c r="C94" i="15"/>
  <c r="B94" i="15"/>
  <c r="A94" i="15"/>
  <c r="K94" i="15" s="1"/>
  <c r="D93" i="15"/>
  <c r="C93" i="15"/>
  <c r="B93" i="15"/>
  <c r="A93" i="15"/>
  <c r="K93" i="15" s="1"/>
  <c r="K92" i="15"/>
  <c r="D92" i="15"/>
  <c r="C92" i="15"/>
  <c r="B92" i="15"/>
  <c r="A92" i="15"/>
  <c r="D91" i="15"/>
  <c r="C91" i="15"/>
  <c r="B91" i="15"/>
  <c r="A91" i="15"/>
  <c r="K91" i="15" s="1"/>
  <c r="D90" i="15"/>
  <c r="C90" i="15"/>
  <c r="B90" i="15"/>
  <c r="A90" i="15"/>
  <c r="K90" i="15" s="1"/>
  <c r="D89" i="15"/>
  <c r="C89" i="15"/>
  <c r="B89" i="15"/>
  <c r="K89" i="15" s="1"/>
  <c r="A89" i="15"/>
  <c r="D88" i="15"/>
  <c r="C88" i="15"/>
  <c r="B88" i="15"/>
  <c r="A88" i="15"/>
  <c r="K88" i="15" s="1"/>
  <c r="D87" i="15"/>
  <c r="C87" i="15"/>
  <c r="B87" i="15"/>
  <c r="A87" i="15"/>
  <c r="D86" i="15"/>
  <c r="C86" i="15"/>
  <c r="B86" i="15"/>
  <c r="A86" i="15"/>
  <c r="K86" i="15" s="1"/>
  <c r="D85" i="15"/>
  <c r="C85" i="15"/>
  <c r="B85" i="15"/>
  <c r="A85" i="15"/>
  <c r="K85" i="15" s="1"/>
  <c r="K84" i="15"/>
  <c r="D84" i="15"/>
  <c r="C84" i="15"/>
  <c r="B84" i="15"/>
  <c r="A84" i="15"/>
  <c r="D83" i="15"/>
  <c r="C83" i="15"/>
  <c r="B83" i="15"/>
  <c r="A83" i="15"/>
  <c r="K83" i="15" s="1"/>
  <c r="D82" i="15"/>
  <c r="C82" i="15"/>
  <c r="B82" i="15"/>
  <c r="A82" i="15"/>
  <c r="K82" i="15" s="1"/>
  <c r="D81" i="15"/>
  <c r="C81" i="15"/>
  <c r="B81" i="15"/>
  <c r="K81" i="15" s="1"/>
  <c r="A81" i="15"/>
  <c r="D80" i="15"/>
  <c r="C80" i="15"/>
  <c r="B80" i="15"/>
  <c r="A80" i="15"/>
  <c r="K80" i="15" s="1"/>
  <c r="D79" i="15"/>
  <c r="C79" i="15"/>
  <c r="B79" i="15"/>
  <c r="A79" i="15"/>
  <c r="D78" i="15"/>
  <c r="C78" i="15"/>
  <c r="B78" i="15"/>
  <c r="A78" i="15"/>
  <c r="K78" i="15" s="1"/>
  <c r="D77" i="15"/>
  <c r="C77" i="15"/>
  <c r="B77" i="15"/>
  <c r="A77" i="15"/>
  <c r="K77" i="15" s="1"/>
  <c r="K76" i="15"/>
  <c r="D76" i="15"/>
  <c r="C76" i="15"/>
  <c r="B76" i="15"/>
  <c r="A76" i="15"/>
  <c r="D75" i="15"/>
  <c r="C75" i="15"/>
  <c r="B75" i="15"/>
  <c r="A75" i="15"/>
  <c r="K75" i="15" s="1"/>
  <c r="D74" i="15"/>
  <c r="C74" i="15"/>
  <c r="B74" i="15"/>
  <c r="A74" i="15"/>
  <c r="K74" i="15" s="1"/>
  <c r="K73" i="15"/>
  <c r="J73" i="15"/>
  <c r="D73" i="15"/>
  <c r="C73" i="15"/>
  <c r="B73" i="15"/>
  <c r="A73" i="15"/>
  <c r="D72" i="15"/>
  <c r="C72" i="15"/>
  <c r="B72" i="15"/>
  <c r="A72" i="15"/>
  <c r="K72" i="15" s="1"/>
  <c r="K71" i="15"/>
  <c r="J71" i="15"/>
  <c r="D71" i="15"/>
  <c r="C71" i="15"/>
  <c r="B71" i="15"/>
  <c r="A71" i="15"/>
  <c r="D70" i="15"/>
  <c r="C70" i="15"/>
  <c r="B70" i="15"/>
  <c r="A70" i="15"/>
  <c r="K70" i="15" s="1"/>
  <c r="D69" i="15"/>
  <c r="C69" i="15"/>
  <c r="B69" i="15"/>
  <c r="A69" i="15"/>
  <c r="K69" i="15" s="1"/>
  <c r="K68" i="15"/>
  <c r="J68" i="15"/>
  <c r="D68" i="15"/>
  <c r="C68" i="15"/>
  <c r="B68" i="15"/>
  <c r="A68" i="15"/>
  <c r="J67" i="15"/>
  <c r="D67" i="15"/>
  <c r="C67" i="15"/>
  <c r="B67" i="15"/>
  <c r="A67" i="15"/>
  <c r="K67" i="15" s="1"/>
  <c r="D66" i="15"/>
  <c r="C66" i="15"/>
  <c r="B66" i="15"/>
  <c r="A66" i="15"/>
  <c r="K66" i="15" s="1"/>
  <c r="K65" i="15"/>
  <c r="J65" i="15"/>
  <c r="D65" i="15"/>
  <c r="C65" i="15"/>
  <c r="B65" i="15"/>
  <c r="A65" i="15"/>
  <c r="D64" i="15"/>
  <c r="C64" i="15"/>
  <c r="B64" i="15"/>
  <c r="A64" i="15"/>
  <c r="K64" i="15" s="1"/>
  <c r="K63" i="15"/>
  <c r="J63" i="15"/>
  <c r="D63" i="15"/>
  <c r="C63" i="15"/>
  <c r="B63" i="15"/>
  <c r="A63" i="15"/>
  <c r="D62" i="15"/>
  <c r="C62" i="15"/>
  <c r="B62" i="15"/>
  <c r="A62" i="15"/>
  <c r="K62" i="15" s="1"/>
  <c r="D61" i="15"/>
  <c r="C61" i="15"/>
  <c r="B61" i="15"/>
  <c r="A61" i="15"/>
  <c r="K61" i="15" s="1"/>
  <c r="K60" i="15"/>
  <c r="J60" i="15"/>
  <c r="D60" i="15"/>
  <c r="C60" i="15"/>
  <c r="B60" i="15"/>
  <c r="A60" i="15"/>
  <c r="J59" i="15"/>
  <c r="D59" i="15"/>
  <c r="C59" i="15"/>
  <c r="B59" i="15"/>
  <c r="A59" i="15"/>
  <c r="K59" i="15" s="1"/>
  <c r="D58" i="15"/>
  <c r="C58" i="15"/>
  <c r="B58" i="15"/>
  <c r="A58" i="15"/>
  <c r="J58" i="15" s="1"/>
  <c r="K57" i="15"/>
  <c r="J57" i="15"/>
  <c r="D57" i="15"/>
  <c r="C57" i="15"/>
  <c r="B57" i="15"/>
  <c r="A57" i="15"/>
  <c r="D56" i="15"/>
  <c r="C56" i="15"/>
  <c r="B56" i="15"/>
  <c r="A56" i="15"/>
  <c r="K56" i="15" s="1"/>
  <c r="K55" i="15"/>
  <c r="J55" i="15"/>
  <c r="D55" i="15"/>
  <c r="C55" i="15"/>
  <c r="B55" i="15"/>
  <c r="A55" i="15"/>
  <c r="D54" i="15"/>
  <c r="C54" i="15"/>
  <c r="B54" i="15"/>
  <c r="A54" i="15"/>
  <c r="K54" i="15" s="1"/>
  <c r="D53" i="15"/>
  <c r="C53" i="15"/>
  <c r="B53" i="15"/>
  <c r="A53" i="15"/>
  <c r="K53" i="15" s="1"/>
  <c r="K52" i="15"/>
  <c r="J52" i="15"/>
  <c r="D52" i="15"/>
  <c r="C52" i="15"/>
  <c r="B52" i="15"/>
  <c r="A52" i="15"/>
  <c r="J51" i="15"/>
  <c r="D51" i="15"/>
  <c r="C51" i="15"/>
  <c r="B51" i="15"/>
  <c r="A51" i="15"/>
  <c r="K51" i="15" s="1"/>
  <c r="D50" i="15"/>
  <c r="C50" i="15"/>
  <c r="B50" i="15"/>
  <c r="A50" i="15"/>
  <c r="K50" i="15" s="1"/>
  <c r="K49" i="15"/>
  <c r="D49" i="15"/>
  <c r="C49" i="15"/>
  <c r="B49" i="15"/>
  <c r="A49" i="15"/>
  <c r="D48" i="15"/>
  <c r="C48" i="15"/>
  <c r="B48" i="15"/>
  <c r="A48" i="15"/>
  <c r="K48" i="15" s="1"/>
  <c r="D47" i="15"/>
  <c r="C47" i="15"/>
  <c r="B47" i="15"/>
  <c r="A47" i="15"/>
  <c r="D46" i="15"/>
  <c r="C46" i="15"/>
  <c r="B46" i="15"/>
  <c r="A46" i="15"/>
  <c r="K46" i="15" s="1"/>
  <c r="D45" i="15"/>
  <c r="C45" i="15"/>
  <c r="B45" i="15"/>
  <c r="A45" i="15"/>
  <c r="K45" i="15" s="1"/>
  <c r="K44" i="15"/>
  <c r="D44" i="15"/>
  <c r="C44" i="15"/>
  <c r="B44" i="15"/>
  <c r="A44" i="15"/>
  <c r="D43" i="15"/>
  <c r="C43" i="15"/>
  <c r="B43" i="15"/>
  <c r="A43" i="15"/>
  <c r="K43" i="15" s="1"/>
  <c r="D42" i="15"/>
  <c r="C42" i="15"/>
  <c r="B42" i="15"/>
  <c r="A42" i="15"/>
  <c r="K41" i="15"/>
  <c r="D41" i="15"/>
  <c r="C41" i="15"/>
  <c r="B41" i="15"/>
  <c r="A41" i="15"/>
  <c r="D40" i="15"/>
  <c r="C40" i="15"/>
  <c r="B40" i="15"/>
  <c r="A40" i="15"/>
  <c r="K40" i="15" s="1"/>
  <c r="D39" i="15"/>
  <c r="C39" i="15"/>
  <c r="B39" i="15"/>
  <c r="A39" i="15"/>
  <c r="D38" i="15"/>
  <c r="C38" i="15"/>
  <c r="B38" i="15"/>
  <c r="A38" i="15"/>
  <c r="K38" i="15" s="1"/>
  <c r="D37" i="15"/>
  <c r="C37" i="15"/>
  <c r="B37" i="15"/>
  <c r="A37" i="15"/>
  <c r="D36" i="15"/>
  <c r="C36" i="15"/>
  <c r="B36" i="15"/>
  <c r="A36" i="15"/>
  <c r="D35" i="15"/>
  <c r="C35" i="15"/>
  <c r="B35" i="15"/>
  <c r="A35" i="15"/>
  <c r="D34" i="15"/>
  <c r="C34" i="15"/>
  <c r="B34" i="15"/>
  <c r="A34" i="15"/>
  <c r="D33" i="15"/>
  <c r="C33" i="15"/>
  <c r="B33" i="15"/>
  <c r="A33" i="15"/>
  <c r="D32" i="15"/>
  <c r="C32" i="15"/>
  <c r="B32" i="15"/>
  <c r="A32" i="15"/>
  <c r="D31" i="15"/>
  <c r="C31" i="15"/>
  <c r="B31" i="15"/>
  <c r="A31" i="15"/>
  <c r="D30" i="15"/>
  <c r="C30" i="15"/>
  <c r="B30" i="15"/>
  <c r="A30" i="15"/>
  <c r="D29" i="15"/>
  <c r="C29" i="15"/>
  <c r="B29" i="15"/>
  <c r="A29" i="15"/>
  <c r="D28" i="15"/>
  <c r="C28" i="15"/>
  <c r="B28" i="15"/>
  <c r="A28" i="15"/>
  <c r="D27" i="15"/>
  <c r="C27" i="15"/>
  <c r="B27" i="15"/>
  <c r="A27" i="15"/>
  <c r="D26" i="15"/>
  <c r="C26" i="15"/>
  <c r="B26" i="15"/>
  <c r="A26" i="15"/>
  <c r="D25" i="15"/>
  <c r="C25" i="15"/>
  <c r="B25" i="15"/>
  <c r="A25" i="15"/>
  <c r="D24" i="15"/>
  <c r="C24" i="15"/>
  <c r="B24" i="15"/>
  <c r="A24" i="15"/>
  <c r="D23" i="15"/>
  <c r="C23" i="15"/>
  <c r="B23" i="15"/>
  <c r="A23" i="15"/>
  <c r="D22" i="15"/>
  <c r="C22" i="15"/>
  <c r="B22" i="15"/>
  <c r="A22" i="15"/>
  <c r="D21" i="15"/>
  <c r="C21" i="15"/>
  <c r="B21" i="15"/>
  <c r="A21" i="15"/>
  <c r="D20" i="15"/>
  <c r="C20" i="15"/>
  <c r="B20" i="15"/>
  <c r="A20" i="15"/>
  <c r="D19" i="15"/>
  <c r="C19" i="15"/>
  <c r="B19" i="15"/>
  <c r="A19" i="15"/>
  <c r="D18" i="15"/>
  <c r="C18" i="15"/>
  <c r="B18" i="15"/>
  <c r="A18" i="15"/>
  <c r="D17" i="15"/>
  <c r="C17" i="15"/>
  <c r="B17" i="15"/>
  <c r="A17" i="15"/>
  <c r="D16" i="15"/>
  <c r="C16" i="15"/>
  <c r="B16" i="15"/>
  <c r="A16" i="15"/>
  <c r="D15" i="15"/>
  <c r="C15" i="15"/>
  <c r="B15" i="15"/>
  <c r="A15" i="15"/>
  <c r="D14" i="15"/>
  <c r="C14" i="15"/>
  <c r="B14" i="15"/>
  <c r="A14" i="15"/>
  <c r="D13" i="15"/>
  <c r="C13" i="15"/>
  <c r="B13" i="15"/>
  <c r="A13" i="15"/>
  <c r="D12" i="15"/>
  <c r="C12" i="15"/>
  <c r="B12" i="15"/>
  <c r="A12" i="15"/>
  <c r="D11" i="15"/>
  <c r="C11" i="15"/>
  <c r="B11" i="15"/>
  <c r="A11" i="15"/>
  <c r="D10" i="15"/>
  <c r="C10" i="15"/>
  <c r="B10" i="15"/>
  <c r="A10" i="15"/>
  <c r="D9" i="15"/>
  <c r="C9" i="15"/>
  <c r="B9" i="15"/>
  <c r="A9" i="15"/>
  <c r="D8" i="15"/>
  <c r="C8" i="15"/>
  <c r="B8" i="15"/>
  <c r="A8" i="15"/>
  <c r="D7" i="15"/>
  <c r="C7" i="15"/>
  <c r="B7" i="15"/>
  <c r="A7" i="15"/>
  <c r="D6" i="15"/>
  <c r="C6" i="15"/>
  <c r="B6" i="15"/>
  <c r="A6" i="15"/>
  <c r="D5" i="15"/>
  <c r="C5" i="15"/>
  <c r="B5" i="15"/>
  <c r="A5" i="15"/>
  <c r="D4" i="15"/>
  <c r="C4" i="15"/>
  <c r="B4" i="15"/>
  <c r="A4" i="15"/>
  <c r="D3" i="15"/>
  <c r="C3" i="15"/>
  <c r="B3" i="15"/>
  <c r="A3" i="15"/>
  <c r="D2" i="15"/>
  <c r="C2" i="15"/>
  <c r="B2" i="15"/>
  <c r="A2" i="15"/>
  <c r="F3" i="14"/>
  <c r="F4" i="14"/>
  <c r="F5" i="14"/>
  <c r="F6" i="14"/>
  <c r="F7" i="14"/>
  <c r="F8" i="14"/>
  <c r="F9" i="14"/>
  <c r="F10" i="14"/>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F58" i="14"/>
  <c r="F59" i="14"/>
  <c r="F60" i="14"/>
  <c r="F61" i="14"/>
  <c r="F62" i="14"/>
  <c r="F63" i="14"/>
  <c r="F64" i="14"/>
  <c r="F65" i="14"/>
  <c r="F66" i="14"/>
  <c r="F67" i="14"/>
  <c r="F68" i="14"/>
  <c r="F69" i="14"/>
  <c r="F70" i="14"/>
  <c r="F71" i="14"/>
  <c r="F72" i="14"/>
  <c r="F73" i="14"/>
  <c r="F74" i="14"/>
  <c r="F75" i="14"/>
  <c r="F76" i="14"/>
  <c r="F77" i="14"/>
  <c r="F78" i="14"/>
  <c r="F79" i="14"/>
  <c r="F80" i="14"/>
  <c r="F81" i="14"/>
  <c r="F82" i="14"/>
  <c r="F83" i="14"/>
  <c r="F84" i="14"/>
  <c r="F85" i="14"/>
  <c r="F86" i="14"/>
  <c r="F87" i="14"/>
  <c r="F88" i="14"/>
  <c r="F89" i="14"/>
  <c r="F90" i="14"/>
  <c r="F91" i="14"/>
  <c r="F92" i="14"/>
  <c r="F93" i="14"/>
  <c r="F94" i="14"/>
  <c r="F95" i="14"/>
  <c r="F96" i="14"/>
  <c r="F97" i="14"/>
  <c r="F98" i="14"/>
  <c r="F99" i="14"/>
  <c r="F100" i="14"/>
  <c r="F101" i="14"/>
  <c r="F102" i="14"/>
  <c r="F103" i="14"/>
  <c r="F104" i="14"/>
  <c r="F105" i="14"/>
  <c r="F106" i="14"/>
  <c r="F107" i="14"/>
  <c r="F108" i="14"/>
  <c r="F109" i="14"/>
  <c r="F110" i="14"/>
  <c r="F111" i="14"/>
  <c r="F112" i="14"/>
  <c r="F113" i="14"/>
  <c r="F114" i="14"/>
  <c r="F115" i="14"/>
  <c r="F116" i="14"/>
  <c r="F117" i="14"/>
  <c r="F118" i="14"/>
  <c r="F119" i="14"/>
  <c r="F120" i="14"/>
  <c r="F121" i="14"/>
  <c r="F2" i="14"/>
  <c r="E121" i="14"/>
  <c r="D121" i="14"/>
  <c r="C121" i="14"/>
  <c r="B121" i="14"/>
  <c r="A121" i="14"/>
  <c r="K121" i="14" s="1"/>
  <c r="E120" i="14"/>
  <c r="D120" i="14"/>
  <c r="C120" i="14"/>
  <c r="B120" i="14"/>
  <c r="A120" i="14"/>
  <c r="K120" i="14" s="1"/>
  <c r="K119" i="14"/>
  <c r="E119" i="14"/>
  <c r="D119" i="14"/>
  <c r="C119" i="14"/>
  <c r="B119" i="14"/>
  <c r="A119" i="14"/>
  <c r="E118" i="14"/>
  <c r="D118" i="14"/>
  <c r="C118" i="14"/>
  <c r="B118" i="14"/>
  <c r="A118" i="14"/>
  <c r="K118" i="14" s="1"/>
  <c r="E117" i="14"/>
  <c r="D117" i="14"/>
  <c r="C117" i="14"/>
  <c r="B117" i="14"/>
  <c r="A117" i="14"/>
  <c r="K117" i="14" s="1"/>
  <c r="K116" i="14"/>
  <c r="E116" i="14"/>
  <c r="D116" i="14"/>
  <c r="C116" i="14"/>
  <c r="B116" i="14"/>
  <c r="A116" i="14"/>
  <c r="K115" i="14"/>
  <c r="E115" i="14"/>
  <c r="D115" i="14"/>
  <c r="C115" i="14"/>
  <c r="B115" i="14"/>
  <c r="A115" i="14"/>
  <c r="E114" i="14"/>
  <c r="D114" i="14"/>
  <c r="C114" i="14"/>
  <c r="B114" i="14"/>
  <c r="A114" i="14"/>
  <c r="K114" i="14" s="1"/>
  <c r="E113" i="14"/>
  <c r="D113" i="14"/>
  <c r="C113" i="14"/>
  <c r="B113" i="14"/>
  <c r="A113" i="14"/>
  <c r="K113" i="14" s="1"/>
  <c r="E112" i="14"/>
  <c r="D112" i="14"/>
  <c r="C112" i="14"/>
  <c r="B112" i="14"/>
  <c r="K112" i="14" s="1"/>
  <c r="A112" i="14"/>
  <c r="E111" i="14"/>
  <c r="D111" i="14"/>
  <c r="C111" i="14"/>
  <c r="B111" i="14"/>
  <c r="A111" i="14"/>
  <c r="E110" i="14"/>
  <c r="D110" i="14"/>
  <c r="C110" i="14"/>
  <c r="B110" i="14"/>
  <c r="A110" i="14"/>
  <c r="K110" i="14" s="1"/>
  <c r="E109" i="14"/>
  <c r="D109" i="14"/>
  <c r="C109" i="14"/>
  <c r="B109" i="14"/>
  <c r="A109" i="14"/>
  <c r="K109" i="14" s="1"/>
  <c r="K108" i="14"/>
  <c r="E108" i="14"/>
  <c r="D108" i="14"/>
  <c r="C108" i="14"/>
  <c r="B108" i="14"/>
  <c r="A108" i="14"/>
  <c r="K107" i="14"/>
  <c r="E107" i="14"/>
  <c r="D107" i="14"/>
  <c r="C107" i="14"/>
  <c r="B107" i="14"/>
  <c r="A107" i="14"/>
  <c r="E106" i="14"/>
  <c r="D106" i="14"/>
  <c r="C106" i="14"/>
  <c r="B106" i="14"/>
  <c r="A106" i="14"/>
  <c r="K106" i="14" s="1"/>
  <c r="E105" i="14"/>
  <c r="D105" i="14"/>
  <c r="C105" i="14"/>
  <c r="B105" i="14"/>
  <c r="A105" i="14"/>
  <c r="K105" i="14" s="1"/>
  <c r="E104" i="14"/>
  <c r="D104" i="14"/>
  <c r="C104" i="14"/>
  <c r="B104" i="14"/>
  <c r="K104" i="14" s="1"/>
  <c r="A104" i="14"/>
  <c r="E103" i="14"/>
  <c r="D103" i="14"/>
  <c r="C103" i="14"/>
  <c r="B103" i="14"/>
  <c r="A103" i="14"/>
  <c r="E102" i="14"/>
  <c r="D102" i="14"/>
  <c r="C102" i="14"/>
  <c r="B102" i="14"/>
  <c r="A102" i="14"/>
  <c r="K102" i="14" s="1"/>
  <c r="E101" i="14"/>
  <c r="D101" i="14"/>
  <c r="C101" i="14"/>
  <c r="B101" i="14"/>
  <c r="A101" i="14"/>
  <c r="K101" i="14" s="1"/>
  <c r="K100" i="14"/>
  <c r="E100" i="14"/>
  <c r="D100" i="14"/>
  <c r="C100" i="14"/>
  <c r="B100" i="14"/>
  <c r="A100" i="14"/>
  <c r="K99" i="14"/>
  <c r="E99" i="14"/>
  <c r="D99" i="14"/>
  <c r="C99" i="14"/>
  <c r="B99" i="14"/>
  <c r="A99" i="14"/>
  <c r="E98" i="14"/>
  <c r="D98" i="14"/>
  <c r="C98" i="14"/>
  <c r="B98" i="14"/>
  <c r="A98" i="14"/>
  <c r="E97" i="14"/>
  <c r="D97" i="14"/>
  <c r="C97" i="14"/>
  <c r="B97" i="14"/>
  <c r="A97" i="14"/>
  <c r="K97" i="14" s="1"/>
  <c r="E96" i="14"/>
  <c r="D96" i="14"/>
  <c r="C96" i="14"/>
  <c r="B96" i="14"/>
  <c r="K96" i="14" s="1"/>
  <c r="A96" i="14"/>
  <c r="E95" i="14"/>
  <c r="D95" i="14"/>
  <c r="C95" i="14"/>
  <c r="B95" i="14"/>
  <c r="A95" i="14"/>
  <c r="E94" i="14"/>
  <c r="D94" i="14"/>
  <c r="C94" i="14"/>
  <c r="B94" i="14"/>
  <c r="A94" i="14"/>
  <c r="K94" i="14" s="1"/>
  <c r="E93" i="14"/>
  <c r="D93" i="14"/>
  <c r="C93" i="14"/>
  <c r="B93" i="14"/>
  <c r="A93" i="14"/>
  <c r="K93" i="14" s="1"/>
  <c r="K92" i="14"/>
  <c r="E92" i="14"/>
  <c r="D92" i="14"/>
  <c r="C92" i="14"/>
  <c r="B92" i="14"/>
  <c r="A92" i="14"/>
  <c r="K91" i="14"/>
  <c r="E91" i="14"/>
  <c r="D91" i="14"/>
  <c r="C91" i="14"/>
  <c r="B91" i="14"/>
  <c r="A91" i="14"/>
  <c r="E90" i="14"/>
  <c r="D90" i="14"/>
  <c r="C90" i="14"/>
  <c r="B90" i="14"/>
  <c r="A90" i="14"/>
  <c r="E89" i="14"/>
  <c r="D89" i="14"/>
  <c r="C89" i="14"/>
  <c r="B89" i="14"/>
  <c r="A89" i="14"/>
  <c r="K89" i="14" s="1"/>
  <c r="E88" i="14"/>
  <c r="D88" i="14"/>
  <c r="C88" i="14"/>
  <c r="B88" i="14"/>
  <c r="K88" i="14" s="1"/>
  <c r="A88" i="14"/>
  <c r="E87" i="14"/>
  <c r="D87" i="14"/>
  <c r="C87" i="14"/>
  <c r="B87" i="14"/>
  <c r="A87" i="14"/>
  <c r="E86" i="14"/>
  <c r="D86" i="14"/>
  <c r="C86" i="14"/>
  <c r="B86" i="14"/>
  <c r="A86" i="14"/>
  <c r="K86" i="14" s="1"/>
  <c r="E85" i="14"/>
  <c r="D85" i="14"/>
  <c r="C85" i="14"/>
  <c r="B85" i="14"/>
  <c r="A85" i="14"/>
  <c r="K85" i="14" s="1"/>
  <c r="K84" i="14"/>
  <c r="E84" i="14"/>
  <c r="D84" i="14"/>
  <c r="C84" i="14"/>
  <c r="B84" i="14"/>
  <c r="A84" i="14"/>
  <c r="K83" i="14"/>
  <c r="E83" i="14"/>
  <c r="D83" i="14"/>
  <c r="C83" i="14"/>
  <c r="B83" i="14"/>
  <c r="A83" i="14"/>
  <c r="E82" i="14"/>
  <c r="D82" i="14"/>
  <c r="C82" i="14"/>
  <c r="B82" i="14"/>
  <c r="A82" i="14"/>
  <c r="E81" i="14"/>
  <c r="D81" i="14"/>
  <c r="C81" i="14"/>
  <c r="B81" i="14"/>
  <c r="A81" i="14"/>
  <c r="K81" i="14" s="1"/>
  <c r="E80" i="14"/>
  <c r="D80" i="14"/>
  <c r="C80" i="14"/>
  <c r="B80" i="14"/>
  <c r="K80" i="14" s="1"/>
  <c r="A80" i="14"/>
  <c r="E79" i="14"/>
  <c r="D79" i="14"/>
  <c r="C79" i="14"/>
  <c r="B79" i="14"/>
  <c r="A79" i="14"/>
  <c r="E78" i="14"/>
  <c r="D78" i="14"/>
  <c r="C78" i="14"/>
  <c r="B78" i="14"/>
  <c r="A78" i="14"/>
  <c r="K78" i="14" s="1"/>
  <c r="E77" i="14"/>
  <c r="D77" i="14"/>
  <c r="C77" i="14"/>
  <c r="B77" i="14"/>
  <c r="A77" i="14"/>
  <c r="K77" i="14" s="1"/>
  <c r="K76" i="14"/>
  <c r="E76" i="14"/>
  <c r="D76" i="14"/>
  <c r="C76" i="14"/>
  <c r="B76" i="14"/>
  <c r="A76" i="14"/>
  <c r="K75" i="14"/>
  <c r="E75" i="14"/>
  <c r="D75" i="14"/>
  <c r="C75" i="14"/>
  <c r="B75" i="14"/>
  <c r="A75" i="14"/>
  <c r="E74" i="14"/>
  <c r="D74" i="14"/>
  <c r="C74" i="14"/>
  <c r="B74" i="14"/>
  <c r="A74" i="14"/>
  <c r="E73" i="14"/>
  <c r="D73" i="14"/>
  <c r="C73" i="14"/>
  <c r="B73" i="14"/>
  <c r="A73" i="14"/>
  <c r="K73" i="14" s="1"/>
  <c r="K72" i="14"/>
  <c r="J72" i="14"/>
  <c r="E72" i="14"/>
  <c r="D72" i="14"/>
  <c r="C72" i="14"/>
  <c r="H108" i="14" s="1" a="1"/>
  <c r="H108" i="14" s="1"/>
  <c r="B72" i="14"/>
  <c r="A72" i="14"/>
  <c r="K71" i="14"/>
  <c r="J71" i="14"/>
  <c r="E71" i="14"/>
  <c r="D71" i="14"/>
  <c r="C71" i="14"/>
  <c r="B71" i="14"/>
  <c r="A71" i="14"/>
  <c r="J70" i="14"/>
  <c r="E70" i="14"/>
  <c r="D70" i="14"/>
  <c r="C70" i="14"/>
  <c r="B70" i="14"/>
  <c r="A70" i="14"/>
  <c r="K70" i="14" s="1"/>
  <c r="E69" i="14"/>
  <c r="D69" i="14"/>
  <c r="C69" i="14"/>
  <c r="B69" i="14"/>
  <c r="A69" i="14"/>
  <c r="K69" i="14" s="1"/>
  <c r="K68" i="14"/>
  <c r="J68" i="14"/>
  <c r="E68" i="14"/>
  <c r="D68" i="14"/>
  <c r="C68" i="14"/>
  <c r="B68" i="14"/>
  <c r="A68" i="14"/>
  <c r="K67" i="14"/>
  <c r="E67" i="14"/>
  <c r="D67" i="14"/>
  <c r="C67" i="14"/>
  <c r="B67" i="14"/>
  <c r="A67" i="14"/>
  <c r="J67" i="14" s="1"/>
  <c r="E66" i="14"/>
  <c r="D66" i="14"/>
  <c r="C66" i="14"/>
  <c r="B66" i="14"/>
  <c r="A66" i="14"/>
  <c r="J66" i="14" s="1"/>
  <c r="E65" i="14"/>
  <c r="D65" i="14"/>
  <c r="C65" i="14"/>
  <c r="B65" i="14"/>
  <c r="A65" i="14"/>
  <c r="K65" i="14" s="1"/>
  <c r="K64" i="14"/>
  <c r="J64" i="14"/>
  <c r="E64" i="14"/>
  <c r="D64" i="14"/>
  <c r="C64" i="14"/>
  <c r="H100" i="14" s="1" a="1"/>
  <c r="H100" i="14" s="1"/>
  <c r="B64" i="14"/>
  <c r="A64" i="14"/>
  <c r="K63" i="14"/>
  <c r="J63" i="14"/>
  <c r="E63" i="14"/>
  <c r="D63" i="14"/>
  <c r="C63" i="14"/>
  <c r="B63" i="14"/>
  <c r="A63" i="14"/>
  <c r="J62" i="14"/>
  <c r="E62" i="14"/>
  <c r="D62" i="14"/>
  <c r="C62" i="14"/>
  <c r="B62" i="14"/>
  <c r="A62" i="14"/>
  <c r="K62" i="14" s="1"/>
  <c r="E61" i="14"/>
  <c r="D61" i="14"/>
  <c r="C61" i="14"/>
  <c r="B61" i="14"/>
  <c r="A61" i="14"/>
  <c r="K61" i="14" s="1"/>
  <c r="K60" i="14"/>
  <c r="J60" i="14"/>
  <c r="E60" i="14"/>
  <c r="D60" i="14"/>
  <c r="C60" i="14"/>
  <c r="B60" i="14"/>
  <c r="A60" i="14"/>
  <c r="K59" i="14"/>
  <c r="E59" i="14"/>
  <c r="D59" i="14"/>
  <c r="C59" i="14"/>
  <c r="B59" i="14"/>
  <c r="A59" i="14"/>
  <c r="J59" i="14" s="1"/>
  <c r="E58" i="14"/>
  <c r="D58" i="14"/>
  <c r="C58" i="14"/>
  <c r="B58" i="14"/>
  <c r="A58" i="14"/>
  <c r="J58" i="14" s="1"/>
  <c r="E57" i="14"/>
  <c r="D57" i="14"/>
  <c r="C57" i="14"/>
  <c r="B57" i="14"/>
  <c r="A57" i="14"/>
  <c r="K57" i="14" s="1"/>
  <c r="K56" i="14"/>
  <c r="J56" i="14"/>
  <c r="E56" i="14"/>
  <c r="D56" i="14"/>
  <c r="C56" i="14"/>
  <c r="H92" i="14" s="1" a="1"/>
  <c r="H92" i="14" s="1"/>
  <c r="B56" i="14"/>
  <c r="A56" i="14"/>
  <c r="K55" i="14"/>
  <c r="J55" i="14"/>
  <c r="E55" i="14"/>
  <c r="D55" i="14"/>
  <c r="C55" i="14"/>
  <c r="B55" i="14"/>
  <c r="A55" i="14"/>
  <c r="J54" i="14"/>
  <c r="E54" i="14"/>
  <c r="D54" i="14"/>
  <c r="C54" i="14"/>
  <c r="B54" i="14"/>
  <c r="A54" i="14"/>
  <c r="K54" i="14" s="1"/>
  <c r="E53" i="14"/>
  <c r="D53" i="14"/>
  <c r="C53" i="14"/>
  <c r="B53" i="14"/>
  <c r="A53" i="14"/>
  <c r="K53" i="14" s="1"/>
  <c r="K52" i="14"/>
  <c r="J52" i="14"/>
  <c r="E52" i="14"/>
  <c r="D52" i="14"/>
  <c r="C52" i="14"/>
  <c r="B52" i="14"/>
  <c r="A52" i="14"/>
  <c r="K51" i="14"/>
  <c r="E51" i="14"/>
  <c r="D51" i="14"/>
  <c r="C51" i="14"/>
  <c r="B51" i="14"/>
  <c r="A51" i="14"/>
  <c r="J51" i="14" s="1"/>
  <c r="E50" i="14"/>
  <c r="D50" i="14"/>
  <c r="C50" i="14"/>
  <c r="B50" i="14"/>
  <c r="A50" i="14"/>
  <c r="J50" i="14" s="1"/>
  <c r="E49" i="14"/>
  <c r="D49" i="14"/>
  <c r="C49" i="14"/>
  <c r="B49" i="14"/>
  <c r="A49" i="14"/>
  <c r="K49" i="14" s="1"/>
  <c r="E48" i="14"/>
  <c r="D48" i="14"/>
  <c r="C48" i="14"/>
  <c r="B48" i="14"/>
  <c r="K48" i="14" s="1"/>
  <c r="A48" i="14"/>
  <c r="E47" i="14"/>
  <c r="D47" i="14"/>
  <c r="C47" i="14"/>
  <c r="B47" i="14"/>
  <c r="A47" i="14"/>
  <c r="E46" i="14"/>
  <c r="D46" i="14"/>
  <c r="C46" i="14"/>
  <c r="H82" i="14" s="1" a="1"/>
  <c r="H82" i="14" s="1"/>
  <c r="I82" i="14" s="1"/>
  <c r="B46" i="14"/>
  <c r="A46" i="14"/>
  <c r="K46" i="14" s="1"/>
  <c r="E45" i="14"/>
  <c r="D45" i="14"/>
  <c r="C45" i="14"/>
  <c r="B45" i="14"/>
  <c r="A45" i="14"/>
  <c r="K45" i="14" s="1"/>
  <c r="K44" i="14"/>
  <c r="E44" i="14"/>
  <c r="D44" i="14"/>
  <c r="C44" i="14"/>
  <c r="B44" i="14"/>
  <c r="A44" i="14"/>
  <c r="K43" i="14"/>
  <c r="E43" i="14"/>
  <c r="D43" i="14"/>
  <c r="C43" i="14"/>
  <c r="B43" i="14"/>
  <c r="A43" i="14"/>
  <c r="E42" i="14"/>
  <c r="D42" i="14"/>
  <c r="C42" i="14"/>
  <c r="B42" i="14"/>
  <c r="A42" i="14"/>
  <c r="E41" i="14"/>
  <c r="D41" i="14"/>
  <c r="C41" i="14"/>
  <c r="B41" i="14"/>
  <c r="A41" i="14"/>
  <c r="K41" i="14" s="1"/>
  <c r="K40" i="14"/>
  <c r="E40" i="14"/>
  <c r="D40" i="14"/>
  <c r="C40" i="14"/>
  <c r="B40" i="14"/>
  <c r="A40" i="14"/>
  <c r="E39" i="14"/>
  <c r="D39" i="14"/>
  <c r="C39" i="14"/>
  <c r="B39" i="14"/>
  <c r="A39" i="14"/>
  <c r="E38" i="14"/>
  <c r="D38" i="14"/>
  <c r="C38" i="14"/>
  <c r="B38" i="14"/>
  <c r="A38" i="14"/>
  <c r="K38" i="14" s="1"/>
  <c r="E37" i="14"/>
  <c r="D37" i="14"/>
  <c r="C37" i="14"/>
  <c r="H73" i="14" s="1" a="1"/>
  <c r="H73" i="14" s="1"/>
  <c r="I73" i="14" s="1"/>
  <c r="B37" i="14"/>
  <c r="A37" i="14"/>
  <c r="E36" i="14"/>
  <c r="D36" i="14"/>
  <c r="C36" i="14"/>
  <c r="B36" i="14"/>
  <c r="A36" i="14"/>
  <c r="E35" i="14"/>
  <c r="D35" i="14"/>
  <c r="C35" i="14"/>
  <c r="B35" i="14"/>
  <c r="A35" i="14"/>
  <c r="E34" i="14"/>
  <c r="D34" i="14"/>
  <c r="C34" i="14"/>
  <c r="B34" i="14"/>
  <c r="A34" i="14"/>
  <c r="E33" i="14"/>
  <c r="D33" i="14"/>
  <c r="C33" i="14"/>
  <c r="B33" i="14"/>
  <c r="A33" i="14"/>
  <c r="E32" i="14"/>
  <c r="D32" i="14"/>
  <c r="C32" i="14"/>
  <c r="B32" i="14"/>
  <c r="A32" i="14"/>
  <c r="E31" i="14"/>
  <c r="D31" i="14"/>
  <c r="C31" i="14"/>
  <c r="B31" i="14"/>
  <c r="A31" i="14"/>
  <c r="E30" i="14"/>
  <c r="D30" i="14"/>
  <c r="C30" i="14"/>
  <c r="B30" i="14"/>
  <c r="A30" i="14"/>
  <c r="E29" i="14"/>
  <c r="D29" i="14"/>
  <c r="C29" i="14"/>
  <c r="H65" i="14" s="1" a="1"/>
  <c r="H65" i="14" s="1"/>
  <c r="I65" i="14" s="1"/>
  <c r="B29" i="14"/>
  <c r="A29" i="14"/>
  <c r="E28" i="14"/>
  <c r="D28" i="14"/>
  <c r="C28" i="14"/>
  <c r="B28" i="14"/>
  <c r="A28" i="14"/>
  <c r="E27" i="14"/>
  <c r="D27" i="14"/>
  <c r="C27" i="14"/>
  <c r="B27" i="14"/>
  <c r="A27" i="14"/>
  <c r="E26" i="14"/>
  <c r="D26" i="14"/>
  <c r="C26" i="14"/>
  <c r="B26" i="14"/>
  <c r="A26" i="14"/>
  <c r="E25" i="14"/>
  <c r="D25" i="14"/>
  <c r="C25" i="14"/>
  <c r="B25" i="14"/>
  <c r="A25" i="14"/>
  <c r="E24" i="14"/>
  <c r="D24" i="14"/>
  <c r="C24" i="14"/>
  <c r="B24" i="14"/>
  <c r="A24" i="14"/>
  <c r="E23" i="14"/>
  <c r="D23" i="14"/>
  <c r="C23" i="14"/>
  <c r="B23" i="14"/>
  <c r="A23" i="14"/>
  <c r="E22" i="14"/>
  <c r="D22" i="14"/>
  <c r="C22" i="14"/>
  <c r="B22" i="14"/>
  <c r="A22" i="14"/>
  <c r="E21" i="14"/>
  <c r="D21" i="14"/>
  <c r="C21" i="14"/>
  <c r="H57" i="14" s="1" a="1"/>
  <c r="H57" i="14" s="1"/>
  <c r="I57" i="14" s="1"/>
  <c r="B21" i="14"/>
  <c r="A21" i="14"/>
  <c r="E20" i="14"/>
  <c r="D20" i="14"/>
  <c r="C20" i="14"/>
  <c r="B20" i="14"/>
  <c r="A20" i="14"/>
  <c r="E19" i="14"/>
  <c r="D19" i="14"/>
  <c r="C19" i="14"/>
  <c r="B19" i="14"/>
  <c r="A19" i="14"/>
  <c r="E18" i="14"/>
  <c r="D18" i="14"/>
  <c r="C18" i="14"/>
  <c r="B18" i="14"/>
  <c r="A18" i="14"/>
  <c r="E17" i="14"/>
  <c r="D17" i="14"/>
  <c r="C17" i="14"/>
  <c r="B17" i="14"/>
  <c r="A17" i="14"/>
  <c r="E16" i="14"/>
  <c r="D16" i="14"/>
  <c r="C16" i="14"/>
  <c r="B16" i="14"/>
  <c r="A16" i="14"/>
  <c r="E15" i="14"/>
  <c r="D15" i="14"/>
  <c r="C15" i="14"/>
  <c r="B15" i="14"/>
  <c r="A15" i="14"/>
  <c r="E14" i="14"/>
  <c r="D14" i="14"/>
  <c r="C14" i="14"/>
  <c r="B14" i="14"/>
  <c r="A14" i="14"/>
  <c r="E13" i="14"/>
  <c r="D13" i="14"/>
  <c r="C13" i="14"/>
  <c r="H48" i="14" s="1" a="1"/>
  <c r="H48" i="14" s="1"/>
  <c r="B13" i="14"/>
  <c r="A13" i="14"/>
  <c r="E12" i="14"/>
  <c r="D12" i="14"/>
  <c r="C12" i="14"/>
  <c r="B12" i="14"/>
  <c r="A12" i="14"/>
  <c r="E11" i="14"/>
  <c r="D11" i="14"/>
  <c r="C11" i="14"/>
  <c r="B11" i="14"/>
  <c r="A11" i="14"/>
  <c r="E10" i="14"/>
  <c r="D10" i="14"/>
  <c r="C10" i="14"/>
  <c r="B10" i="14"/>
  <c r="A10" i="14"/>
  <c r="E9" i="14"/>
  <c r="D9" i="14"/>
  <c r="C9" i="14"/>
  <c r="B9" i="14"/>
  <c r="A9" i="14"/>
  <c r="E8" i="14"/>
  <c r="D8" i="14"/>
  <c r="C8" i="14"/>
  <c r="B8" i="14"/>
  <c r="A8" i="14"/>
  <c r="E7" i="14"/>
  <c r="D7" i="14"/>
  <c r="C7" i="14"/>
  <c r="B7" i="14"/>
  <c r="A7" i="14"/>
  <c r="E6" i="14"/>
  <c r="D6" i="14"/>
  <c r="C6" i="14"/>
  <c r="B6" i="14"/>
  <c r="A6" i="14"/>
  <c r="E5" i="14"/>
  <c r="D5" i="14"/>
  <c r="C5" i="14"/>
  <c r="H40" i="14" s="1" a="1"/>
  <c r="H40" i="14" s="1"/>
  <c r="B5" i="14"/>
  <c r="A5" i="14"/>
  <c r="E4" i="14"/>
  <c r="D4" i="14"/>
  <c r="C4" i="14"/>
  <c r="B4" i="14"/>
  <c r="A4" i="14"/>
  <c r="E3" i="14"/>
  <c r="D3" i="14"/>
  <c r="C3" i="14"/>
  <c r="B3" i="14"/>
  <c r="A3" i="14"/>
  <c r="E2" i="14"/>
  <c r="D2" i="14"/>
  <c r="C2" i="14"/>
  <c r="B2" i="14"/>
  <c r="A2" i="14"/>
  <c r="H39" i="13" a="1"/>
  <c r="H39" i="13" s="1"/>
  <c r="H40" i="13" a="1"/>
  <c r="H40" i="13" s="1"/>
  <c r="H41" i="13" a="1"/>
  <c r="H41" i="13"/>
  <c r="H42" i="13" a="1"/>
  <c r="H42" i="13"/>
  <c r="H43" i="13" a="1"/>
  <c r="H43" i="13" s="1"/>
  <c r="H44" i="13" a="1"/>
  <c r="H44" i="13" s="1"/>
  <c r="H45" i="13" a="1"/>
  <c r="H45" i="13" s="1"/>
  <c r="H46" i="13" a="1"/>
  <c r="H46" i="13"/>
  <c r="H47" i="13" a="1"/>
  <c r="H47" i="13" s="1"/>
  <c r="H48" i="13" a="1"/>
  <c r="H48" i="13" s="1"/>
  <c r="H49" i="13" a="1"/>
  <c r="H49" i="13" s="1"/>
  <c r="H50" i="13" a="1"/>
  <c r="H50" i="13"/>
  <c r="H51" i="13" a="1"/>
  <c r="H51" i="13" s="1"/>
  <c r="H52" i="13" a="1"/>
  <c r="H52" i="13" s="1"/>
  <c r="H53" i="13" a="1"/>
  <c r="H53" i="13" s="1"/>
  <c r="H54" i="13" a="1"/>
  <c r="H54" i="13"/>
  <c r="H55" i="13" a="1"/>
  <c r="H55" i="13" s="1"/>
  <c r="H56" i="13" a="1"/>
  <c r="H56" i="13" s="1"/>
  <c r="H57" i="13" a="1"/>
  <c r="H57" i="13" s="1"/>
  <c r="H58" i="13" a="1"/>
  <c r="H58" i="13"/>
  <c r="H59" i="13" a="1"/>
  <c r="H59" i="13" s="1"/>
  <c r="H60" i="13" a="1"/>
  <c r="H60" i="13" s="1"/>
  <c r="H61" i="13" a="1"/>
  <c r="H61" i="13" s="1"/>
  <c r="H62" i="13" a="1"/>
  <c r="H62" i="13"/>
  <c r="H63" i="13" a="1"/>
  <c r="H63" i="13" s="1"/>
  <c r="H64" i="13" a="1"/>
  <c r="H64" i="13" s="1"/>
  <c r="H65" i="13" a="1"/>
  <c r="H65" i="13" s="1"/>
  <c r="H66" i="13" a="1"/>
  <c r="H66" i="13"/>
  <c r="H67" i="13" a="1"/>
  <c r="H67" i="13" s="1"/>
  <c r="H68" i="13" a="1"/>
  <c r="H68" i="13" s="1"/>
  <c r="H69" i="13" a="1"/>
  <c r="H69" i="13" s="1"/>
  <c r="H70" i="13" a="1"/>
  <c r="H70" i="13"/>
  <c r="H71" i="13" a="1"/>
  <c r="H71" i="13" s="1"/>
  <c r="H72" i="13" a="1"/>
  <c r="H72" i="13" s="1"/>
  <c r="H73" i="13" a="1"/>
  <c r="H73" i="13" s="1"/>
  <c r="H74" i="13" a="1"/>
  <c r="H74" i="13"/>
  <c r="H75" i="13" a="1"/>
  <c r="H75" i="13" s="1"/>
  <c r="H76" i="13" a="1"/>
  <c r="H76" i="13" s="1"/>
  <c r="H77" i="13" a="1"/>
  <c r="H77" i="13" s="1"/>
  <c r="H78" i="13" a="1"/>
  <c r="H78" i="13"/>
  <c r="H79" i="13" a="1"/>
  <c r="H79" i="13" s="1"/>
  <c r="H80" i="13" a="1"/>
  <c r="H80" i="13" s="1"/>
  <c r="H81" i="13" a="1"/>
  <c r="H81" i="13" s="1"/>
  <c r="H82" i="13" a="1"/>
  <c r="H82" i="13"/>
  <c r="H83" i="13" a="1"/>
  <c r="H83" i="13" s="1"/>
  <c r="H84" i="13" a="1"/>
  <c r="H84" i="13" s="1"/>
  <c r="H85" i="13" a="1"/>
  <c r="H85" i="13" s="1"/>
  <c r="H86" i="13" a="1"/>
  <c r="H86" i="13"/>
  <c r="H87" i="13" a="1"/>
  <c r="H87" i="13" s="1"/>
  <c r="H88" i="13" a="1"/>
  <c r="H88" i="13" s="1"/>
  <c r="H89" i="13" a="1"/>
  <c r="H89" i="13" s="1"/>
  <c r="H90" i="13" a="1"/>
  <c r="H90" i="13"/>
  <c r="H91" i="13" a="1"/>
  <c r="H91" i="13" s="1"/>
  <c r="H92" i="13" a="1"/>
  <c r="H92" i="13" s="1"/>
  <c r="H93" i="13" a="1"/>
  <c r="H93" i="13" s="1"/>
  <c r="H94" i="13" a="1"/>
  <c r="H94" i="13"/>
  <c r="H95" i="13" a="1"/>
  <c r="H95" i="13" s="1"/>
  <c r="H96" i="13" a="1"/>
  <c r="H96" i="13" s="1"/>
  <c r="H97" i="13" a="1"/>
  <c r="H97" i="13" s="1"/>
  <c r="H98" i="13" a="1"/>
  <c r="H98" i="13"/>
  <c r="H99" i="13" a="1"/>
  <c r="H99" i="13" s="1"/>
  <c r="H100" i="13" a="1"/>
  <c r="H100" i="13" s="1"/>
  <c r="H101" i="13" a="1"/>
  <c r="H101" i="13" s="1"/>
  <c r="H102" i="13" a="1"/>
  <c r="H102" i="13"/>
  <c r="H103" i="13" a="1"/>
  <c r="H103" i="13" s="1"/>
  <c r="H104" i="13" a="1"/>
  <c r="H104" i="13" s="1"/>
  <c r="H105" i="13" a="1"/>
  <c r="H105" i="13" s="1"/>
  <c r="H106" i="13" a="1"/>
  <c r="H106" i="13"/>
  <c r="H107" i="13" a="1"/>
  <c r="H107" i="13" s="1"/>
  <c r="H108" i="13" a="1"/>
  <c r="H108" i="13" s="1"/>
  <c r="H109" i="13" a="1"/>
  <c r="H109" i="13" s="1"/>
  <c r="H110" i="13" a="1"/>
  <c r="H110" i="13"/>
  <c r="H111" i="13" a="1"/>
  <c r="H111" i="13" s="1"/>
  <c r="H112" i="13" a="1"/>
  <c r="H112" i="13" s="1"/>
  <c r="H113" i="13" a="1"/>
  <c r="H113" i="13" s="1"/>
  <c r="H114" i="13" a="1"/>
  <c r="H114" i="13" s="1"/>
  <c r="H115" i="13" a="1"/>
  <c r="H115" i="13" s="1"/>
  <c r="H116" i="13" a="1"/>
  <c r="H116" i="13" s="1"/>
  <c r="H117" i="13" a="1"/>
  <c r="H117" i="13" s="1"/>
  <c r="H118" i="13" a="1"/>
  <c r="H118" i="13" s="1"/>
  <c r="H119" i="13" a="1"/>
  <c r="H119" i="13" s="1"/>
  <c r="H120" i="13" a="1"/>
  <c r="H120" i="13" s="1"/>
  <c r="H121" i="13" a="1"/>
  <c r="H121" i="13" s="1"/>
  <c r="H38" i="13" a="1"/>
  <c r="H38" i="13" s="1"/>
  <c r="F3" i="13"/>
  <c r="F4" i="13"/>
  <c r="F5" i="13"/>
  <c r="F6" i="13"/>
  <c r="F7" i="13"/>
  <c r="F8" i="13"/>
  <c r="F9" i="13"/>
  <c r="F10" i="13"/>
  <c r="F11" i="13"/>
  <c r="F12" i="13"/>
  <c r="F13" i="13"/>
  <c r="F14" i="13"/>
  <c r="F15" i="13"/>
  <c r="F16" i="13"/>
  <c r="F17" i="13"/>
  <c r="F18" i="13"/>
  <c r="F19" i="13"/>
  <c r="F20" i="13"/>
  <c r="F21" i="13"/>
  <c r="F22" i="13"/>
  <c r="F23" i="13"/>
  <c r="F24" i="13"/>
  <c r="F25" i="13"/>
  <c r="F26" i="13"/>
  <c r="F27" i="13"/>
  <c r="F28" i="13"/>
  <c r="F29" i="13"/>
  <c r="F30" i="13"/>
  <c r="F31" i="13"/>
  <c r="F32" i="13"/>
  <c r="F33" i="13"/>
  <c r="F34" i="13"/>
  <c r="F35" i="13"/>
  <c r="F36" i="13"/>
  <c r="F37" i="13"/>
  <c r="F38" i="13"/>
  <c r="F39" i="13"/>
  <c r="F40" i="13"/>
  <c r="F41" i="13"/>
  <c r="F42" i="13"/>
  <c r="F43" i="13"/>
  <c r="F44" i="13"/>
  <c r="F45" i="13"/>
  <c r="F46" i="13"/>
  <c r="F47" i="13"/>
  <c r="F48" i="13"/>
  <c r="F49" i="13"/>
  <c r="F50" i="13"/>
  <c r="F51" i="13"/>
  <c r="F52" i="13"/>
  <c r="F53" i="13"/>
  <c r="F54" i="13"/>
  <c r="F55" i="13"/>
  <c r="F56" i="13"/>
  <c r="F57" i="13"/>
  <c r="F58" i="13"/>
  <c r="F59" i="13"/>
  <c r="F60" i="13"/>
  <c r="F61" i="13"/>
  <c r="F62" i="13"/>
  <c r="F63" i="13"/>
  <c r="F64" i="13"/>
  <c r="F65" i="13"/>
  <c r="F66" i="13"/>
  <c r="F67" i="13"/>
  <c r="F68" i="13"/>
  <c r="F69" i="13"/>
  <c r="F70" i="13"/>
  <c r="F71" i="13"/>
  <c r="F72" i="13"/>
  <c r="F73" i="13"/>
  <c r="F74" i="13"/>
  <c r="F75" i="13"/>
  <c r="F76" i="13"/>
  <c r="F77" i="13"/>
  <c r="F78" i="13"/>
  <c r="F79" i="13"/>
  <c r="F80" i="13"/>
  <c r="F81" i="13"/>
  <c r="F82" i="13"/>
  <c r="F83" i="13"/>
  <c r="F84" i="13"/>
  <c r="F85" i="13"/>
  <c r="F86" i="13"/>
  <c r="F87" i="13"/>
  <c r="F88" i="13"/>
  <c r="F89" i="13"/>
  <c r="F90" i="13"/>
  <c r="F91" i="13"/>
  <c r="F92" i="13"/>
  <c r="F93" i="13"/>
  <c r="F94" i="13"/>
  <c r="F95" i="13"/>
  <c r="F96" i="13"/>
  <c r="F97" i="13"/>
  <c r="F98" i="13"/>
  <c r="F99" i="13"/>
  <c r="F100" i="13"/>
  <c r="F101" i="13"/>
  <c r="F102" i="13"/>
  <c r="F103" i="13"/>
  <c r="F104" i="13"/>
  <c r="F105" i="13"/>
  <c r="F106" i="13"/>
  <c r="F107" i="13"/>
  <c r="F108" i="13"/>
  <c r="F109" i="13"/>
  <c r="F110" i="13"/>
  <c r="F111" i="13"/>
  <c r="F112" i="13"/>
  <c r="F113" i="13"/>
  <c r="F114" i="13"/>
  <c r="F115" i="13"/>
  <c r="F116" i="13"/>
  <c r="F117" i="13"/>
  <c r="F118" i="13"/>
  <c r="F119" i="13"/>
  <c r="F120" i="13"/>
  <c r="F121" i="13"/>
  <c r="F2" i="13"/>
  <c r="E3" i="13"/>
  <c r="E4" i="13"/>
  <c r="E5" i="13"/>
  <c r="E6" i="13"/>
  <c r="E7" i="13"/>
  <c r="E8" i="13"/>
  <c r="E9" i="13"/>
  <c r="E10" i="13"/>
  <c r="E11" i="13"/>
  <c r="E12" i="13"/>
  <c r="E13" i="13"/>
  <c r="E14" i="13"/>
  <c r="E15" i="13"/>
  <c r="E16" i="13"/>
  <c r="E17" i="13"/>
  <c r="E18" i="13"/>
  <c r="E19" i="13"/>
  <c r="E20" i="13"/>
  <c r="E21" i="13"/>
  <c r="E22" i="13"/>
  <c r="E23" i="13"/>
  <c r="E24" i="13"/>
  <c r="E25" i="13"/>
  <c r="E26" i="13"/>
  <c r="E27" i="13"/>
  <c r="E28" i="13"/>
  <c r="E29" i="13"/>
  <c r="E30" i="13"/>
  <c r="E31" i="13"/>
  <c r="E32" i="13"/>
  <c r="E33" i="13"/>
  <c r="E34" i="13"/>
  <c r="E35" i="13"/>
  <c r="E36" i="13"/>
  <c r="E37" i="13"/>
  <c r="E38" i="13"/>
  <c r="E39" i="13"/>
  <c r="E40" i="13"/>
  <c r="E41" i="13"/>
  <c r="E42" i="13"/>
  <c r="E43" i="13"/>
  <c r="E44" i="13"/>
  <c r="E45" i="13"/>
  <c r="E46" i="13"/>
  <c r="E47" i="13"/>
  <c r="E48" i="13"/>
  <c r="E49" i="13"/>
  <c r="E50" i="13"/>
  <c r="E51" i="13"/>
  <c r="E52" i="13"/>
  <c r="E53" i="13"/>
  <c r="E54" i="13"/>
  <c r="E55" i="13"/>
  <c r="E56" i="13"/>
  <c r="E57" i="13"/>
  <c r="E58" i="13"/>
  <c r="E59" i="13"/>
  <c r="E60" i="13"/>
  <c r="E61" i="13"/>
  <c r="E62" i="13"/>
  <c r="E63" i="13"/>
  <c r="E64" i="13"/>
  <c r="E65" i="13"/>
  <c r="E66" i="13"/>
  <c r="E67" i="13"/>
  <c r="E68" i="13"/>
  <c r="E69" i="13"/>
  <c r="E70" i="13"/>
  <c r="E71" i="13"/>
  <c r="E72" i="13"/>
  <c r="E73" i="13"/>
  <c r="E74" i="13"/>
  <c r="E75" i="13"/>
  <c r="E76" i="13"/>
  <c r="E77" i="13"/>
  <c r="E78" i="13"/>
  <c r="E79" i="13"/>
  <c r="E80" i="13"/>
  <c r="E81" i="13"/>
  <c r="E82" i="13"/>
  <c r="E83" i="13"/>
  <c r="E84" i="13"/>
  <c r="E85" i="13"/>
  <c r="E86" i="13"/>
  <c r="E87" i="13"/>
  <c r="E88" i="13"/>
  <c r="E89" i="13"/>
  <c r="E90" i="13"/>
  <c r="E91" i="13"/>
  <c r="E92" i="13"/>
  <c r="E93" i="13"/>
  <c r="E94" i="13"/>
  <c r="E95" i="13"/>
  <c r="E96" i="13"/>
  <c r="E97" i="13"/>
  <c r="E98" i="13"/>
  <c r="E99" i="13"/>
  <c r="E100" i="13"/>
  <c r="E101" i="13"/>
  <c r="E102" i="13"/>
  <c r="E103" i="13"/>
  <c r="E104" i="13"/>
  <c r="E105" i="13"/>
  <c r="E106" i="13"/>
  <c r="E107" i="13"/>
  <c r="E108" i="13"/>
  <c r="E109" i="13"/>
  <c r="E110" i="13"/>
  <c r="E111" i="13"/>
  <c r="E112" i="13"/>
  <c r="E113" i="13"/>
  <c r="E114" i="13"/>
  <c r="E115" i="13"/>
  <c r="E116" i="13"/>
  <c r="E117" i="13"/>
  <c r="E118" i="13"/>
  <c r="E119" i="13"/>
  <c r="E120" i="13"/>
  <c r="E121" i="13"/>
  <c r="E2" i="13"/>
  <c r="D3" i="13"/>
  <c r="D4" i="13"/>
  <c r="D5" i="13"/>
  <c r="D6" i="13"/>
  <c r="D7" i="13"/>
  <c r="D8" i="13"/>
  <c r="D9" i="13"/>
  <c r="D10" i="13"/>
  <c r="D11" i="13"/>
  <c r="D12" i="13"/>
  <c r="D13" i="13"/>
  <c r="D14" i="13"/>
  <c r="D15" i="13"/>
  <c r="D16" i="13"/>
  <c r="D17" i="13"/>
  <c r="D18" i="13"/>
  <c r="D19" i="13"/>
  <c r="D20" i="13"/>
  <c r="D21" i="13"/>
  <c r="D22" i="13"/>
  <c r="D23" i="13"/>
  <c r="D24" i="13"/>
  <c r="D25" i="13"/>
  <c r="D26" i="13"/>
  <c r="D27" i="13"/>
  <c r="D28" i="13"/>
  <c r="D29" i="13"/>
  <c r="D30" i="13"/>
  <c r="D31" i="13"/>
  <c r="D32" i="13"/>
  <c r="D33" i="13"/>
  <c r="D34" i="13"/>
  <c r="D35" i="13"/>
  <c r="D36" i="13"/>
  <c r="D37" i="13"/>
  <c r="D38" i="13"/>
  <c r="D39" i="13"/>
  <c r="D40" i="13"/>
  <c r="D41" i="13"/>
  <c r="D42" i="13"/>
  <c r="D43" i="13"/>
  <c r="D44" i="13"/>
  <c r="D45" i="13"/>
  <c r="D46" i="13"/>
  <c r="D47" i="13"/>
  <c r="D48" i="13"/>
  <c r="D49" i="13"/>
  <c r="D50" i="13"/>
  <c r="D51" i="13"/>
  <c r="D52" i="13"/>
  <c r="D53" i="13"/>
  <c r="D54" i="13"/>
  <c r="D55" i="13"/>
  <c r="D56" i="13"/>
  <c r="D57" i="13"/>
  <c r="D58" i="13"/>
  <c r="D59" i="13"/>
  <c r="D60" i="13"/>
  <c r="D61" i="13"/>
  <c r="D62" i="13"/>
  <c r="D63" i="13"/>
  <c r="D64" i="13"/>
  <c r="D65" i="13"/>
  <c r="D66" i="13"/>
  <c r="D67" i="13"/>
  <c r="D68" i="13"/>
  <c r="D69" i="13"/>
  <c r="D70" i="13"/>
  <c r="D71" i="13"/>
  <c r="D72" i="13"/>
  <c r="D73" i="13"/>
  <c r="D74" i="13"/>
  <c r="D75" i="13"/>
  <c r="D76" i="13"/>
  <c r="D77" i="13"/>
  <c r="D78" i="13"/>
  <c r="D79" i="13"/>
  <c r="D80" i="13"/>
  <c r="D81" i="13"/>
  <c r="D82" i="13"/>
  <c r="D83" i="13"/>
  <c r="D84" i="13"/>
  <c r="D85" i="13"/>
  <c r="D86" i="13"/>
  <c r="D87" i="13"/>
  <c r="D88" i="13"/>
  <c r="D89" i="13"/>
  <c r="D90" i="13"/>
  <c r="D91" i="13"/>
  <c r="D92" i="13"/>
  <c r="D93" i="13"/>
  <c r="D94" i="13"/>
  <c r="D95" i="13"/>
  <c r="D96" i="13"/>
  <c r="D97" i="13"/>
  <c r="D98" i="13"/>
  <c r="D99" i="13"/>
  <c r="D100" i="13"/>
  <c r="D101" i="13"/>
  <c r="D102" i="13"/>
  <c r="D103" i="13"/>
  <c r="D104" i="13"/>
  <c r="D105" i="13"/>
  <c r="D106" i="13"/>
  <c r="D107" i="13"/>
  <c r="D108" i="13"/>
  <c r="D109" i="13"/>
  <c r="D110" i="13"/>
  <c r="D111" i="13"/>
  <c r="D112" i="13"/>
  <c r="D113" i="13"/>
  <c r="D114" i="13"/>
  <c r="D115" i="13"/>
  <c r="D116" i="13"/>
  <c r="D117" i="13"/>
  <c r="D118" i="13"/>
  <c r="D119" i="13"/>
  <c r="D120" i="13"/>
  <c r="D121" i="13"/>
  <c r="D2" i="13"/>
  <c r="C3" i="13"/>
  <c r="C4" i="13"/>
  <c r="C5" i="13"/>
  <c r="C6" i="13"/>
  <c r="C7" i="13"/>
  <c r="C8" i="13"/>
  <c r="C9" i="13"/>
  <c r="C10" i="13"/>
  <c r="C11" i="13"/>
  <c r="C12" i="13"/>
  <c r="C13" i="13"/>
  <c r="C14" i="13"/>
  <c r="C15" i="13"/>
  <c r="C16" i="13"/>
  <c r="C17" i="13"/>
  <c r="C18" i="13"/>
  <c r="C19" i="13"/>
  <c r="C20" i="13"/>
  <c r="C21" i="13"/>
  <c r="C22" i="13"/>
  <c r="C23" i="13"/>
  <c r="C24" i="13"/>
  <c r="C25" i="13"/>
  <c r="C26" i="13"/>
  <c r="C27" i="13"/>
  <c r="C28" i="13"/>
  <c r="C29" i="13"/>
  <c r="C30" i="13"/>
  <c r="C31" i="13"/>
  <c r="C32" i="13"/>
  <c r="C33" i="13"/>
  <c r="C34" i="13"/>
  <c r="C35" i="13"/>
  <c r="C36" i="13"/>
  <c r="C37" i="13"/>
  <c r="C38" i="13"/>
  <c r="C39" i="13"/>
  <c r="C40" i="13"/>
  <c r="C41" i="13"/>
  <c r="C42" i="13"/>
  <c r="C43" i="13"/>
  <c r="C44" i="13"/>
  <c r="C45" i="13"/>
  <c r="C46" i="13"/>
  <c r="C47" i="13"/>
  <c r="C48" i="13"/>
  <c r="C49" i="13"/>
  <c r="C50" i="13"/>
  <c r="C51" i="13"/>
  <c r="C52" i="13"/>
  <c r="C53" i="13"/>
  <c r="C54" i="13"/>
  <c r="C55" i="13"/>
  <c r="C56" i="13"/>
  <c r="C57" i="13"/>
  <c r="C58" i="13"/>
  <c r="C59" i="13"/>
  <c r="C60" i="13"/>
  <c r="C61" i="13"/>
  <c r="C62" i="13"/>
  <c r="C63" i="13"/>
  <c r="C64" i="13"/>
  <c r="C65" i="13"/>
  <c r="C66" i="13"/>
  <c r="C67" i="13"/>
  <c r="C68" i="13"/>
  <c r="C69" i="13"/>
  <c r="C70" i="13"/>
  <c r="C71" i="13"/>
  <c r="C72" i="13"/>
  <c r="C73" i="13"/>
  <c r="C74" i="13"/>
  <c r="C75" i="13"/>
  <c r="C76" i="13"/>
  <c r="C77" i="13"/>
  <c r="C78" i="13"/>
  <c r="C79" i="13"/>
  <c r="C80" i="13"/>
  <c r="C81" i="13"/>
  <c r="C82" i="13"/>
  <c r="C83" i="13"/>
  <c r="C84" i="13"/>
  <c r="C85" i="13"/>
  <c r="C86" i="13"/>
  <c r="C87" i="13"/>
  <c r="C88" i="13"/>
  <c r="C89" i="13"/>
  <c r="C90" i="13"/>
  <c r="C91" i="13"/>
  <c r="C92" i="13"/>
  <c r="C93" i="13"/>
  <c r="C94" i="13"/>
  <c r="C95" i="13"/>
  <c r="C96" i="13"/>
  <c r="C97" i="13"/>
  <c r="C98" i="13"/>
  <c r="C99" i="13"/>
  <c r="C100" i="13"/>
  <c r="C101" i="13"/>
  <c r="C102" i="13"/>
  <c r="C103" i="13"/>
  <c r="C104" i="13"/>
  <c r="C105" i="13"/>
  <c r="C106" i="13"/>
  <c r="C107" i="13"/>
  <c r="C108" i="13"/>
  <c r="C109" i="13"/>
  <c r="C110" i="13"/>
  <c r="C111" i="13"/>
  <c r="C112" i="13"/>
  <c r="C113" i="13"/>
  <c r="C114" i="13"/>
  <c r="C115" i="13"/>
  <c r="C116" i="13"/>
  <c r="C117" i="13"/>
  <c r="C118" i="13"/>
  <c r="C119" i="13"/>
  <c r="C120" i="13"/>
  <c r="C121" i="13"/>
  <c r="C2" i="13"/>
  <c r="B3" i="13"/>
  <c r="B4" i="13"/>
  <c r="B5" i="13"/>
  <c r="B6" i="13"/>
  <c r="B7" i="13"/>
  <c r="B8" i="13"/>
  <c r="B9" i="13"/>
  <c r="B10" i="13"/>
  <c r="B11" i="13"/>
  <c r="B12" i="13"/>
  <c r="B13" i="13"/>
  <c r="B14" i="13"/>
  <c r="B15" i="13"/>
  <c r="B16" i="13"/>
  <c r="B17" i="13"/>
  <c r="B18" i="13"/>
  <c r="B19" i="13"/>
  <c r="B20" i="13"/>
  <c r="B21" i="13"/>
  <c r="B22" i="13"/>
  <c r="B23" i="13"/>
  <c r="B24" i="13"/>
  <c r="B25" i="13"/>
  <c r="B26" i="13"/>
  <c r="B27" i="13"/>
  <c r="B28" i="13"/>
  <c r="B29" i="13"/>
  <c r="B30" i="13"/>
  <c r="B31" i="13"/>
  <c r="B32" i="13"/>
  <c r="B33" i="13"/>
  <c r="B34" i="13"/>
  <c r="B35" i="13"/>
  <c r="B36" i="13"/>
  <c r="B37" i="13"/>
  <c r="B38" i="13"/>
  <c r="B39" i="13"/>
  <c r="B40" i="13"/>
  <c r="B41" i="13"/>
  <c r="K41" i="13" s="1"/>
  <c r="B42" i="13"/>
  <c r="B43" i="13"/>
  <c r="B44" i="13"/>
  <c r="B45" i="13"/>
  <c r="B46" i="13"/>
  <c r="B47" i="13"/>
  <c r="B48" i="13"/>
  <c r="K48" i="13" s="1"/>
  <c r="B49" i="13"/>
  <c r="B50" i="13"/>
  <c r="B51" i="13"/>
  <c r="B52" i="13"/>
  <c r="B53" i="13"/>
  <c r="B54" i="13"/>
  <c r="B55" i="13"/>
  <c r="B56" i="13"/>
  <c r="B57" i="13"/>
  <c r="B58" i="13"/>
  <c r="B59" i="13"/>
  <c r="B60" i="13"/>
  <c r="B61" i="13"/>
  <c r="B62" i="13"/>
  <c r="B63" i="13"/>
  <c r="B64" i="13"/>
  <c r="B65" i="13"/>
  <c r="B66" i="13"/>
  <c r="B67" i="13"/>
  <c r="B68" i="13"/>
  <c r="B69" i="13"/>
  <c r="B70" i="13"/>
  <c r="B71" i="13"/>
  <c r="B72" i="13"/>
  <c r="B73" i="13"/>
  <c r="B74" i="13"/>
  <c r="B75" i="13"/>
  <c r="B76" i="13"/>
  <c r="B77" i="13"/>
  <c r="B78" i="13"/>
  <c r="B79" i="13"/>
  <c r="B80" i="13"/>
  <c r="B81" i="13"/>
  <c r="K81" i="13" s="1"/>
  <c r="B82" i="13"/>
  <c r="B83" i="13"/>
  <c r="B84" i="13"/>
  <c r="B85" i="13"/>
  <c r="B86" i="13"/>
  <c r="B87" i="13"/>
  <c r="B88" i="13"/>
  <c r="B89" i="13"/>
  <c r="B90" i="13"/>
  <c r="K90" i="13" s="1"/>
  <c r="B91" i="13"/>
  <c r="B92" i="13"/>
  <c r="B93" i="13"/>
  <c r="B94" i="13"/>
  <c r="B95" i="13"/>
  <c r="B96" i="13"/>
  <c r="K96" i="13" s="1"/>
  <c r="B97" i="13"/>
  <c r="K97" i="13" s="1"/>
  <c r="B98" i="13"/>
  <c r="B99" i="13"/>
  <c r="B100" i="13"/>
  <c r="B101" i="13"/>
  <c r="B102" i="13"/>
  <c r="B103" i="13"/>
  <c r="B104" i="13"/>
  <c r="B105" i="13"/>
  <c r="K105" i="13" s="1"/>
  <c r="B106" i="13"/>
  <c r="B107" i="13"/>
  <c r="B108" i="13"/>
  <c r="B109" i="13"/>
  <c r="B110" i="13"/>
  <c r="B111" i="13"/>
  <c r="B112" i="13"/>
  <c r="B113" i="13"/>
  <c r="B114" i="13"/>
  <c r="K114" i="13" s="1"/>
  <c r="B115" i="13"/>
  <c r="B116" i="13"/>
  <c r="B117" i="13"/>
  <c r="B118" i="13"/>
  <c r="B119" i="13"/>
  <c r="B120" i="13"/>
  <c r="K120" i="13" s="1"/>
  <c r="B121" i="13"/>
  <c r="K121" i="13" s="1"/>
  <c r="B2" i="13"/>
  <c r="A121" i="13"/>
  <c r="A120" i="13"/>
  <c r="A119" i="13"/>
  <c r="A118" i="13"/>
  <c r="K118" i="13" s="1"/>
  <c r="A117" i="13"/>
  <c r="K117" i="13" s="1"/>
  <c r="A116" i="13"/>
  <c r="K116" i="13" s="1"/>
  <c r="A115" i="13"/>
  <c r="A114" i="13"/>
  <c r="A113" i="13"/>
  <c r="K113" i="13" s="1"/>
  <c r="A112" i="13"/>
  <c r="K112" i="13" s="1"/>
  <c r="A111" i="13"/>
  <c r="A110" i="13"/>
  <c r="K110" i="13" s="1"/>
  <c r="K109" i="13"/>
  <c r="A109" i="13"/>
  <c r="A108" i="13"/>
  <c r="K108" i="13" s="1"/>
  <c r="A107" i="13"/>
  <c r="K107" i="13" s="1"/>
  <c r="A106" i="13"/>
  <c r="A105" i="13"/>
  <c r="A104" i="13"/>
  <c r="K104" i="13" s="1"/>
  <c r="A103" i="13"/>
  <c r="A102" i="13"/>
  <c r="K102" i="13" s="1"/>
  <c r="A101" i="13"/>
  <c r="K100" i="13"/>
  <c r="A100" i="13"/>
  <c r="A99" i="13"/>
  <c r="K99" i="13" s="1"/>
  <c r="K98" i="13"/>
  <c r="A98" i="13"/>
  <c r="A97" i="13"/>
  <c r="A96" i="13"/>
  <c r="A95" i="13"/>
  <c r="K95" i="13" s="1"/>
  <c r="A94" i="13"/>
  <c r="K94" i="13" s="1"/>
  <c r="A93" i="13"/>
  <c r="K93" i="13" s="1"/>
  <c r="K92" i="13"/>
  <c r="A92" i="13"/>
  <c r="A91" i="13"/>
  <c r="A90" i="13"/>
  <c r="A89" i="13"/>
  <c r="A88" i="13"/>
  <c r="K88" i="13" s="1"/>
  <c r="A87" i="13"/>
  <c r="A86" i="13"/>
  <c r="K86" i="13" s="1"/>
  <c r="K85" i="13"/>
  <c r="A85" i="13"/>
  <c r="A84" i="13"/>
  <c r="K84" i="13" s="1"/>
  <c r="A83" i="13"/>
  <c r="A82" i="13"/>
  <c r="A81" i="13"/>
  <c r="K80" i="13"/>
  <c r="A80" i="13"/>
  <c r="A79" i="13"/>
  <c r="A78" i="13"/>
  <c r="K78" i="13" s="1"/>
  <c r="A77" i="13"/>
  <c r="K77" i="13" s="1"/>
  <c r="A76" i="13"/>
  <c r="K76" i="13" s="1"/>
  <c r="A75" i="13"/>
  <c r="A74" i="13"/>
  <c r="A73" i="13"/>
  <c r="J73" i="13" s="1"/>
  <c r="K72" i="13"/>
  <c r="A72" i="13"/>
  <c r="J72" i="13" s="1"/>
  <c r="A71" i="13"/>
  <c r="J71" i="13" s="1"/>
  <c r="A70" i="13"/>
  <c r="K70" i="13" s="1"/>
  <c r="K69" i="13"/>
  <c r="A69" i="13"/>
  <c r="J69" i="13" s="1"/>
  <c r="A68" i="13"/>
  <c r="J68" i="13" s="1"/>
  <c r="A67" i="13"/>
  <c r="J67" i="13" s="1"/>
  <c r="J66" i="13"/>
  <c r="A66" i="13"/>
  <c r="K66" i="13" s="1"/>
  <c r="A65" i="13"/>
  <c r="J65" i="13" s="1"/>
  <c r="K64" i="13"/>
  <c r="A64" i="13"/>
  <c r="J64" i="13" s="1"/>
  <c r="A63" i="13"/>
  <c r="K63" i="13" s="1"/>
  <c r="A62" i="13"/>
  <c r="K62" i="13" s="1"/>
  <c r="A61" i="13"/>
  <c r="J61" i="13" s="1"/>
  <c r="A60" i="13"/>
  <c r="J60" i="13" s="1"/>
  <c r="A59" i="13"/>
  <c r="K59" i="13" s="1"/>
  <c r="A58" i="13"/>
  <c r="K58" i="13" s="1"/>
  <c r="K57" i="13"/>
  <c r="A57" i="13"/>
  <c r="J57" i="13" s="1"/>
  <c r="A56" i="13"/>
  <c r="J56" i="13" s="1"/>
  <c r="A55" i="13"/>
  <c r="J55" i="13" s="1"/>
  <c r="A54" i="13"/>
  <c r="K54" i="13" s="1"/>
  <c r="A53" i="13"/>
  <c r="J53" i="13" s="1"/>
  <c r="K52" i="13"/>
  <c r="A52" i="13"/>
  <c r="J52" i="13" s="1"/>
  <c r="A51" i="13"/>
  <c r="K51" i="13" s="1"/>
  <c r="K50" i="13"/>
  <c r="A50" i="13"/>
  <c r="J50" i="13" s="1"/>
  <c r="A49" i="13"/>
  <c r="A48" i="13"/>
  <c r="A47" i="13"/>
  <c r="K47" i="13" s="1"/>
  <c r="A46" i="13"/>
  <c r="K46" i="13" s="1"/>
  <c r="A45" i="13"/>
  <c r="A44" i="13"/>
  <c r="K44" i="13" s="1"/>
  <c r="A43" i="13"/>
  <c r="K43" i="13" s="1"/>
  <c r="A42" i="13"/>
  <c r="A41" i="13"/>
  <c r="A40" i="13"/>
  <c r="K40" i="13" s="1"/>
  <c r="A39" i="13"/>
  <c r="K39" i="13" s="1"/>
  <c r="A38" i="13"/>
  <c r="K38" i="13" s="1"/>
  <c r="A37" i="13"/>
  <c r="A36" i="13"/>
  <c r="A35" i="13"/>
  <c r="A34" i="13"/>
  <c r="A33" i="13"/>
  <c r="A32" i="13"/>
  <c r="A31" i="13"/>
  <c r="A30" i="13"/>
  <c r="A29" i="13"/>
  <c r="A28" i="13"/>
  <c r="A27" i="13"/>
  <c r="A26" i="13"/>
  <c r="A25" i="13"/>
  <c r="A24" i="13"/>
  <c r="A23" i="13"/>
  <c r="A22" i="13"/>
  <c r="A21" i="13"/>
  <c r="A20" i="13"/>
  <c r="A19" i="13"/>
  <c r="A18" i="13"/>
  <c r="A17" i="13"/>
  <c r="A16" i="13"/>
  <c r="A15" i="13"/>
  <c r="A14" i="13"/>
  <c r="A13" i="13"/>
  <c r="A12" i="13"/>
  <c r="A11" i="13"/>
  <c r="A10" i="13"/>
  <c r="A9" i="13"/>
  <c r="A8" i="13"/>
  <c r="A7" i="13"/>
  <c r="A6" i="13"/>
  <c r="A5" i="13"/>
  <c r="A4" i="13"/>
  <c r="A3" i="13"/>
  <c r="A2" i="13"/>
  <c r="G39" i="12" a="1"/>
  <c r="G39" i="12" s="1"/>
  <c r="G40" i="12" a="1"/>
  <c r="G40" i="12" s="1"/>
  <c r="G41" i="12" a="1"/>
  <c r="G41" i="12" s="1"/>
  <c r="G42" i="12" a="1"/>
  <c r="G42" i="12"/>
  <c r="G43" i="12" a="1"/>
  <c r="G43" i="12" s="1"/>
  <c r="G44" i="12" a="1"/>
  <c r="G44" i="12" s="1"/>
  <c r="G45" i="12" a="1"/>
  <c r="G45" i="12" s="1"/>
  <c r="G46" i="12" a="1"/>
  <c r="G46" i="12"/>
  <c r="G47" i="12" a="1"/>
  <c r="G47" i="12" s="1"/>
  <c r="G48" i="12" a="1"/>
  <c r="G48" i="12" s="1"/>
  <c r="G49" i="12" a="1"/>
  <c r="G49" i="12" s="1"/>
  <c r="G50" i="12" a="1"/>
  <c r="G50" i="12"/>
  <c r="G51" i="12" a="1"/>
  <c r="G51" i="12" s="1"/>
  <c r="G52" i="12" a="1"/>
  <c r="G52" i="12" s="1"/>
  <c r="G53" i="12" a="1"/>
  <c r="G53" i="12" s="1"/>
  <c r="G54" i="12" a="1"/>
  <c r="G54" i="12"/>
  <c r="G55" i="12" a="1"/>
  <c r="G55" i="12" s="1"/>
  <c r="G56" i="12" a="1"/>
  <c r="G56" i="12" s="1"/>
  <c r="G57" i="12" a="1"/>
  <c r="G57" i="12" s="1"/>
  <c r="G58" i="12" a="1"/>
  <c r="G58" i="12"/>
  <c r="G59" i="12" a="1"/>
  <c r="G59" i="12" s="1"/>
  <c r="G60" i="12" a="1"/>
  <c r="G60" i="12" s="1"/>
  <c r="G61" i="12" a="1"/>
  <c r="G61" i="12" s="1"/>
  <c r="G62" i="12" a="1"/>
  <c r="G62" i="12"/>
  <c r="G63" i="12" a="1"/>
  <c r="G63" i="12" s="1"/>
  <c r="G64" i="12" a="1"/>
  <c r="G64" i="12" s="1"/>
  <c r="G65" i="12" a="1"/>
  <c r="G65" i="12" s="1"/>
  <c r="G66" i="12" a="1"/>
  <c r="G66" i="12"/>
  <c r="G67" i="12" a="1"/>
  <c r="G67" i="12" s="1"/>
  <c r="G68" i="12" a="1"/>
  <c r="G68" i="12" s="1"/>
  <c r="G69" i="12" a="1"/>
  <c r="G69" i="12" s="1"/>
  <c r="G70" i="12" a="1"/>
  <c r="G70" i="12"/>
  <c r="G71" i="12" a="1"/>
  <c r="G71" i="12" s="1"/>
  <c r="G72" i="12" a="1"/>
  <c r="G72" i="12" s="1"/>
  <c r="G73" i="12" a="1"/>
  <c r="G73" i="12" s="1"/>
  <c r="G74" i="12" a="1"/>
  <c r="G74" i="12"/>
  <c r="G75" i="12" a="1"/>
  <c r="G75" i="12" s="1"/>
  <c r="G76" i="12" a="1"/>
  <c r="G76" i="12" s="1"/>
  <c r="G77" i="12" a="1"/>
  <c r="G77" i="12" s="1"/>
  <c r="G78" i="12" a="1"/>
  <c r="G78" i="12"/>
  <c r="G79" i="12" a="1"/>
  <c r="G79" i="12" s="1"/>
  <c r="G80" i="12" a="1"/>
  <c r="G80" i="12" s="1"/>
  <c r="G81" i="12" a="1"/>
  <c r="G81" i="12" s="1"/>
  <c r="G82" i="12" a="1"/>
  <c r="G82" i="12"/>
  <c r="G83" i="12" a="1"/>
  <c r="G83" i="12" s="1"/>
  <c r="G84" i="12" a="1"/>
  <c r="G84" i="12" s="1"/>
  <c r="G85" i="12" a="1"/>
  <c r="G85" i="12" s="1"/>
  <c r="G86" i="12" a="1"/>
  <c r="G86" i="12"/>
  <c r="G87" i="12" a="1"/>
  <c r="G87" i="12" s="1"/>
  <c r="G88" i="12" a="1"/>
  <c r="G88" i="12" s="1"/>
  <c r="G89" i="12" a="1"/>
  <c r="G89" i="12" s="1"/>
  <c r="G90" i="12" a="1"/>
  <c r="G90" i="12"/>
  <c r="G91" i="12" a="1"/>
  <c r="G91" i="12" s="1"/>
  <c r="G92" i="12" a="1"/>
  <c r="G92" i="12" s="1"/>
  <c r="G93" i="12" a="1"/>
  <c r="G93" i="12" s="1"/>
  <c r="G94" i="12" a="1"/>
  <c r="G94" i="12"/>
  <c r="G95" i="12" a="1"/>
  <c r="G95" i="12" s="1"/>
  <c r="G96" i="12" a="1"/>
  <c r="G96" i="12" s="1"/>
  <c r="G97" i="12" a="1"/>
  <c r="G97" i="12" s="1"/>
  <c r="G98" i="12" a="1"/>
  <c r="G98" i="12"/>
  <c r="G99" i="12" a="1"/>
  <c r="G99" i="12" s="1"/>
  <c r="G100" i="12" a="1"/>
  <c r="G100" i="12" s="1"/>
  <c r="G101" i="12" a="1"/>
  <c r="G101" i="12" s="1"/>
  <c r="G102" i="12" a="1"/>
  <c r="G102" i="12"/>
  <c r="G103" i="12" a="1"/>
  <c r="G103" i="12" s="1"/>
  <c r="G104" i="12" a="1"/>
  <c r="G104" i="12" s="1"/>
  <c r="G105" i="12" a="1"/>
  <c r="G105" i="12" s="1"/>
  <c r="G106" i="12" a="1"/>
  <c r="G106" i="12"/>
  <c r="G107" i="12" a="1"/>
  <c r="G107" i="12" s="1"/>
  <c r="G108" i="12" a="1"/>
  <c r="G108" i="12" s="1"/>
  <c r="G109" i="12" a="1"/>
  <c r="G109" i="12" s="1"/>
  <c r="G110" i="12" a="1"/>
  <c r="G110" i="12"/>
  <c r="G111" i="12" a="1"/>
  <c r="G111" i="12" s="1"/>
  <c r="G112" i="12" a="1"/>
  <c r="G112" i="12" s="1"/>
  <c r="G113" i="12" a="1"/>
  <c r="G113" i="12" s="1"/>
  <c r="G114" i="12" a="1"/>
  <c r="G114" i="12"/>
  <c r="G115" i="12" a="1"/>
  <c r="G115" i="12" s="1"/>
  <c r="G116" i="12" a="1"/>
  <c r="G116" i="12" s="1"/>
  <c r="G117" i="12" a="1"/>
  <c r="G117" i="12" s="1"/>
  <c r="G118" i="12" a="1"/>
  <c r="G118" i="12" s="1"/>
  <c r="G119" i="12" a="1"/>
  <c r="G119" i="12" s="1"/>
  <c r="G120" i="12" a="1"/>
  <c r="G120" i="12" s="1"/>
  <c r="G121" i="12" a="1"/>
  <c r="G121" i="12" s="1"/>
  <c r="G38" i="12" a="1"/>
  <c r="G38" i="12" s="1"/>
  <c r="E3" i="12"/>
  <c r="E4" i="12"/>
  <c r="E5" i="12"/>
  <c r="E6" i="12"/>
  <c r="E7" i="12"/>
  <c r="E8" i="12"/>
  <c r="E9" i="12"/>
  <c r="E10" i="12"/>
  <c r="E11" i="12"/>
  <c r="E12" i="12"/>
  <c r="E13" i="12"/>
  <c r="E14" i="12"/>
  <c r="E15" i="12"/>
  <c r="E16" i="12"/>
  <c r="E17" i="12"/>
  <c r="E18" i="12"/>
  <c r="E19" i="12"/>
  <c r="E20" i="12"/>
  <c r="E21" i="12"/>
  <c r="E22" i="12"/>
  <c r="E23" i="12"/>
  <c r="E24" i="12"/>
  <c r="E25" i="12"/>
  <c r="E26" i="12"/>
  <c r="E27" i="12"/>
  <c r="E28" i="12"/>
  <c r="E29" i="12"/>
  <c r="E30" i="12"/>
  <c r="E31" i="12"/>
  <c r="E32" i="12"/>
  <c r="E33" i="12"/>
  <c r="E34" i="12"/>
  <c r="E35" i="12"/>
  <c r="E36" i="12"/>
  <c r="E37" i="12"/>
  <c r="E38" i="12"/>
  <c r="E39" i="12"/>
  <c r="E40" i="12"/>
  <c r="E41" i="12"/>
  <c r="E42" i="12"/>
  <c r="E43" i="12"/>
  <c r="E44" i="12"/>
  <c r="E45" i="12"/>
  <c r="E46" i="12"/>
  <c r="E47" i="12"/>
  <c r="E48" i="12"/>
  <c r="E49" i="12"/>
  <c r="E50" i="12"/>
  <c r="E51" i="12"/>
  <c r="E52" i="12"/>
  <c r="E53" i="12"/>
  <c r="E54" i="12"/>
  <c r="E55" i="12"/>
  <c r="E56" i="12"/>
  <c r="E57" i="12"/>
  <c r="E58" i="12"/>
  <c r="E59" i="12"/>
  <c r="E60" i="12"/>
  <c r="E61" i="12"/>
  <c r="E62" i="12"/>
  <c r="E63" i="12"/>
  <c r="E64" i="12"/>
  <c r="E65" i="12"/>
  <c r="E66" i="12"/>
  <c r="E67" i="12"/>
  <c r="E68" i="12"/>
  <c r="E69" i="12"/>
  <c r="E70" i="12"/>
  <c r="E71" i="12"/>
  <c r="E72" i="12"/>
  <c r="E73" i="12"/>
  <c r="E74" i="12"/>
  <c r="E75" i="12"/>
  <c r="E76" i="12"/>
  <c r="E77" i="12"/>
  <c r="E78" i="12"/>
  <c r="E79" i="12"/>
  <c r="E80" i="12"/>
  <c r="E81" i="12"/>
  <c r="E82" i="12"/>
  <c r="E83" i="12"/>
  <c r="E84" i="12"/>
  <c r="E85" i="12"/>
  <c r="E86" i="12"/>
  <c r="E87" i="12"/>
  <c r="E88" i="12"/>
  <c r="E89" i="12"/>
  <c r="E90" i="12"/>
  <c r="E91" i="12"/>
  <c r="E92" i="12"/>
  <c r="E93" i="12"/>
  <c r="E94" i="12"/>
  <c r="E95" i="12"/>
  <c r="E96" i="12"/>
  <c r="E97" i="12"/>
  <c r="E98" i="12"/>
  <c r="E99" i="12"/>
  <c r="E100" i="12"/>
  <c r="E101" i="12"/>
  <c r="E102" i="12"/>
  <c r="E103" i="12"/>
  <c r="E104" i="12"/>
  <c r="E105" i="12"/>
  <c r="E106" i="12"/>
  <c r="E107" i="12"/>
  <c r="E108" i="12"/>
  <c r="E109" i="12"/>
  <c r="E110" i="12"/>
  <c r="E111" i="12"/>
  <c r="E112" i="12"/>
  <c r="E113" i="12"/>
  <c r="E114" i="12"/>
  <c r="E115" i="12"/>
  <c r="E116" i="12"/>
  <c r="E117" i="12"/>
  <c r="E118" i="12"/>
  <c r="E119" i="12"/>
  <c r="E120" i="12"/>
  <c r="E121" i="12"/>
  <c r="E2" i="12"/>
  <c r="D121" i="12"/>
  <c r="C121" i="12"/>
  <c r="B121" i="12"/>
  <c r="A121" i="12"/>
  <c r="J121" i="12" s="1"/>
  <c r="D120" i="12"/>
  <c r="C120" i="12"/>
  <c r="B120" i="12"/>
  <c r="A120" i="12"/>
  <c r="J120" i="12" s="1"/>
  <c r="D119" i="12"/>
  <c r="C119" i="12"/>
  <c r="B119" i="12"/>
  <c r="A119" i="12"/>
  <c r="J119" i="12" s="1"/>
  <c r="D118" i="12"/>
  <c r="C118" i="12"/>
  <c r="B118" i="12"/>
  <c r="A118" i="12"/>
  <c r="J118" i="12" s="1"/>
  <c r="D117" i="12"/>
  <c r="C117" i="12"/>
  <c r="B117" i="12"/>
  <c r="A117" i="12"/>
  <c r="J117" i="12" s="1"/>
  <c r="D116" i="12"/>
  <c r="C116" i="12"/>
  <c r="B116" i="12"/>
  <c r="A116" i="12"/>
  <c r="J116" i="12" s="1"/>
  <c r="D115" i="12"/>
  <c r="C115" i="12"/>
  <c r="B115" i="12"/>
  <c r="A115" i="12"/>
  <c r="J115" i="12" s="1"/>
  <c r="J114" i="12"/>
  <c r="D114" i="12"/>
  <c r="C114" i="12"/>
  <c r="B114" i="12"/>
  <c r="A114" i="12"/>
  <c r="D113" i="12"/>
  <c r="C113" i="12"/>
  <c r="B113" i="12"/>
  <c r="A113" i="12"/>
  <c r="J113" i="12" s="1"/>
  <c r="D112" i="12"/>
  <c r="C112" i="12"/>
  <c r="B112" i="12"/>
  <c r="A112" i="12"/>
  <c r="J112" i="12" s="1"/>
  <c r="D111" i="12"/>
  <c r="C111" i="12"/>
  <c r="B111" i="12"/>
  <c r="A111" i="12"/>
  <c r="J111" i="12" s="1"/>
  <c r="H110" i="12"/>
  <c r="I110" i="12" s="1"/>
  <c r="D110" i="12"/>
  <c r="C110" i="12"/>
  <c r="B110" i="12"/>
  <c r="A110" i="12"/>
  <c r="J110" i="12" s="1"/>
  <c r="D109" i="12"/>
  <c r="C109" i="12"/>
  <c r="B109" i="12"/>
  <c r="A109" i="12"/>
  <c r="J109" i="12" s="1"/>
  <c r="D108" i="12"/>
  <c r="C108" i="12"/>
  <c r="B108" i="12"/>
  <c r="A108" i="12"/>
  <c r="J108" i="12" s="1"/>
  <c r="J107" i="12"/>
  <c r="D107" i="12"/>
  <c r="C107" i="12"/>
  <c r="B107" i="12"/>
  <c r="A107" i="12"/>
  <c r="D106" i="12"/>
  <c r="C106" i="12"/>
  <c r="B106" i="12"/>
  <c r="A106" i="12"/>
  <c r="D105" i="12"/>
  <c r="C105" i="12"/>
  <c r="B105" i="12"/>
  <c r="A105" i="12"/>
  <c r="J105" i="12" s="1"/>
  <c r="D104" i="12"/>
  <c r="C104" i="12"/>
  <c r="B104" i="12"/>
  <c r="A104" i="12"/>
  <c r="J104" i="12" s="1"/>
  <c r="D103" i="12"/>
  <c r="C103" i="12"/>
  <c r="B103" i="12"/>
  <c r="A103" i="12"/>
  <c r="J103" i="12" s="1"/>
  <c r="D102" i="12"/>
  <c r="C102" i="12"/>
  <c r="B102" i="12"/>
  <c r="A102" i="12"/>
  <c r="J102" i="12" s="1"/>
  <c r="D101" i="12"/>
  <c r="C101" i="12"/>
  <c r="B101" i="12"/>
  <c r="A101" i="12"/>
  <c r="J101" i="12" s="1"/>
  <c r="D100" i="12"/>
  <c r="C100" i="12"/>
  <c r="B100" i="12"/>
  <c r="A100" i="12"/>
  <c r="J100" i="12" s="1"/>
  <c r="D99" i="12"/>
  <c r="C99" i="12"/>
  <c r="B99" i="12"/>
  <c r="A99" i="12"/>
  <c r="J99" i="12" s="1"/>
  <c r="D98" i="12"/>
  <c r="C98" i="12"/>
  <c r="B98" i="12"/>
  <c r="A98" i="12"/>
  <c r="D97" i="12"/>
  <c r="C97" i="12"/>
  <c r="B97" i="12"/>
  <c r="A97" i="12"/>
  <c r="J97" i="12" s="1"/>
  <c r="D96" i="12"/>
  <c r="C96" i="12"/>
  <c r="B96" i="12"/>
  <c r="A96" i="12"/>
  <c r="J96" i="12" s="1"/>
  <c r="D95" i="12"/>
  <c r="C95" i="12"/>
  <c r="B95" i="12"/>
  <c r="A95" i="12"/>
  <c r="J95" i="12" s="1"/>
  <c r="D94" i="12"/>
  <c r="C94" i="12"/>
  <c r="B94" i="12"/>
  <c r="A94" i="12"/>
  <c r="J94" i="12" s="1"/>
  <c r="D93" i="12"/>
  <c r="C93" i="12"/>
  <c r="B93" i="12"/>
  <c r="A93" i="12"/>
  <c r="J93" i="12" s="1"/>
  <c r="D92" i="12"/>
  <c r="C92" i="12"/>
  <c r="B92" i="12"/>
  <c r="A92" i="12"/>
  <c r="J92" i="12" s="1"/>
  <c r="D91" i="12"/>
  <c r="C91" i="12"/>
  <c r="B91" i="12"/>
  <c r="A91" i="12"/>
  <c r="J91" i="12" s="1"/>
  <c r="D90" i="12"/>
  <c r="C90" i="12"/>
  <c r="B90" i="12"/>
  <c r="A90" i="12"/>
  <c r="D89" i="12"/>
  <c r="C89" i="12"/>
  <c r="B89" i="12"/>
  <c r="A89" i="12"/>
  <c r="J89" i="12" s="1"/>
  <c r="D88" i="12"/>
  <c r="C88" i="12"/>
  <c r="B88" i="12"/>
  <c r="A88" i="12"/>
  <c r="J88" i="12" s="1"/>
  <c r="D87" i="12"/>
  <c r="C87" i="12"/>
  <c r="B87" i="12"/>
  <c r="A87" i="12"/>
  <c r="J87" i="12" s="1"/>
  <c r="D86" i="12"/>
  <c r="C86" i="12"/>
  <c r="B86" i="12"/>
  <c r="A86" i="12"/>
  <c r="J86" i="12" s="1"/>
  <c r="D85" i="12"/>
  <c r="C85" i="12"/>
  <c r="B85" i="12"/>
  <c r="A85" i="12"/>
  <c r="J85" i="12" s="1"/>
  <c r="D84" i="12"/>
  <c r="C84" i="12"/>
  <c r="B84" i="12"/>
  <c r="A84" i="12"/>
  <c r="J84" i="12" s="1"/>
  <c r="D83" i="12"/>
  <c r="C83" i="12"/>
  <c r="B83" i="12"/>
  <c r="A83" i="12"/>
  <c r="J83" i="12" s="1"/>
  <c r="D82" i="12"/>
  <c r="C82" i="12"/>
  <c r="B82" i="12"/>
  <c r="A82" i="12"/>
  <c r="D81" i="12"/>
  <c r="C81" i="12"/>
  <c r="B81" i="12"/>
  <c r="A81" i="12"/>
  <c r="J81" i="12" s="1"/>
  <c r="D80" i="12"/>
  <c r="C80" i="12"/>
  <c r="B80" i="12"/>
  <c r="A80" i="12"/>
  <c r="J80" i="12" s="1"/>
  <c r="D79" i="12"/>
  <c r="C79" i="12"/>
  <c r="B79" i="12"/>
  <c r="A79" i="12"/>
  <c r="J79" i="12" s="1"/>
  <c r="D78" i="12"/>
  <c r="C78" i="12"/>
  <c r="B78" i="12"/>
  <c r="A78" i="12"/>
  <c r="J78" i="12" s="1"/>
  <c r="D77" i="12"/>
  <c r="C77" i="12"/>
  <c r="B77" i="12"/>
  <c r="A77" i="12"/>
  <c r="J77" i="12" s="1"/>
  <c r="D76" i="12"/>
  <c r="C76" i="12"/>
  <c r="B76" i="12"/>
  <c r="A76" i="12"/>
  <c r="J76" i="12" s="1"/>
  <c r="D75" i="12"/>
  <c r="C75" i="12"/>
  <c r="B75" i="12"/>
  <c r="A75" i="12"/>
  <c r="J75" i="12" s="1"/>
  <c r="D74" i="12"/>
  <c r="C74" i="12"/>
  <c r="B74" i="12"/>
  <c r="A74" i="12"/>
  <c r="D73" i="12"/>
  <c r="C73" i="12"/>
  <c r="B73" i="12"/>
  <c r="A73" i="12"/>
  <c r="J73" i="12" s="1"/>
  <c r="D72" i="12"/>
  <c r="C72" i="12"/>
  <c r="B72" i="12"/>
  <c r="A72" i="12"/>
  <c r="J72" i="12" s="1"/>
  <c r="D71" i="12"/>
  <c r="C71" i="12"/>
  <c r="B71" i="12"/>
  <c r="A71" i="12"/>
  <c r="J71" i="12" s="1"/>
  <c r="I70" i="12"/>
  <c r="D70" i="12"/>
  <c r="C70" i="12"/>
  <c r="B70" i="12"/>
  <c r="A70" i="12"/>
  <c r="J70" i="12" s="1"/>
  <c r="D69" i="12"/>
  <c r="C69" i="12"/>
  <c r="B69" i="12"/>
  <c r="A69" i="12"/>
  <c r="J69" i="12" s="1"/>
  <c r="I68" i="12"/>
  <c r="D68" i="12"/>
  <c r="C68" i="12"/>
  <c r="B68" i="12"/>
  <c r="A68" i="12"/>
  <c r="J68" i="12" s="1"/>
  <c r="I67" i="12"/>
  <c r="D67" i="12"/>
  <c r="C67" i="12"/>
  <c r="B67" i="12"/>
  <c r="A67" i="12"/>
  <c r="J67" i="12" s="1"/>
  <c r="D66" i="12"/>
  <c r="C66" i="12"/>
  <c r="B66" i="12"/>
  <c r="A66" i="12"/>
  <c r="I66" i="12" s="1"/>
  <c r="D65" i="12"/>
  <c r="C65" i="12"/>
  <c r="B65" i="12"/>
  <c r="A65" i="12"/>
  <c r="J65" i="12" s="1"/>
  <c r="D64" i="12"/>
  <c r="C64" i="12"/>
  <c r="B64" i="12"/>
  <c r="A64" i="12"/>
  <c r="J64" i="12" s="1"/>
  <c r="D63" i="12"/>
  <c r="C63" i="12"/>
  <c r="B63" i="12"/>
  <c r="A63" i="12"/>
  <c r="J63" i="12" s="1"/>
  <c r="I62" i="12"/>
  <c r="D62" i="12"/>
  <c r="C62" i="12"/>
  <c r="B62" i="12"/>
  <c r="A62" i="12"/>
  <c r="J62" i="12" s="1"/>
  <c r="D61" i="12"/>
  <c r="C61" i="12"/>
  <c r="B61" i="12"/>
  <c r="A61" i="12"/>
  <c r="J61" i="12" s="1"/>
  <c r="I60" i="12"/>
  <c r="D60" i="12"/>
  <c r="C60" i="12"/>
  <c r="B60" i="12"/>
  <c r="A60" i="12"/>
  <c r="J60" i="12" s="1"/>
  <c r="I59" i="12"/>
  <c r="D59" i="12"/>
  <c r="C59" i="12"/>
  <c r="B59" i="12"/>
  <c r="A59" i="12"/>
  <c r="J59" i="12" s="1"/>
  <c r="D58" i="12"/>
  <c r="C58" i="12"/>
  <c r="B58" i="12"/>
  <c r="A58" i="12"/>
  <c r="I58" i="12" s="1"/>
  <c r="D57" i="12"/>
  <c r="C57" i="12"/>
  <c r="B57" i="12"/>
  <c r="A57" i="12"/>
  <c r="J57" i="12" s="1"/>
  <c r="D56" i="12"/>
  <c r="C56" i="12"/>
  <c r="B56" i="12"/>
  <c r="A56" i="12"/>
  <c r="J56" i="12" s="1"/>
  <c r="D55" i="12"/>
  <c r="C55" i="12"/>
  <c r="B55" i="12"/>
  <c r="A55" i="12"/>
  <c r="J55" i="12" s="1"/>
  <c r="I54" i="12"/>
  <c r="D54" i="12"/>
  <c r="C54" i="12"/>
  <c r="B54" i="12"/>
  <c r="A54" i="12"/>
  <c r="J54" i="12" s="1"/>
  <c r="D53" i="12"/>
  <c r="C53" i="12"/>
  <c r="B53" i="12"/>
  <c r="A53" i="12"/>
  <c r="J53" i="12" s="1"/>
  <c r="I52" i="12"/>
  <c r="D52" i="12"/>
  <c r="C52" i="12"/>
  <c r="B52" i="12"/>
  <c r="A52" i="12"/>
  <c r="J52" i="12" s="1"/>
  <c r="I51" i="12"/>
  <c r="D51" i="12"/>
  <c r="C51" i="12"/>
  <c r="B51" i="12"/>
  <c r="A51" i="12"/>
  <c r="J51" i="12" s="1"/>
  <c r="D50" i="12"/>
  <c r="C50" i="12"/>
  <c r="B50" i="12"/>
  <c r="A50" i="12"/>
  <c r="I50" i="12" s="1"/>
  <c r="D49" i="12"/>
  <c r="C49" i="12"/>
  <c r="B49" i="12"/>
  <c r="A49" i="12"/>
  <c r="J49" i="12" s="1"/>
  <c r="D48" i="12"/>
  <c r="C48" i="12"/>
  <c r="B48" i="12"/>
  <c r="A48" i="12"/>
  <c r="J48" i="12" s="1"/>
  <c r="D47" i="12"/>
  <c r="C47" i="12"/>
  <c r="B47" i="12"/>
  <c r="A47" i="12"/>
  <c r="J47" i="12" s="1"/>
  <c r="D46" i="12"/>
  <c r="C46" i="12"/>
  <c r="B46" i="12"/>
  <c r="A46" i="12"/>
  <c r="J46" i="12" s="1"/>
  <c r="D45" i="12"/>
  <c r="C45" i="12"/>
  <c r="B45" i="12"/>
  <c r="A45" i="12"/>
  <c r="J45" i="12" s="1"/>
  <c r="D44" i="12"/>
  <c r="C44" i="12"/>
  <c r="B44" i="12"/>
  <c r="A44" i="12"/>
  <c r="J44" i="12" s="1"/>
  <c r="J43" i="12"/>
  <c r="D43" i="12"/>
  <c r="C43" i="12"/>
  <c r="B43" i="12"/>
  <c r="A43" i="12"/>
  <c r="D42" i="12"/>
  <c r="C42" i="12"/>
  <c r="B42" i="12"/>
  <c r="A42" i="12"/>
  <c r="D41" i="12"/>
  <c r="C41" i="12"/>
  <c r="B41" i="12"/>
  <c r="A41" i="12"/>
  <c r="J41" i="12" s="1"/>
  <c r="D40" i="12"/>
  <c r="C40" i="12"/>
  <c r="B40" i="12"/>
  <c r="A40" i="12"/>
  <c r="J40" i="12" s="1"/>
  <c r="D39" i="12"/>
  <c r="C39" i="12"/>
  <c r="B39" i="12"/>
  <c r="A39" i="12"/>
  <c r="J39" i="12" s="1"/>
  <c r="D38" i="12"/>
  <c r="C38" i="12"/>
  <c r="B38" i="12"/>
  <c r="A38" i="12"/>
  <c r="J38" i="12" s="1"/>
  <c r="D37" i="12"/>
  <c r="C37" i="12"/>
  <c r="B37" i="12"/>
  <c r="A37" i="12"/>
  <c r="D36" i="12"/>
  <c r="C36" i="12"/>
  <c r="B36" i="12"/>
  <c r="A36" i="12"/>
  <c r="D35" i="12"/>
  <c r="C35" i="12"/>
  <c r="B35" i="12"/>
  <c r="A35" i="12"/>
  <c r="D34" i="12"/>
  <c r="C34" i="12"/>
  <c r="B34" i="12"/>
  <c r="A34" i="12"/>
  <c r="D33" i="12"/>
  <c r="C33" i="12"/>
  <c r="B33" i="12"/>
  <c r="A33" i="12"/>
  <c r="D32" i="12"/>
  <c r="C32" i="12"/>
  <c r="B32" i="12"/>
  <c r="A32" i="12"/>
  <c r="D31" i="12"/>
  <c r="C31" i="12"/>
  <c r="B31" i="12"/>
  <c r="A31" i="12"/>
  <c r="D30" i="12"/>
  <c r="C30" i="12"/>
  <c r="B30" i="12"/>
  <c r="A30" i="12"/>
  <c r="D29" i="12"/>
  <c r="C29" i="12"/>
  <c r="B29" i="12"/>
  <c r="A29" i="12"/>
  <c r="D28" i="12"/>
  <c r="C28" i="12"/>
  <c r="B28" i="12"/>
  <c r="A28" i="12"/>
  <c r="D27" i="12"/>
  <c r="C27" i="12"/>
  <c r="B27" i="12"/>
  <c r="A27" i="12"/>
  <c r="D26" i="12"/>
  <c r="C26" i="12"/>
  <c r="B26" i="12"/>
  <c r="A26" i="12"/>
  <c r="D25" i="12"/>
  <c r="C25" i="12"/>
  <c r="B25" i="12"/>
  <c r="A25" i="12"/>
  <c r="D24" i="12"/>
  <c r="C24" i="12"/>
  <c r="B24" i="12"/>
  <c r="A24" i="12"/>
  <c r="D23" i="12"/>
  <c r="C23" i="12"/>
  <c r="B23" i="12"/>
  <c r="A23" i="12"/>
  <c r="D22" i="12"/>
  <c r="C22" i="12"/>
  <c r="B22" i="12"/>
  <c r="A22" i="12"/>
  <c r="D21" i="12"/>
  <c r="C21" i="12"/>
  <c r="B21" i="12"/>
  <c r="A21" i="12"/>
  <c r="D20" i="12"/>
  <c r="C20" i="12"/>
  <c r="B20" i="12"/>
  <c r="A20" i="12"/>
  <c r="D19" i="12"/>
  <c r="C19" i="12"/>
  <c r="B19" i="12"/>
  <c r="A19" i="12"/>
  <c r="D18" i="12"/>
  <c r="C18" i="12"/>
  <c r="B18" i="12"/>
  <c r="A18" i="12"/>
  <c r="D17" i="12"/>
  <c r="C17" i="12"/>
  <c r="B17" i="12"/>
  <c r="A17" i="12"/>
  <c r="D16" i="12"/>
  <c r="C16" i="12"/>
  <c r="B16" i="12"/>
  <c r="A16" i="12"/>
  <c r="D15" i="12"/>
  <c r="C15" i="12"/>
  <c r="B15" i="12"/>
  <c r="A15" i="12"/>
  <c r="D14" i="12"/>
  <c r="C14" i="12"/>
  <c r="B14" i="12"/>
  <c r="A14" i="12"/>
  <c r="D13" i="12"/>
  <c r="C13" i="12"/>
  <c r="B13" i="12"/>
  <c r="A13" i="12"/>
  <c r="D12" i="12"/>
  <c r="C12" i="12"/>
  <c r="B12" i="12"/>
  <c r="A12" i="12"/>
  <c r="D11" i="12"/>
  <c r="C11" i="12"/>
  <c r="B11" i="12"/>
  <c r="A11" i="12"/>
  <c r="D10" i="12"/>
  <c r="C10" i="12"/>
  <c r="B10" i="12"/>
  <c r="A10" i="12"/>
  <c r="D9" i="12"/>
  <c r="C9" i="12"/>
  <c r="B9" i="12"/>
  <c r="A9" i="12"/>
  <c r="D8" i="12"/>
  <c r="C8" i="12"/>
  <c r="B8" i="12"/>
  <c r="A8" i="12"/>
  <c r="D7" i="12"/>
  <c r="C7" i="12"/>
  <c r="B7" i="12"/>
  <c r="A7" i="12"/>
  <c r="D6" i="12"/>
  <c r="C6" i="12"/>
  <c r="B6" i="12"/>
  <c r="A6" i="12"/>
  <c r="D5" i="12"/>
  <c r="C5" i="12"/>
  <c r="B5" i="12"/>
  <c r="A5" i="12"/>
  <c r="D4" i="12"/>
  <c r="C4" i="12"/>
  <c r="B4" i="12"/>
  <c r="A4" i="12"/>
  <c r="D3" i="12"/>
  <c r="C3" i="12"/>
  <c r="B3" i="12"/>
  <c r="A3" i="12"/>
  <c r="D2" i="12"/>
  <c r="C2" i="12"/>
  <c r="B2" i="12"/>
  <c r="A2" i="12"/>
  <c r="C3" i="11"/>
  <c r="D3" i="11"/>
  <c r="C4" i="11"/>
  <c r="D4" i="11"/>
  <c r="C5" i="11"/>
  <c r="D5" i="11"/>
  <c r="C6" i="11"/>
  <c r="D6" i="11"/>
  <c r="C7" i="11"/>
  <c r="D7" i="11"/>
  <c r="C8" i="11"/>
  <c r="D8" i="11"/>
  <c r="C9" i="11"/>
  <c r="D9" i="11"/>
  <c r="C10" i="11"/>
  <c r="D10" i="11"/>
  <c r="C11" i="11"/>
  <c r="D11" i="11"/>
  <c r="C12" i="11"/>
  <c r="D12" i="11"/>
  <c r="C13" i="11"/>
  <c r="D13" i="11"/>
  <c r="C14" i="11"/>
  <c r="D14" i="11"/>
  <c r="C15" i="11"/>
  <c r="D15" i="11"/>
  <c r="C16" i="11"/>
  <c r="D16" i="11"/>
  <c r="C17" i="11"/>
  <c r="D17" i="11"/>
  <c r="C18" i="11"/>
  <c r="G54" i="11" s="1" a="1"/>
  <c r="G54" i="11" s="1"/>
  <c r="H54" i="11" s="1"/>
  <c r="D18" i="11"/>
  <c r="C19" i="11"/>
  <c r="D19" i="11"/>
  <c r="C20" i="11"/>
  <c r="D20" i="11"/>
  <c r="C21" i="11"/>
  <c r="D21" i="11"/>
  <c r="C22" i="11"/>
  <c r="D22" i="11"/>
  <c r="C23" i="11"/>
  <c r="D23" i="11"/>
  <c r="C24" i="11"/>
  <c r="D24" i="11"/>
  <c r="C25" i="11"/>
  <c r="D25" i="11"/>
  <c r="C26" i="11"/>
  <c r="G62" i="11" s="1" a="1"/>
  <c r="G62" i="11" s="1"/>
  <c r="H62" i="11" s="1"/>
  <c r="D26" i="11"/>
  <c r="C27" i="11"/>
  <c r="D27" i="11"/>
  <c r="C28" i="11"/>
  <c r="D28" i="11"/>
  <c r="C29" i="11"/>
  <c r="D29" i="11"/>
  <c r="C30" i="11"/>
  <c r="D30" i="11"/>
  <c r="C31" i="11"/>
  <c r="D31" i="11"/>
  <c r="C32" i="11"/>
  <c r="D32" i="11"/>
  <c r="C33" i="11"/>
  <c r="D33" i="11"/>
  <c r="C34" i="11"/>
  <c r="G70" i="11" s="1" a="1"/>
  <c r="G70" i="11" s="1"/>
  <c r="H70" i="11" s="1"/>
  <c r="D34" i="11"/>
  <c r="C35" i="11"/>
  <c r="D35" i="11"/>
  <c r="C36" i="11"/>
  <c r="D36" i="11"/>
  <c r="C37" i="11"/>
  <c r="D37" i="11"/>
  <c r="C38" i="11"/>
  <c r="D38" i="11"/>
  <c r="C39" i="11"/>
  <c r="D39" i="11"/>
  <c r="C40" i="11"/>
  <c r="D40" i="11"/>
  <c r="C41" i="11"/>
  <c r="D41" i="11"/>
  <c r="C42" i="11"/>
  <c r="D42" i="11"/>
  <c r="C43" i="11"/>
  <c r="D43" i="11"/>
  <c r="C44" i="11"/>
  <c r="D44" i="11"/>
  <c r="C45" i="11"/>
  <c r="D45" i="11"/>
  <c r="C46" i="11"/>
  <c r="G79" i="11" s="1" a="1"/>
  <c r="G79" i="11" s="1"/>
  <c r="D46" i="11"/>
  <c r="C47" i="11"/>
  <c r="D47" i="11"/>
  <c r="C48" i="11"/>
  <c r="D48" i="11"/>
  <c r="C49" i="11"/>
  <c r="D49" i="11"/>
  <c r="C50" i="11"/>
  <c r="D50" i="11"/>
  <c r="C51" i="11"/>
  <c r="D51" i="11"/>
  <c r="C52" i="11"/>
  <c r="D52" i="11"/>
  <c r="C53" i="11"/>
  <c r="D53" i="11"/>
  <c r="C54" i="11"/>
  <c r="D54" i="11"/>
  <c r="C55" i="11"/>
  <c r="D55" i="11"/>
  <c r="C56" i="11"/>
  <c r="D56" i="11"/>
  <c r="C57" i="11"/>
  <c r="D57" i="11"/>
  <c r="C58" i="11"/>
  <c r="D58" i="11"/>
  <c r="C59" i="11"/>
  <c r="D59" i="11"/>
  <c r="C60" i="11"/>
  <c r="D60" i="11"/>
  <c r="C61" i="11"/>
  <c r="D61" i="11"/>
  <c r="C62" i="11"/>
  <c r="D62" i="11"/>
  <c r="C63" i="11"/>
  <c r="D63" i="11"/>
  <c r="C64" i="11"/>
  <c r="D64" i="11"/>
  <c r="C65" i="11"/>
  <c r="D65" i="11"/>
  <c r="C66" i="11"/>
  <c r="D66" i="11"/>
  <c r="C67" i="11"/>
  <c r="D67" i="11"/>
  <c r="C68" i="11"/>
  <c r="D68" i="11"/>
  <c r="C69" i="11"/>
  <c r="D69" i="11"/>
  <c r="C70" i="11"/>
  <c r="D70" i="11"/>
  <c r="C71" i="11"/>
  <c r="D71" i="11"/>
  <c r="C72" i="11"/>
  <c r="D72" i="11"/>
  <c r="C73" i="11"/>
  <c r="D73" i="11"/>
  <c r="C74" i="11"/>
  <c r="D74" i="11"/>
  <c r="C75" i="11"/>
  <c r="D75" i="11"/>
  <c r="C76" i="11"/>
  <c r="D76" i="11"/>
  <c r="C77" i="11"/>
  <c r="D77" i="11"/>
  <c r="C78" i="11"/>
  <c r="D78" i="11"/>
  <c r="C79" i="11"/>
  <c r="D79" i="11"/>
  <c r="C80" i="11"/>
  <c r="D80" i="11"/>
  <c r="C81" i="11"/>
  <c r="D81" i="11"/>
  <c r="C82" i="11"/>
  <c r="D82" i="11"/>
  <c r="C83" i="11"/>
  <c r="D83" i="11"/>
  <c r="C84" i="11"/>
  <c r="D84" i="11"/>
  <c r="C85" i="11"/>
  <c r="D85" i="11"/>
  <c r="C86" i="11"/>
  <c r="D86" i="11"/>
  <c r="C87" i="11"/>
  <c r="D87" i="11"/>
  <c r="C88" i="11"/>
  <c r="D88" i="11"/>
  <c r="C89" i="11"/>
  <c r="D89" i="11"/>
  <c r="C90" i="11"/>
  <c r="D90" i="11"/>
  <c r="C91" i="11"/>
  <c r="D91" i="11"/>
  <c r="C92" i="11"/>
  <c r="D92" i="11"/>
  <c r="C93" i="11"/>
  <c r="D93" i="11"/>
  <c r="C94" i="11"/>
  <c r="D94" i="11"/>
  <c r="C95" i="11"/>
  <c r="D95" i="11"/>
  <c r="C96" i="11"/>
  <c r="D96" i="11"/>
  <c r="C97" i="11"/>
  <c r="D97" i="11"/>
  <c r="C98" i="11"/>
  <c r="D98" i="11"/>
  <c r="C99" i="11"/>
  <c r="D99" i="11"/>
  <c r="C100" i="11"/>
  <c r="D100" i="11"/>
  <c r="C101" i="11"/>
  <c r="D101" i="11"/>
  <c r="C102" i="11"/>
  <c r="D102" i="11"/>
  <c r="C103" i="11"/>
  <c r="D103" i="11"/>
  <c r="C104" i="11"/>
  <c r="D104" i="11"/>
  <c r="C105" i="11"/>
  <c r="D105" i="11"/>
  <c r="C106" i="11"/>
  <c r="D106" i="11"/>
  <c r="C107" i="11"/>
  <c r="D107" i="11"/>
  <c r="C108" i="11"/>
  <c r="D108" i="11"/>
  <c r="C109" i="11"/>
  <c r="D109" i="11"/>
  <c r="C110" i="11"/>
  <c r="D110" i="11"/>
  <c r="C111" i="11"/>
  <c r="D111" i="11"/>
  <c r="C112" i="11"/>
  <c r="D112" i="11"/>
  <c r="C113" i="11"/>
  <c r="D113" i="11"/>
  <c r="C114" i="11"/>
  <c r="D114" i="11"/>
  <c r="C115" i="11"/>
  <c r="D115" i="11"/>
  <c r="C116" i="11"/>
  <c r="D116" i="11"/>
  <c r="C117" i="11"/>
  <c r="D117" i="11"/>
  <c r="C118" i="11"/>
  <c r="D118" i="11"/>
  <c r="C119" i="11"/>
  <c r="D119" i="11"/>
  <c r="C120" i="11"/>
  <c r="D120" i="11"/>
  <c r="C121" i="11"/>
  <c r="D121" i="11"/>
  <c r="D2" i="11"/>
  <c r="C2" i="11"/>
  <c r="B3" i="11"/>
  <c r="B4" i="11"/>
  <c r="B5" i="11"/>
  <c r="B6" i="11"/>
  <c r="B7" i="11"/>
  <c r="B8" i="11"/>
  <c r="B9" i="11"/>
  <c r="B10" i="11"/>
  <c r="B11" i="11"/>
  <c r="B12" i="11"/>
  <c r="B13" i="11"/>
  <c r="B14" i="11"/>
  <c r="B15" i="11"/>
  <c r="B16" i="11"/>
  <c r="B17" i="11"/>
  <c r="B18" i="11"/>
  <c r="B19" i="11"/>
  <c r="B20" i="11"/>
  <c r="B21" i="11"/>
  <c r="B22" i="11"/>
  <c r="B23" i="11"/>
  <c r="B24" i="11"/>
  <c r="B25" i="11"/>
  <c r="B26" i="11"/>
  <c r="B27" i="11"/>
  <c r="B28" i="11"/>
  <c r="B29" i="11"/>
  <c r="B30" i="11"/>
  <c r="B31" i="11"/>
  <c r="B32" i="11"/>
  <c r="B33" i="11"/>
  <c r="B34" i="11"/>
  <c r="B35" i="11"/>
  <c r="B36" i="11"/>
  <c r="B37" i="11"/>
  <c r="B38" i="11"/>
  <c r="B39" i="11"/>
  <c r="J39" i="11" s="1"/>
  <c r="B40" i="11"/>
  <c r="B41" i="11"/>
  <c r="B42" i="11"/>
  <c r="B43" i="11"/>
  <c r="B44" i="11"/>
  <c r="B45" i="11"/>
  <c r="B46" i="11"/>
  <c r="B47" i="11"/>
  <c r="B48" i="11"/>
  <c r="B49" i="11"/>
  <c r="B50" i="11"/>
  <c r="B51" i="11"/>
  <c r="B52" i="11"/>
  <c r="B53" i="11"/>
  <c r="B54" i="11"/>
  <c r="B55" i="11"/>
  <c r="B56" i="11"/>
  <c r="B57" i="11"/>
  <c r="B58" i="11"/>
  <c r="B59" i="11"/>
  <c r="B60" i="11"/>
  <c r="B61" i="11"/>
  <c r="B62" i="11"/>
  <c r="B63" i="11"/>
  <c r="B64" i="11"/>
  <c r="B65" i="11"/>
  <c r="B66" i="11"/>
  <c r="B67" i="11"/>
  <c r="B68" i="11"/>
  <c r="B69" i="11"/>
  <c r="B70" i="11"/>
  <c r="B71" i="11"/>
  <c r="B72" i="11"/>
  <c r="B73" i="11"/>
  <c r="B74" i="11"/>
  <c r="B75" i="11"/>
  <c r="B76" i="11"/>
  <c r="B77" i="11"/>
  <c r="B78" i="11"/>
  <c r="B79" i="11"/>
  <c r="B80" i="11"/>
  <c r="B81" i="11"/>
  <c r="B82" i="11"/>
  <c r="B83" i="11"/>
  <c r="B84" i="11"/>
  <c r="B85" i="11"/>
  <c r="B86" i="11"/>
  <c r="B87" i="11"/>
  <c r="B88" i="11"/>
  <c r="B89" i="11"/>
  <c r="B90" i="11"/>
  <c r="B91" i="11"/>
  <c r="B92" i="11"/>
  <c r="B93" i="11"/>
  <c r="B94" i="11"/>
  <c r="B95" i="11"/>
  <c r="B96" i="11"/>
  <c r="B97" i="11"/>
  <c r="B98" i="11"/>
  <c r="B99" i="11"/>
  <c r="B100" i="11"/>
  <c r="B101" i="11"/>
  <c r="B102" i="11"/>
  <c r="B103" i="11"/>
  <c r="B104" i="11"/>
  <c r="B105" i="11"/>
  <c r="B106" i="11"/>
  <c r="B107" i="11"/>
  <c r="B108" i="11"/>
  <c r="B109" i="11"/>
  <c r="B110" i="11"/>
  <c r="B111" i="11"/>
  <c r="B112" i="11"/>
  <c r="B113" i="11"/>
  <c r="B114" i="11"/>
  <c r="B115" i="11"/>
  <c r="B116" i="11"/>
  <c r="B117" i="11"/>
  <c r="B118" i="11"/>
  <c r="B119" i="11"/>
  <c r="B120" i="11"/>
  <c r="B121" i="11"/>
  <c r="B2" i="11"/>
  <c r="A121" i="11"/>
  <c r="A120" i="11"/>
  <c r="J120" i="11" s="1"/>
  <c r="A119" i="11"/>
  <c r="A118" i="11"/>
  <c r="J118" i="11" s="1"/>
  <c r="A117" i="11"/>
  <c r="J117" i="11" s="1"/>
  <c r="A116" i="11"/>
  <c r="J116" i="11" s="1"/>
  <c r="A115" i="11"/>
  <c r="A114" i="11"/>
  <c r="A113" i="11"/>
  <c r="A112" i="11"/>
  <c r="A111" i="11"/>
  <c r="A110" i="11"/>
  <c r="J110" i="11" s="1"/>
  <c r="A109" i="11"/>
  <c r="J109" i="11" s="1"/>
  <c r="A108" i="11"/>
  <c r="J108" i="11" s="1"/>
  <c r="A107" i="11"/>
  <c r="A106" i="11"/>
  <c r="J106" i="11" s="1"/>
  <c r="A105" i="11"/>
  <c r="A104" i="11"/>
  <c r="A103" i="11"/>
  <c r="A102" i="11"/>
  <c r="J102" i="11" s="1"/>
  <c r="A101" i="11"/>
  <c r="J101" i="11" s="1"/>
  <c r="A100" i="11"/>
  <c r="J100" i="11" s="1"/>
  <c r="A99" i="11"/>
  <c r="J99" i="11" s="1"/>
  <c r="A98" i="11"/>
  <c r="J98" i="11" s="1"/>
  <c r="A97" i="11"/>
  <c r="A96" i="11"/>
  <c r="J96" i="11" s="1"/>
  <c r="A95" i="11"/>
  <c r="A94" i="11"/>
  <c r="J94" i="11" s="1"/>
  <c r="A93" i="11"/>
  <c r="J93" i="11" s="1"/>
  <c r="A92" i="11"/>
  <c r="J91" i="11"/>
  <c r="A91" i="11"/>
  <c r="A90" i="11"/>
  <c r="A89" i="11"/>
  <c r="J88" i="11"/>
  <c r="A88" i="11"/>
  <c r="A87" i="11"/>
  <c r="A86" i="11"/>
  <c r="J86" i="11" s="1"/>
  <c r="J85" i="11"/>
  <c r="A85" i="11"/>
  <c r="A84" i="11"/>
  <c r="J83" i="11"/>
  <c r="A83" i="11"/>
  <c r="A82" i="11"/>
  <c r="A81" i="11"/>
  <c r="J81" i="11" s="1"/>
  <c r="J80" i="11"/>
  <c r="A80" i="11"/>
  <c r="A79" i="11"/>
  <c r="A78" i="11"/>
  <c r="J78" i="11" s="1"/>
  <c r="A77" i="11"/>
  <c r="J77" i="11" s="1"/>
  <c r="J76" i="11"/>
  <c r="A76" i="11"/>
  <c r="J75" i="11"/>
  <c r="A75" i="11"/>
  <c r="A74" i="11"/>
  <c r="I73" i="11"/>
  <c r="A73" i="11"/>
  <c r="J73" i="11" s="1"/>
  <c r="J72" i="11"/>
  <c r="A72" i="11"/>
  <c r="I72" i="11" s="1"/>
  <c r="A71" i="11"/>
  <c r="J71" i="11" s="1"/>
  <c r="I70" i="11"/>
  <c r="A70" i="11"/>
  <c r="J70" i="11" s="1"/>
  <c r="I69" i="11"/>
  <c r="A69" i="11"/>
  <c r="J69" i="11" s="1"/>
  <c r="J68" i="11"/>
  <c r="A68" i="11"/>
  <c r="I68" i="11" s="1"/>
  <c r="J67" i="11"/>
  <c r="A67" i="11"/>
  <c r="I67" i="11" s="1"/>
  <c r="I66" i="11"/>
  <c r="A66" i="11"/>
  <c r="J66" i="11" s="1"/>
  <c r="I65" i="11"/>
  <c r="A65" i="11"/>
  <c r="J65" i="11" s="1"/>
  <c r="A64" i="11"/>
  <c r="J64" i="11" s="1"/>
  <c r="A63" i="11"/>
  <c r="I63" i="11" s="1"/>
  <c r="I62" i="11"/>
  <c r="A62" i="11"/>
  <c r="J62" i="11" s="1"/>
  <c r="I61" i="11"/>
  <c r="A61" i="11"/>
  <c r="J61" i="11" s="1"/>
  <c r="A60" i="11"/>
  <c r="J60" i="11" s="1"/>
  <c r="J59" i="11"/>
  <c r="A59" i="11"/>
  <c r="I59" i="11" s="1"/>
  <c r="I58" i="11"/>
  <c r="A58" i="11"/>
  <c r="J58" i="11" s="1"/>
  <c r="I57" i="11"/>
  <c r="A57" i="11"/>
  <c r="J57" i="11" s="1"/>
  <c r="A56" i="11"/>
  <c r="I56" i="11" s="1"/>
  <c r="A55" i="11"/>
  <c r="I55" i="11" s="1"/>
  <c r="I54" i="11"/>
  <c r="A54" i="11"/>
  <c r="J54" i="11" s="1"/>
  <c r="J53" i="11"/>
  <c r="A53" i="11"/>
  <c r="I53" i="11" s="1"/>
  <c r="J52" i="11"/>
  <c r="I52" i="11"/>
  <c r="A52" i="11"/>
  <c r="A51" i="11"/>
  <c r="I51" i="11" s="1"/>
  <c r="I50" i="11"/>
  <c r="A50" i="11"/>
  <c r="J50" i="11" s="1"/>
  <c r="A49" i="11"/>
  <c r="J49" i="11" s="1"/>
  <c r="A48" i="11"/>
  <c r="J48" i="11" s="1"/>
  <c r="A47" i="11"/>
  <c r="A46" i="11"/>
  <c r="A45" i="11"/>
  <c r="J45" i="11" s="1"/>
  <c r="A44" i="11"/>
  <c r="J43" i="11"/>
  <c r="A43" i="11"/>
  <c r="A42" i="11"/>
  <c r="A41" i="11"/>
  <c r="J41" i="11" s="1"/>
  <c r="J40" i="11"/>
  <c r="A40" i="11"/>
  <c r="A39" i="11"/>
  <c r="A38" i="11"/>
  <c r="J38" i="11" s="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A2" i="11"/>
  <c r="C3" i="9"/>
  <c r="D3" i="9"/>
  <c r="C4" i="9"/>
  <c r="D4" i="9"/>
  <c r="C5" i="9"/>
  <c r="D5" i="9"/>
  <c r="C6" i="9"/>
  <c r="D6" i="9"/>
  <c r="C7" i="9"/>
  <c r="D7" i="9"/>
  <c r="C8" i="9"/>
  <c r="D8" i="9"/>
  <c r="C9" i="9"/>
  <c r="D9" i="9"/>
  <c r="C10" i="9"/>
  <c r="D10" i="9"/>
  <c r="C11" i="9"/>
  <c r="D11" i="9"/>
  <c r="C12" i="9"/>
  <c r="D12" i="9"/>
  <c r="C13" i="9"/>
  <c r="D13" i="9"/>
  <c r="C14" i="9"/>
  <c r="D14" i="9"/>
  <c r="C15" i="9"/>
  <c r="D15" i="9"/>
  <c r="C16" i="9"/>
  <c r="D16" i="9"/>
  <c r="C17" i="9"/>
  <c r="D17" i="9"/>
  <c r="C18" i="9"/>
  <c r="D18" i="9"/>
  <c r="C19" i="9"/>
  <c r="D19" i="9"/>
  <c r="C20" i="9"/>
  <c r="D20" i="9"/>
  <c r="C21" i="9"/>
  <c r="D21" i="9"/>
  <c r="C22" i="9"/>
  <c r="D22" i="9"/>
  <c r="C23" i="9"/>
  <c r="D23" i="9"/>
  <c r="C24" i="9"/>
  <c r="D24" i="9"/>
  <c r="C25" i="9"/>
  <c r="D25" i="9"/>
  <c r="C26" i="9"/>
  <c r="D26" i="9"/>
  <c r="C27" i="9"/>
  <c r="D27" i="9"/>
  <c r="C28" i="9"/>
  <c r="D28" i="9"/>
  <c r="C29" i="9"/>
  <c r="D29" i="9"/>
  <c r="C30" i="9"/>
  <c r="D30" i="9"/>
  <c r="C31" i="9"/>
  <c r="D31" i="9"/>
  <c r="C32" i="9"/>
  <c r="D32" i="9"/>
  <c r="C33" i="9"/>
  <c r="D33" i="9"/>
  <c r="C34" i="9"/>
  <c r="D34" i="9"/>
  <c r="C35" i="9"/>
  <c r="D35" i="9"/>
  <c r="C36" i="9"/>
  <c r="D36" i="9"/>
  <c r="C37" i="9"/>
  <c r="D37" i="9"/>
  <c r="C38" i="9"/>
  <c r="D38" i="9"/>
  <c r="C39" i="9"/>
  <c r="D39" i="9"/>
  <c r="C40" i="9"/>
  <c r="D40" i="9"/>
  <c r="C41" i="9"/>
  <c r="D41" i="9"/>
  <c r="C42" i="9"/>
  <c r="D42" i="9"/>
  <c r="C43" i="9"/>
  <c r="D43" i="9"/>
  <c r="C44" i="9"/>
  <c r="D44" i="9"/>
  <c r="C45" i="9"/>
  <c r="D45" i="9"/>
  <c r="C46" i="9"/>
  <c r="D46" i="9"/>
  <c r="C47" i="9"/>
  <c r="D47" i="9"/>
  <c r="C48" i="9"/>
  <c r="D48" i="9"/>
  <c r="C49" i="9"/>
  <c r="D49" i="9"/>
  <c r="C50" i="9"/>
  <c r="D50" i="9"/>
  <c r="C51" i="9"/>
  <c r="D51" i="9"/>
  <c r="C52" i="9"/>
  <c r="D52" i="9"/>
  <c r="C53" i="9"/>
  <c r="D53" i="9"/>
  <c r="C54" i="9"/>
  <c r="D54" i="9"/>
  <c r="C55" i="9"/>
  <c r="D55" i="9"/>
  <c r="C56" i="9"/>
  <c r="D56" i="9"/>
  <c r="C57" i="9"/>
  <c r="D57" i="9"/>
  <c r="C58" i="9"/>
  <c r="D58" i="9"/>
  <c r="C59" i="9"/>
  <c r="D59" i="9"/>
  <c r="C60" i="9"/>
  <c r="D60" i="9"/>
  <c r="C61" i="9"/>
  <c r="D61" i="9"/>
  <c r="C62" i="9"/>
  <c r="D62" i="9"/>
  <c r="C63" i="9"/>
  <c r="D63" i="9"/>
  <c r="C64" i="9"/>
  <c r="D64" i="9"/>
  <c r="C65" i="9"/>
  <c r="D65" i="9"/>
  <c r="C66" i="9"/>
  <c r="D66" i="9"/>
  <c r="C67" i="9"/>
  <c r="D67" i="9"/>
  <c r="C68" i="9"/>
  <c r="D68" i="9"/>
  <c r="C69" i="9"/>
  <c r="D69" i="9"/>
  <c r="C70" i="9"/>
  <c r="D70" i="9"/>
  <c r="C71" i="9"/>
  <c r="D71" i="9"/>
  <c r="C72" i="9"/>
  <c r="D72" i="9"/>
  <c r="C73" i="9"/>
  <c r="D73" i="9"/>
  <c r="C74" i="9"/>
  <c r="D74" i="9"/>
  <c r="C75" i="9"/>
  <c r="D75" i="9"/>
  <c r="C76" i="9"/>
  <c r="D76" i="9"/>
  <c r="C77" i="9"/>
  <c r="D77" i="9"/>
  <c r="C78" i="9"/>
  <c r="D78" i="9"/>
  <c r="C79" i="9"/>
  <c r="D79" i="9"/>
  <c r="C80" i="9"/>
  <c r="D80" i="9"/>
  <c r="C81" i="9"/>
  <c r="D81" i="9"/>
  <c r="C82" i="9"/>
  <c r="D82" i="9"/>
  <c r="C83" i="9"/>
  <c r="D83" i="9"/>
  <c r="C84" i="9"/>
  <c r="D84" i="9"/>
  <c r="C85" i="9"/>
  <c r="D85" i="9"/>
  <c r="C86" i="9"/>
  <c r="D86" i="9"/>
  <c r="C87" i="9"/>
  <c r="D87" i="9"/>
  <c r="C88" i="9"/>
  <c r="D88" i="9"/>
  <c r="C89" i="9"/>
  <c r="D89" i="9"/>
  <c r="C90" i="9"/>
  <c r="D90" i="9"/>
  <c r="C91" i="9"/>
  <c r="D91" i="9"/>
  <c r="C92" i="9"/>
  <c r="D92" i="9"/>
  <c r="C93" i="9"/>
  <c r="D93" i="9"/>
  <c r="C94" i="9"/>
  <c r="D94" i="9"/>
  <c r="C95" i="9"/>
  <c r="D95" i="9"/>
  <c r="C96" i="9"/>
  <c r="D96" i="9"/>
  <c r="C97" i="9"/>
  <c r="D97" i="9"/>
  <c r="C98" i="9"/>
  <c r="D98" i="9"/>
  <c r="C99" i="9"/>
  <c r="D99" i="9"/>
  <c r="C100" i="9"/>
  <c r="D100" i="9"/>
  <c r="C101" i="9"/>
  <c r="D101" i="9"/>
  <c r="C102" i="9"/>
  <c r="D102" i="9"/>
  <c r="C103" i="9"/>
  <c r="D103" i="9"/>
  <c r="C104" i="9"/>
  <c r="D104" i="9"/>
  <c r="C105" i="9"/>
  <c r="D105" i="9"/>
  <c r="C106" i="9"/>
  <c r="D106" i="9"/>
  <c r="C107" i="9"/>
  <c r="D107" i="9"/>
  <c r="C108" i="9"/>
  <c r="D108" i="9"/>
  <c r="C109" i="9"/>
  <c r="D109" i="9"/>
  <c r="C110" i="9"/>
  <c r="D110" i="9"/>
  <c r="C111" i="9"/>
  <c r="D111" i="9"/>
  <c r="C112" i="9"/>
  <c r="D112" i="9"/>
  <c r="C113" i="9"/>
  <c r="D113" i="9"/>
  <c r="C114" i="9"/>
  <c r="D114" i="9"/>
  <c r="C115" i="9"/>
  <c r="D115" i="9"/>
  <c r="C116" i="9"/>
  <c r="D116" i="9"/>
  <c r="C117" i="9"/>
  <c r="D117" i="9"/>
  <c r="C118" i="9"/>
  <c r="D118" i="9"/>
  <c r="C119" i="9"/>
  <c r="D119" i="9"/>
  <c r="C120" i="9"/>
  <c r="D120" i="9"/>
  <c r="C121" i="9"/>
  <c r="D121" i="9"/>
  <c r="D2" i="9"/>
  <c r="C2" i="9"/>
  <c r="B3"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J42" i="9" s="1"/>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J74" i="9" s="1"/>
  <c r="B75" i="9"/>
  <c r="B76" i="9"/>
  <c r="B77" i="9"/>
  <c r="B78" i="9"/>
  <c r="B79" i="9"/>
  <c r="B80" i="9"/>
  <c r="B81" i="9"/>
  <c r="B82" i="9"/>
  <c r="B83" i="9"/>
  <c r="B84" i="9"/>
  <c r="B85" i="9"/>
  <c r="B86" i="9"/>
  <c r="B87" i="9"/>
  <c r="B88" i="9"/>
  <c r="B89" i="9"/>
  <c r="B90" i="9"/>
  <c r="J90" i="9" s="1"/>
  <c r="B91" i="9"/>
  <c r="B92" i="9"/>
  <c r="B93" i="9"/>
  <c r="B94" i="9"/>
  <c r="B95" i="9"/>
  <c r="B96" i="9"/>
  <c r="B97" i="9"/>
  <c r="B98" i="9"/>
  <c r="B99" i="9"/>
  <c r="B100" i="9"/>
  <c r="B101" i="9"/>
  <c r="B102" i="9"/>
  <c r="B103" i="9"/>
  <c r="B104" i="9"/>
  <c r="B105" i="9"/>
  <c r="B106" i="9"/>
  <c r="B107" i="9"/>
  <c r="B108" i="9"/>
  <c r="B109" i="9"/>
  <c r="B110" i="9"/>
  <c r="B111" i="9"/>
  <c r="B112" i="9"/>
  <c r="B113" i="9"/>
  <c r="B114" i="9"/>
  <c r="J114" i="9" s="1"/>
  <c r="B115" i="9"/>
  <c r="B116" i="9"/>
  <c r="B117" i="9"/>
  <c r="B118" i="9"/>
  <c r="B119" i="9"/>
  <c r="B120" i="9"/>
  <c r="B121" i="9"/>
  <c r="J82" i="9"/>
  <c r="B2" i="9"/>
  <c r="A121" i="9"/>
  <c r="A120" i="9"/>
  <c r="A119" i="9"/>
  <c r="J119" i="9" s="1"/>
  <c r="J118" i="9"/>
  <c r="A118" i="9"/>
  <c r="A117" i="9"/>
  <c r="A116" i="9"/>
  <c r="J116" i="9" s="1"/>
  <c r="A115" i="9"/>
  <c r="A114" i="9"/>
  <c r="A113" i="9"/>
  <c r="A112" i="9"/>
  <c r="A111" i="9"/>
  <c r="A110" i="9"/>
  <c r="J110" i="9" s="1"/>
  <c r="A109" i="9"/>
  <c r="J109" i="9" s="1"/>
  <c r="A108" i="9"/>
  <c r="A107" i="9"/>
  <c r="A106" i="9"/>
  <c r="A105" i="9"/>
  <c r="A104" i="9"/>
  <c r="A103" i="9"/>
  <c r="A102" i="9"/>
  <c r="J102" i="9" s="1"/>
  <c r="A101" i="9"/>
  <c r="J101" i="9" s="1"/>
  <c r="A100" i="9"/>
  <c r="J100" i="9" s="1"/>
  <c r="A99" i="9"/>
  <c r="A98" i="9"/>
  <c r="A97" i="9"/>
  <c r="A96" i="9"/>
  <c r="J96" i="9" s="1"/>
  <c r="A95" i="9"/>
  <c r="A94" i="9"/>
  <c r="J94" i="9" s="1"/>
  <c r="A93" i="9"/>
  <c r="A92" i="9"/>
  <c r="A91" i="9"/>
  <c r="A90" i="9"/>
  <c r="A89" i="9"/>
  <c r="A88" i="9"/>
  <c r="J88" i="9" s="1"/>
  <c r="A87" i="9"/>
  <c r="A86" i="9"/>
  <c r="J86" i="9" s="1"/>
  <c r="A85" i="9"/>
  <c r="A84" i="9"/>
  <c r="J84" i="9" s="1"/>
  <c r="A83" i="9"/>
  <c r="J83" i="9" s="1"/>
  <c r="A82" i="9"/>
  <c r="A81" i="9"/>
  <c r="A80" i="9"/>
  <c r="J80" i="9" s="1"/>
  <c r="A79" i="9"/>
  <c r="A78" i="9"/>
  <c r="J78" i="9" s="1"/>
  <c r="A77" i="9"/>
  <c r="A76" i="9"/>
  <c r="A75" i="9"/>
  <c r="A74" i="9"/>
  <c r="A73" i="9"/>
  <c r="I73" i="9" s="1"/>
  <c r="A72" i="9"/>
  <c r="J72" i="9" s="1"/>
  <c r="A71" i="9"/>
  <c r="I71" i="9" s="1"/>
  <c r="A70" i="9"/>
  <c r="I70" i="9" s="1"/>
  <c r="A69" i="9"/>
  <c r="I69" i="9" s="1"/>
  <c r="A68" i="9"/>
  <c r="J68" i="9" s="1"/>
  <c r="A67" i="9"/>
  <c r="I67" i="9" s="1"/>
  <c r="A66" i="9"/>
  <c r="I66" i="9" s="1"/>
  <c r="A65" i="9"/>
  <c r="I65" i="9" s="1"/>
  <c r="A64" i="9"/>
  <c r="J64" i="9" s="1"/>
  <c r="A63" i="9"/>
  <c r="I63" i="9" s="1"/>
  <c r="A62" i="9"/>
  <c r="I62" i="9" s="1"/>
  <c r="A61" i="9"/>
  <c r="I61" i="9" s="1"/>
  <c r="A60" i="9"/>
  <c r="J60" i="9" s="1"/>
  <c r="A59" i="9"/>
  <c r="I59" i="9" s="1"/>
  <c r="A58" i="9"/>
  <c r="I58" i="9" s="1"/>
  <c r="A57" i="9"/>
  <c r="I57" i="9" s="1"/>
  <c r="A56" i="9"/>
  <c r="J56" i="9" s="1"/>
  <c r="A55" i="9"/>
  <c r="I55" i="9" s="1"/>
  <c r="A54" i="9"/>
  <c r="I54" i="9" s="1"/>
  <c r="A53" i="9"/>
  <c r="I53" i="9" s="1"/>
  <c r="A52" i="9"/>
  <c r="J52" i="9" s="1"/>
  <c r="A51" i="9"/>
  <c r="I51" i="9" s="1"/>
  <c r="A50" i="9"/>
  <c r="I50" i="9" s="1"/>
  <c r="A49" i="9"/>
  <c r="A48" i="9"/>
  <c r="A47" i="9"/>
  <c r="J47" i="9" s="1"/>
  <c r="A46" i="9"/>
  <c r="J46" i="9" s="1"/>
  <c r="A45" i="9"/>
  <c r="A44" i="9"/>
  <c r="J44" i="9" s="1"/>
  <c r="A43" i="9"/>
  <c r="J43" i="9" s="1"/>
  <c r="A42" i="9"/>
  <c r="A41" i="9"/>
  <c r="A40" i="9"/>
  <c r="J40" i="9" s="1"/>
  <c r="A39" i="9"/>
  <c r="A38" i="9"/>
  <c r="J38" i="9" s="1"/>
  <c r="A37" i="9"/>
  <c r="A36" i="9"/>
  <c r="A35" i="9"/>
  <c r="A34" i="9"/>
  <c r="A33" i="9"/>
  <c r="A32" i="9"/>
  <c r="A31" i="9"/>
  <c r="A30" i="9"/>
  <c r="A29" i="9"/>
  <c r="A28" i="9"/>
  <c r="A27" i="9"/>
  <c r="A26" i="9"/>
  <c r="A25" i="9"/>
  <c r="A24" i="9"/>
  <c r="A23" i="9"/>
  <c r="A22" i="9"/>
  <c r="A21" i="9"/>
  <c r="A20" i="9"/>
  <c r="A19" i="9"/>
  <c r="A18" i="9"/>
  <c r="A17" i="9"/>
  <c r="A16" i="9"/>
  <c r="A15" i="9"/>
  <c r="A14" i="9"/>
  <c r="A13" i="9"/>
  <c r="A12" i="9"/>
  <c r="A11" i="9"/>
  <c r="A10" i="9"/>
  <c r="A9" i="9"/>
  <c r="A8" i="9"/>
  <c r="A7" i="9"/>
  <c r="A6" i="9"/>
  <c r="A5" i="9"/>
  <c r="A4" i="9"/>
  <c r="A3" i="9"/>
  <c r="A2" i="9"/>
  <c r="C3" i="8"/>
  <c r="D3" i="8"/>
  <c r="E3" i="8"/>
  <c r="C4" i="8"/>
  <c r="D4" i="8"/>
  <c r="E4" i="8"/>
  <c r="C5" i="8"/>
  <c r="D5" i="8"/>
  <c r="E5" i="8"/>
  <c r="C6" i="8"/>
  <c r="D6" i="8"/>
  <c r="E6" i="8"/>
  <c r="C7" i="8"/>
  <c r="D7" i="8"/>
  <c r="E7" i="8"/>
  <c r="C8" i="8"/>
  <c r="D8" i="8"/>
  <c r="E8" i="8"/>
  <c r="C9" i="8"/>
  <c r="D9" i="8"/>
  <c r="E9" i="8"/>
  <c r="C10" i="8"/>
  <c r="D10" i="8"/>
  <c r="E10" i="8"/>
  <c r="C11" i="8"/>
  <c r="D11" i="8"/>
  <c r="E11" i="8"/>
  <c r="C12" i="8"/>
  <c r="D12" i="8"/>
  <c r="E12" i="8"/>
  <c r="C13" i="8"/>
  <c r="D13" i="8"/>
  <c r="E13" i="8"/>
  <c r="C14" i="8"/>
  <c r="D14" i="8"/>
  <c r="E14" i="8"/>
  <c r="C15" i="8"/>
  <c r="D15" i="8"/>
  <c r="E15" i="8"/>
  <c r="C16" i="8"/>
  <c r="D16" i="8"/>
  <c r="E16" i="8"/>
  <c r="C17" i="8"/>
  <c r="D17" i="8"/>
  <c r="E17" i="8"/>
  <c r="C18" i="8"/>
  <c r="D18" i="8"/>
  <c r="E18" i="8"/>
  <c r="C19" i="8"/>
  <c r="D19" i="8"/>
  <c r="E19" i="8"/>
  <c r="C20" i="8"/>
  <c r="D20" i="8"/>
  <c r="E20" i="8"/>
  <c r="C21" i="8"/>
  <c r="D21" i="8"/>
  <c r="E21" i="8"/>
  <c r="C22" i="8"/>
  <c r="D22" i="8"/>
  <c r="E22" i="8"/>
  <c r="C23" i="8"/>
  <c r="D23" i="8"/>
  <c r="E23" i="8"/>
  <c r="C24" i="8"/>
  <c r="D24" i="8"/>
  <c r="E24" i="8"/>
  <c r="C25" i="8"/>
  <c r="D25" i="8"/>
  <c r="E25" i="8"/>
  <c r="C26" i="8"/>
  <c r="D26" i="8"/>
  <c r="E26" i="8"/>
  <c r="C27" i="8"/>
  <c r="D27" i="8"/>
  <c r="E27" i="8"/>
  <c r="C28" i="8"/>
  <c r="D28" i="8"/>
  <c r="E28" i="8"/>
  <c r="C29" i="8"/>
  <c r="D29" i="8"/>
  <c r="E29" i="8"/>
  <c r="C30" i="8"/>
  <c r="D30" i="8"/>
  <c r="E30" i="8"/>
  <c r="C31" i="8"/>
  <c r="D31" i="8"/>
  <c r="E31" i="8"/>
  <c r="C32" i="8"/>
  <c r="D32" i="8"/>
  <c r="E32" i="8"/>
  <c r="C33" i="8"/>
  <c r="D33" i="8"/>
  <c r="E33" i="8"/>
  <c r="C34" i="8"/>
  <c r="D34" i="8"/>
  <c r="E34" i="8"/>
  <c r="C35" i="8"/>
  <c r="D35" i="8"/>
  <c r="E35" i="8"/>
  <c r="C36" i="8"/>
  <c r="D36" i="8"/>
  <c r="E36" i="8"/>
  <c r="C37" i="8"/>
  <c r="D37" i="8"/>
  <c r="E37" i="8"/>
  <c r="C38" i="8"/>
  <c r="D38" i="8"/>
  <c r="E38" i="8"/>
  <c r="C39" i="8"/>
  <c r="D39" i="8"/>
  <c r="E39" i="8"/>
  <c r="C40" i="8"/>
  <c r="D40" i="8"/>
  <c r="E40" i="8"/>
  <c r="C41" i="8"/>
  <c r="D41" i="8"/>
  <c r="E41" i="8"/>
  <c r="C42" i="8"/>
  <c r="D42" i="8"/>
  <c r="E42" i="8"/>
  <c r="C43" i="8"/>
  <c r="D43" i="8"/>
  <c r="E43" i="8"/>
  <c r="C44" i="8"/>
  <c r="D44" i="8"/>
  <c r="E44" i="8"/>
  <c r="C45" i="8"/>
  <c r="D45" i="8"/>
  <c r="E45" i="8"/>
  <c r="C46" i="8"/>
  <c r="D46" i="8"/>
  <c r="E46" i="8"/>
  <c r="C47" i="8"/>
  <c r="D47" i="8"/>
  <c r="E47" i="8"/>
  <c r="C48" i="8"/>
  <c r="D48" i="8"/>
  <c r="E48" i="8"/>
  <c r="C49" i="8"/>
  <c r="D49" i="8"/>
  <c r="E49" i="8"/>
  <c r="C50" i="8"/>
  <c r="D50" i="8"/>
  <c r="E50" i="8"/>
  <c r="C51" i="8"/>
  <c r="D51" i="8"/>
  <c r="E51" i="8"/>
  <c r="C52" i="8"/>
  <c r="D52" i="8"/>
  <c r="E52" i="8"/>
  <c r="C53" i="8"/>
  <c r="D53" i="8"/>
  <c r="E53" i="8"/>
  <c r="C54" i="8"/>
  <c r="D54" i="8"/>
  <c r="E54" i="8"/>
  <c r="C55" i="8"/>
  <c r="D55" i="8"/>
  <c r="E55" i="8"/>
  <c r="C56" i="8"/>
  <c r="D56" i="8"/>
  <c r="E56" i="8"/>
  <c r="C57" i="8"/>
  <c r="D57" i="8"/>
  <c r="E57" i="8"/>
  <c r="C58" i="8"/>
  <c r="D58" i="8"/>
  <c r="E58" i="8"/>
  <c r="C59" i="8"/>
  <c r="D59" i="8"/>
  <c r="E59" i="8"/>
  <c r="C60" i="8"/>
  <c r="D60" i="8"/>
  <c r="E60" i="8"/>
  <c r="C61" i="8"/>
  <c r="D61" i="8"/>
  <c r="E61" i="8"/>
  <c r="C62" i="8"/>
  <c r="D62" i="8"/>
  <c r="E62" i="8"/>
  <c r="C63" i="8"/>
  <c r="D63" i="8"/>
  <c r="E63" i="8"/>
  <c r="C64" i="8"/>
  <c r="D64" i="8"/>
  <c r="E64" i="8"/>
  <c r="C65" i="8"/>
  <c r="D65" i="8"/>
  <c r="E65" i="8"/>
  <c r="C66" i="8"/>
  <c r="D66" i="8"/>
  <c r="E66" i="8"/>
  <c r="C67" i="8"/>
  <c r="D67" i="8"/>
  <c r="E67" i="8"/>
  <c r="C68" i="8"/>
  <c r="D68" i="8"/>
  <c r="E68" i="8"/>
  <c r="C69" i="8"/>
  <c r="D69" i="8"/>
  <c r="E69" i="8"/>
  <c r="C70" i="8"/>
  <c r="D70" i="8"/>
  <c r="E70" i="8"/>
  <c r="C71" i="8"/>
  <c r="D71" i="8"/>
  <c r="E71" i="8"/>
  <c r="C72" i="8"/>
  <c r="D72" i="8"/>
  <c r="E72" i="8"/>
  <c r="C73" i="8"/>
  <c r="D73" i="8"/>
  <c r="E73" i="8"/>
  <c r="C74" i="8"/>
  <c r="D74" i="8"/>
  <c r="E74" i="8"/>
  <c r="C75" i="8"/>
  <c r="D75" i="8"/>
  <c r="E75" i="8"/>
  <c r="C76" i="8"/>
  <c r="D76" i="8"/>
  <c r="E76" i="8"/>
  <c r="C77" i="8"/>
  <c r="D77" i="8"/>
  <c r="E77" i="8"/>
  <c r="C78" i="8"/>
  <c r="D78" i="8"/>
  <c r="E78" i="8"/>
  <c r="C79" i="8"/>
  <c r="D79" i="8"/>
  <c r="E79" i="8"/>
  <c r="C80" i="8"/>
  <c r="D80" i="8"/>
  <c r="E80" i="8"/>
  <c r="C81" i="8"/>
  <c r="D81" i="8"/>
  <c r="E81" i="8"/>
  <c r="C82" i="8"/>
  <c r="D82" i="8"/>
  <c r="E82" i="8"/>
  <c r="C83" i="8"/>
  <c r="D83" i="8"/>
  <c r="E83" i="8"/>
  <c r="C84" i="8"/>
  <c r="D84" i="8"/>
  <c r="E84" i="8"/>
  <c r="C85" i="8"/>
  <c r="D85" i="8"/>
  <c r="E85" i="8"/>
  <c r="C86" i="8"/>
  <c r="D86" i="8"/>
  <c r="E86" i="8"/>
  <c r="C87" i="8"/>
  <c r="D87" i="8"/>
  <c r="E87" i="8"/>
  <c r="C88" i="8"/>
  <c r="D88" i="8"/>
  <c r="E88" i="8"/>
  <c r="C89" i="8"/>
  <c r="D89" i="8"/>
  <c r="E89" i="8"/>
  <c r="C90" i="8"/>
  <c r="D90" i="8"/>
  <c r="E90" i="8"/>
  <c r="C91" i="8"/>
  <c r="D91" i="8"/>
  <c r="E91" i="8"/>
  <c r="C92" i="8"/>
  <c r="D92" i="8"/>
  <c r="E92" i="8"/>
  <c r="C93" i="8"/>
  <c r="D93" i="8"/>
  <c r="E93" i="8"/>
  <c r="C94" i="8"/>
  <c r="D94" i="8"/>
  <c r="E94" i="8"/>
  <c r="C95" i="8"/>
  <c r="D95" i="8"/>
  <c r="E95" i="8"/>
  <c r="C96" i="8"/>
  <c r="D96" i="8"/>
  <c r="E96" i="8"/>
  <c r="C97" i="8"/>
  <c r="D97" i="8"/>
  <c r="E97" i="8"/>
  <c r="C98" i="8"/>
  <c r="D98" i="8"/>
  <c r="E98" i="8"/>
  <c r="C99" i="8"/>
  <c r="D99" i="8"/>
  <c r="E99" i="8"/>
  <c r="C100" i="8"/>
  <c r="D100" i="8"/>
  <c r="E100" i="8"/>
  <c r="C101" i="8"/>
  <c r="D101" i="8"/>
  <c r="E101" i="8"/>
  <c r="C102" i="8"/>
  <c r="D102" i="8"/>
  <c r="E102" i="8"/>
  <c r="C103" i="8"/>
  <c r="D103" i="8"/>
  <c r="E103" i="8"/>
  <c r="C104" i="8"/>
  <c r="D104" i="8"/>
  <c r="E104" i="8"/>
  <c r="C105" i="8"/>
  <c r="D105" i="8"/>
  <c r="E105" i="8"/>
  <c r="C106" i="8"/>
  <c r="D106" i="8"/>
  <c r="E106" i="8"/>
  <c r="C107" i="8"/>
  <c r="D107" i="8"/>
  <c r="E107" i="8"/>
  <c r="C108" i="8"/>
  <c r="D108" i="8"/>
  <c r="E108" i="8"/>
  <c r="C109" i="8"/>
  <c r="D109" i="8"/>
  <c r="E109" i="8"/>
  <c r="C110" i="8"/>
  <c r="D110" i="8"/>
  <c r="E110" i="8"/>
  <c r="C111" i="8"/>
  <c r="D111" i="8"/>
  <c r="E111" i="8"/>
  <c r="C112" i="8"/>
  <c r="D112" i="8"/>
  <c r="E112" i="8"/>
  <c r="C113" i="8"/>
  <c r="D113" i="8"/>
  <c r="E113" i="8"/>
  <c r="C114" i="8"/>
  <c r="D114" i="8"/>
  <c r="E114" i="8"/>
  <c r="C115" i="8"/>
  <c r="D115" i="8"/>
  <c r="E115" i="8"/>
  <c r="C116" i="8"/>
  <c r="D116" i="8"/>
  <c r="E116" i="8"/>
  <c r="C117" i="8"/>
  <c r="D117" i="8"/>
  <c r="E117" i="8"/>
  <c r="C118" i="8"/>
  <c r="D118" i="8"/>
  <c r="E118" i="8"/>
  <c r="C119" i="8"/>
  <c r="D119" i="8"/>
  <c r="E119" i="8"/>
  <c r="C120" i="8"/>
  <c r="D120" i="8"/>
  <c r="E120" i="8"/>
  <c r="C121" i="8"/>
  <c r="D121" i="8"/>
  <c r="E121" i="8"/>
  <c r="E2" i="8"/>
  <c r="D2" i="8"/>
  <c r="C2"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2" i="8"/>
  <c r="A121" i="8"/>
  <c r="J121" i="8" s="1"/>
  <c r="A120" i="8"/>
  <c r="A119" i="8"/>
  <c r="A118" i="8"/>
  <c r="J118" i="8" s="1"/>
  <c r="J117" i="8"/>
  <c r="A117" i="8"/>
  <c r="A116" i="8"/>
  <c r="A115" i="8"/>
  <c r="A114" i="8"/>
  <c r="A113" i="8"/>
  <c r="J113" i="8" s="1"/>
  <c r="A112" i="8"/>
  <c r="A111" i="8"/>
  <c r="A110" i="8"/>
  <c r="J109" i="8"/>
  <c r="A109" i="8"/>
  <c r="A108" i="8"/>
  <c r="A107" i="8"/>
  <c r="A106" i="8"/>
  <c r="A105" i="8"/>
  <c r="A104" i="8"/>
  <c r="A103" i="8"/>
  <c r="A102" i="8"/>
  <c r="A101" i="8"/>
  <c r="J101" i="8" s="1"/>
  <c r="A100" i="8"/>
  <c r="A99" i="8"/>
  <c r="A98" i="8"/>
  <c r="A97" i="8"/>
  <c r="J96" i="8"/>
  <c r="A96" i="8"/>
  <c r="A95" i="8"/>
  <c r="A94" i="8"/>
  <c r="A93" i="8"/>
  <c r="A92" i="8"/>
  <c r="A91" i="8"/>
  <c r="A90" i="8"/>
  <c r="A89" i="8"/>
  <c r="J88" i="8"/>
  <c r="A88" i="8"/>
  <c r="A87" i="8"/>
  <c r="A86" i="8"/>
  <c r="J86" i="8" s="1"/>
  <c r="A85" i="8"/>
  <c r="A84" i="8"/>
  <c r="A83" i="8"/>
  <c r="A82" i="8"/>
  <c r="A81" i="8"/>
  <c r="A80" i="8"/>
  <c r="A79" i="8"/>
  <c r="A78" i="8"/>
  <c r="J77" i="8"/>
  <c r="A77" i="8"/>
  <c r="A76" i="8"/>
  <c r="A75" i="8"/>
  <c r="A74" i="8"/>
  <c r="A73" i="8"/>
  <c r="I73" i="8" s="1"/>
  <c r="A72" i="8"/>
  <c r="I72" i="8" s="1"/>
  <c r="A71" i="8"/>
  <c r="I71" i="8" s="1"/>
  <c r="A70" i="8"/>
  <c r="J70" i="8" s="1"/>
  <c r="A69" i="8"/>
  <c r="I69" i="8" s="1"/>
  <c r="A68" i="8"/>
  <c r="I68" i="8" s="1"/>
  <c r="A67" i="8"/>
  <c r="I67" i="8" s="1"/>
  <c r="A66" i="8"/>
  <c r="I66" i="8" s="1"/>
  <c r="A65" i="8"/>
  <c r="I65" i="8" s="1"/>
  <c r="A64" i="8"/>
  <c r="I64" i="8" s="1"/>
  <c r="J63" i="8"/>
  <c r="A63" i="8"/>
  <c r="I63" i="8" s="1"/>
  <c r="A62" i="8"/>
  <c r="J62" i="8" s="1"/>
  <c r="A61" i="8"/>
  <c r="I61" i="8" s="1"/>
  <c r="A60" i="8"/>
  <c r="I60" i="8" s="1"/>
  <c r="A59" i="8"/>
  <c r="I59" i="8" s="1"/>
  <c r="A58" i="8"/>
  <c r="I58" i="8" s="1"/>
  <c r="A57" i="8"/>
  <c r="I57" i="8" s="1"/>
  <c r="A56" i="8"/>
  <c r="I56" i="8" s="1"/>
  <c r="A55" i="8"/>
  <c r="I55" i="8" s="1"/>
  <c r="A54" i="8"/>
  <c r="I54" i="8" s="1"/>
  <c r="A53" i="8"/>
  <c r="I53" i="8" s="1"/>
  <c r="A52" i="8"/>
  <c r="I52" i="8" s="1"/>
  <c r="A51" i="8"/>
  <c r="I51" i="8" s="1"/>
  <c r="A50" i="8"/>
  <c r="I50" i="8" s="1"/>
  <c r="A49" i="8"/>
  <c r="A48" i="8"/>
  <c r="J48" i="8" s="1"/>
  <c r="A47" i="8"/>
  <c r="A46" i="8"/>
  <c r="A45" i="8"/>
  <c r="A44" i="8"/>
  <c r="A43" i="8"/>
  <c r="A42" i="8"/>
  <c r="A41" i="8"/>
  <c r="A40" i="8"/>
  <c r="J40" i="8" s="1"/>
  <c r="A39" i="8"/>
  <c r="A38" i="8"/>
  <c r="A37" i="8"/>
  <c r="A36" i="8"/>
  <c r="A35" i="8"/>
  <c r="A34" i="8"/>
  <c r="A33" i="8"/>
  <c r="A32" i="8"/>
  <c r="A31" i="8"/>
  <c r="A30" i="8"/>
  <c r="A29" i="8"/>
  <c r="A28" i="8"/>
  <c r="A27" i="8"/>
  <c r="A26" i="8"/>
  <c r="A25" i="8"/>
  <c r="A24" i="8"/>
  <c r="A23" i="8"/>
  <c r="A22" i="8"/>
  <c r="A21" i="8"/>
  <c r="A20" i="8"/>
  <c r="A19" i="8"/>
  <c r="A18" i="8"/>
  <c r="A17" i="8"/>
  <c r="A16" i="8"/>
  <c r="A15" i="8"/>
  <c r="A14" i="8"/>
  <c r="A13" i="8"/>
  <c r="A12" i="8"/>
  <c r="A11" i="8"/>
  <c r="A10" i="8"/>
  <c r="A9" i="8"/>
  <c r="A8" i="8"/>
  <c r="A7" i="8"/>
  <c r="A6" i="8"/>
  <c r="A5" i="8"/>
  <c r="A4" i="8"/>
  <c r="A3" i="8"/>
  <c r="A2" i="8"/>
  <c r="C6" i="7"/>
  <c r="J39" i="5" a="1"/>
  <c r="J39" i="5" s="1"/>
  <c r="J40" i="5" a="1"/>
  <c r="J40" i="5" s="1"/>
  <c r="J41" i="5" a="1"/>
  <c r="J41" i="5" s="1"/>
  <c r="J42" i="5" a="1"/>
  <c r="J42" i="5" s="1"/>
  <c r="J43" i="5" a="1"/>
  <c r="J43" i="5" s="1"/>
  <c r="J44" i="5" a="1"/>
  <c r="J44" i="5" s="1"/>
  <c r="J45" i="5" a="1"/>
  <c r="J45" i="5" s="1"/>
  <c r="J46" i="5" a="1"/>
  <c r="J46" i="5" s="1"/>
  <c r="J47" i="5" a="1"/>
  <c r="J47" i="5" s="1"/>
  <c r="J48" i="5" a="1"/>
  <c r="J48" i="5" s="1"/>
  <c r="J49" i="5" a="1"/>
  <c r="J49" i="5" s="1"/>
  <c r="J50" i="5" a="1"/>
  <c r="J50" i="5" s="1"/>
  <c r="J51" i="5" a="1"/>
  <c r="J51" i="5" s="1"/>
  <c r="J52" i="5" a="1"/>
  <c r="J52" i="5" s="1"/>
  <c r="J53" i="5" a="1"/>
  <c r="J53" i="5" s="1"/>
  <c r="J54" i="5" a="1"/>
  <c r="J54" i="5" s="1"/>
  <c r="J55" i="5" a="1"/>
  <c r="J55" i="5" s="1"/>
  <c r="J56" i="5" a="1"/>
  <c r="J56" i="5" s="1"/>
  <c r="J57" i="5" a="1"/>
  <c r="J57" i="5" s="1"/>
  <c r="J58" i="5" a="1"/>
  <c r="J58" i="5" s="1"/>
  <c r="J59" i="5" a="1"/>
  <c r="J59" i="5" s="1"/>
  <c r="J60" i="5" a="1"/>
  <c r="J60" i="5" s="1"/>
  <c r="J61" i="5" a="1"/>
  <c r="J61" i="5" s="1"/>
  <c r="J62" i="5" a="1"/>
  <c r="J62" i="5" s="1"/>
  <c r="J63" i="5" a="1"/>
  <c r="J63" i="5" s="1"/>
  <c r="J64" i="5" a="1"/>
  <c r="J64" i="5" s="1"/>
  <c r="J65" i="5" a="1"/>
  <c r="J65" i="5" s="1"/>
  <c r="J66" i="5" a="1"/>
  <c r="J66" i="5" s="1"/>
  <c r="J67" i="5" a="1"/>
  <c r="J67" i="5" s="1"/>
  <c r="J68" i="5" a="1"/>
  <c r="J68" i="5" s="1"/>
  <c r="J69" i="5" a="1"/>
  <c r="J69" i="5" s="1"/>
  <c r="J70" i="5" a="1"/>
  <c r="J70" i="5" s="1"/>
  <c r="J71" i="5" a="1"/>
  <c r="J71" i="5" s="1"/>
  <c r="J72" i="5" a="1"/>
  <c r="J72" i="5" s="1"/>
  <c r="J73" i="5" a="1"/>
  <c r="J73" i="5" s="1"/>
  <c r="J74" i="5" a="1"/>
  <c r="J74" i="5" s="1"/>
  <c r="J75" i="5" a="1"/>
  <c r="J75" i="5" s="1"/>
  <c r="J76" i="5" a="1"/>
  <c r="J76" i="5" s="1"/>
  <c r="J77" i="5" a="1"/>
  <c r="J77" i="5" s="1"/>
  <c r="J78" i="5" a="1"/>
  <c r="J78" i="5" s="1"/>
  <c r="J79" i="5" a="1"/>
  <c r="J79" i="5" s="1"/>
  <c r="J80" i="5" a="1"/>
  <c r="J80" i="5" s="1"/>
  <c r="J81" i="5" a="1"/>
  <c r="J81" i="5" s="1"/>
  <c r="J82" i="5" a="1"/>
  <c r="J82" i="5" s="1"/>
  <c r="J83" i="5" a="1"/>
  <c r="J83" i="5" s="1"/>
  <c r="J84" i="5" a="1"/>
  <c r="J84" i="5" s="1"/>
  <c r="J85" i="5" a="1"/>
  <c r="J85" i="5" s="1"/>
  <c r="J86" i="5" a="1"/>
  <c r="J86" i="5" s="1"/>
  <c r="J87" i="5" a="1"/>
  <c r="J87" i="5" s="1"/>
  <c r="J88" i="5" a="1"/>
  <c r="J88" i="5" s="1"/>
  <c r="J89" i="5" a="1"/>
  <c r="J89" i="5" s="1"/>
  <c r="J90" i="5" a="1"/>
  <c r="J90" i="5" s="1"/>
  <c r="J91" i="5" a="1"/>
  <c r="J91" i="5" s="1"/>
  <c r="J92" i="5" a="1"/>
  <c r="J92" i="5" s="1"/>
  <c r="J93" i="5" a="1"/>
  <c r="J93" i="5" s="1"/>
  <c r="J94" i="5" a="1"/>
  <c r="J94" i="5" s="1"/>
  <c r="J95" i="5" a="1"/>
  <c r="J95" i="5" s="1"/>
  <c r="J96" i="5" a="1"/>
  <c r="J96" i="5" s="1"/>
  <c r="J97" i="5" a="1"/>
  <c r="J97" i="5" s="1"/>
  <c r="J98" i="5" a="1"/>
  <c r="J98" i="5" s="1"/>
  <c r="J99" i="5" a="1"/>
  <c r="J99" i="5" s="1"/>
  <c r="J100" i="5" a="1"/>
  <c r="J100" i="5" s="1"/>
  <c r="J101" i="5" a="1"/>
  <c r="J101" i="5" s="1"/>
  <c r="J102" i="5" a="1"/>
  <c r="J102" i="5" s="1"/>
  <c r="J103" i="5" a="1"/>
  <c r="J103" i="5" s="1"/>
  <c r="J104" i="5" a="1"/>
  <c r="J104" i="5" s="1"/>
  <c r="J105" i="5" a="1"/>
  <c r="J105" i="5" s="1"/>
  <c r="J106" i="5" a="1"/>
  <c r="J106" i="5" s="1"/>
  <c r="J107" i="5" a="1"/>
  <c r="J107" i="5" s="1"/>
  <c r="J108" i="5" a="1"/>
  <c r="J108" i="5" s="1"/>
  <c r="J109" i="5" a="1"/>
  <c r="J109" i="5" s="1"/>
  <c r="J110" i="5" a="1"/>
  <c r="J110" i="5" s="1"/>
  <c r="J111" i="5" a="1"/>
  <c r="J111" i="5" s="1"/>
  <c r="J112" i="5" a="1"/>
  <c r="J112" i="5" s="1"/>
  <c r="J113" i="5" a="1"/>
  <c r="J113" i="5" s="1"/>
  <c r="J114" i="5" a="1"/>
  <c r="J114" i="5" s="1"/>
  <c r="J115" i="5" a="1"/>
  <c r="J115" i="5" s="1"/>
  <c r="J116" i="5" a="1"/>
  <c r="J116" i="5" s="1"/>
  <c r="J117" i="5" a="1"/>
  <c r="J117" i="5" s="1"/>
  <c r="J118" i="5" a="1"/>
  <c r="J118" i="5" s="1"/>
  <c r="J119" i="5" a="1"/>
  <c r="J119" i="5" s="1"/>
  <c r="J120" i="5" a="1"/>
  <c r="J120" i="5" s="1"/>
  <c r="J121" i="5" a="1"/>
  <c r="J121" i="5" s="1"/>
  <c r="J38" i="5" a="1"/>
  <c r="J38" i="5" s="1"/>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C3" i="7"/>
  <c r="C4" i="7"/>
  <c r="C5"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2" i="7"/>
  <c r="E2" i="7"/>
  <c r="D121" i="7"/>
  <c r="B121" i="7"/>
  <c r="A121" i="7"/>
  <c r="D120" i="7"/>
  <c r="B120" i="7"/>
  <c r="A120" i="7"/>
  <c r="D119" i="7"/>
  <c r="B119" i="7"/>
  <c r="A119" i="7"/>
  <c r="D118" i="7"/>
  <c r="B118" i="7"/>
  <c r="A118" i="7"/>
  <c r="D117" i="7"/>
  <c r="B117" i="7"/>
  <c r="A117" i="7"/>
  <c r="D116" i="7"/>
  <c r="B116" i="7"/>
  <c r="A116" i="7"/>
  <c r="D115" i="7"/>
  <c r="B115" i="7"/>
  <c r="A115" i="7"/>
  <c r="D114" i="7"/>
  <c r="B114" i="7"/>
  <c r="A114" i="7"/>
  <c r="D113" i="7"/>
  <c r="B113" i="7"/>
  <c r="A113" i="7"/>
  <c r="D112" i="7"/>
  <c r="B112" i="7"/>
  <c r="A112" i="7"/>
  <c r="D111" i="7"/>
  <c r="B111" i="7"/>
  <c r="A111" i="7"/>
  <c r="D110" i="7"/>
  <c r="B110" i="7"/>
  <c r="A110" i="7"/>
  <c r="D109" i="7"/>
  <c r="B109" i="7"/>
  <c r="A109" i="7"/>
  <c r="D108" i="7"/>
  <c r="B108" i="7"/>
  <c r="A108" i="7"/>
  <c r="D107" i="7"/>
  <c r="B107" i="7"/>
  <c r="A107" i="7"/>
  <c r="D106" i="7"/>
  <c r="B106" i="7"/>
  <c r="A106" i="7"/>
  <c r="D105" i="7"/>
  <c r="B105" i="7"/>
  <c r="A105" i="7"/>
  <c r="D104" i="7"/>
  <c r="B104" i="7"/>
  <c r="A104" i="7"/>
  <c r="D103" i="7"/>
  <c r="B103" i="7"/>
  <c r="A103" i="7"/>
  <c r="D102" i="7"/>
  <c r="B102" i="7"/>
  <c r="A102" i="7"/>
  <c r="D101" i="7"/>
  <c r="B101" i="7"/>
  <c r="A101" i="7"/>
  <c r="D100" i="7"/>
  <c r="B100" i="7"/>
  <c r="A100" i="7"/>
  <c r="D99" i="7"/>
  <c r="B99" i="7"/>
  <c r="A99" i="7"/>
  <c r="D98" i="7"/>
  <c r="B98" i="7"/>
  <c r="A98" i="7"/>
  <c r="J98" i="7" s="1"/>
  <c r="D97" i="7"/>
  <c r="B97" i="7"/>
  <c r="A97" i="7"/>
  <c r="D96" i="7"/>
  <c r="B96" i="7"/>
  <c r="A96" i="7"/>
  <c r="D95" i="7"/>
  <c r="B95" i="7"/>
  <c r="A95" i="7"/>
  <c r="D94" i="7"/>
  <c r="B94" i="7"/>
  <c r="A94" i="7"/>
  <c r="D93" i="7"/>
  <c r="B93" i="7"/>
  <c r="A93" i="7"/>
  <c r="D92" i="7"/>
  <c r="B92" i="7"/>
  <c r="A92" i="7"/>
  <c r="D91" i="7"/>
  <c r="B91" i="7"/>
  <c r="A91" i="7"/>
  <c r="D90" i="7"/>
  <c r="B90" i="7"/>
  <c r="A90" i="7"/>
  <c r="D89" i="7"/>
  <c r="B89" i="7"/>
  <c r="A89" i="7"/>
  <c r="D88" i="7"/>
  <c r="B88" i="7"/>
  <c r="A88" i="7"/>
  <c r="D87" i="7"/>
  <c r="B87" i="7"/>
  <c r="A87" i="7"/>
  <c r="D86" i="7"/>
  <c r="B86" i="7"/>
  <c r="A86" i="7"/>
  <c r="D85" i="7"/>
  <c r="B85" i="7"/>
  <c r="A85" i="7"/>
  <c r="D84" i="7"/>
  <c r="B84" i="7"/>
  <c r="A84" i="7"/>
  <c r="D83" i="7"/>
  <c r="B83" i="7"/>
  <c r="A83" i="7"/>
  <c r="D82" i="7"/>
  <c r="B82" i="7"/>
  <c r="A82" i="7"/>
  <c r="D81" i="7"/>
  <c r="B81" i="7"/>
  <c r="A81" i="7"/>
  <c r="D80" i="7"/>
  <c r="B80" i="7"/>
  <c r="A80" i="7"/>
  <c r="D79" i="7"/>
  <c r="B79" i="7"/>
  <c r="A79" i="7"/>
  <c r="D78" i="7"/>
  <c r="B78" i="7"/>
  <c r="A78" i="7"/>
  <c r="D77" i="7"/>
  <c r="B77" i="7"/>
  <c r="A77" i="7"/>
  <c r="D76" i="7"/>
  <c r="B76" i="7"/>
  <c r="A76" i="7"/>
  <c r="D75" i="7"/>
  <c r="B75" i="7"/>
  <c r="A75" i="7"/>
  <c r="D74" i="7"/>
  <c r="B74" i="7"/>
  <c r="A74" i="7"/>
  <c r="D73" i="7"/>
  <c r="B73" i="7"/>
  <c r="A73" i="7"/>
  <c r="J73" i="7" s="1"/>
  <c r="D72" i="7"/>
  <c r="B72" i="7"/>
  <c r="A72" i="7"/>
  <c r="I72" i="7" s="1"/>
  <c r="D71" i="7"/>
  <c r="B71" i="7"/>
  <c r="A71" i="7"/>
  <c r="I71" i="7" s="1"/>
  <c r="D70" i="7"/>
  <c r="B70" i="7"/>
  <c r="A70" i="7"/>
  <c r="I70" i="7" s="1"/>
  <c r="D69" i="7"/>
  <c r="B69" i="7"/>
  <c r="A69" i="7"/>
  <c r="J69" i="7" s="1"/>
  <c r="D68" i="7"/>
  <c r="B68" i="7"/>
  <c r="A68" i="7"/>
  <c r="I68" i="7" s="1"/>
  <c r="D67" i="7"/>
  <c r="B67" i="7"/>
  <c r="A67" i="7"/>
  <c r="I67" i="7" s="1"/>
  <c r="D66" i="7"/>
  <c r="B66" i="7"/>
  <c r="A66" i="7"/>
  <c r="I66" i="7" s="1"/>
  <c r="D65" i="7"/>
  <c r="B65" i="7"/>
  <c r="A65" i="7"/>
  <c r="J65" i="7" s="1"/>
  <c r="D64" i="7"/>
  <c r="B64" i="7"/>
  <c r="A64" i="7"/>
  <c r="I64" i="7" s="1"/>
  <c r="D63" i="7"/>
  <c r="B63" i="7"/>
  <c r="A63" i="7"/>
  <c r="I63" i="7" s="1"/>
  <c r="D62" i="7"/>
  <c r="B62" i="7"/>
  <c r="A62" i="7"/>
  <c r="I62" i="7" s="1"/>
  <c r="D61" i="7"/>
  <c r="B61" i="7"/>
  <c r="A61" i="7"/>
  <c r="J61" i="7" s="1"/>
  <c r="D60" i="7"/>
  <c r="B60" i="7"/>
  <c r="A60" i="7"/>
  <c r="I60" i="7" s="1"/>
  <c r="D59" i="7"/>
  <c r="B59" i="7"/>
  <c r="A59" i="7"/>
  <c r="I59" i="7" s="1"/>
  <c r="D58" i="7"/>
  <c r="B58" i="7"/>
  <c r="A58" i="7"/>
  <c r="I58" i="7" s="1"/>
  <c r="D57" i="7"/>
  <c r="B57" i="7"/>
  <c r="A57" i="7"/>
  <c r="J57" i="7" s="1"/>
  <c r="D56" i="7"/>
  <c r="B56" i="7"/>
  <c r="A56" i="7"/>
  <c r="I56" i="7" s="1"/>
  <c r="D55" i="7"/>
  <c r="B55" i="7"/>
  <c r="A55" i="7"/>
  <c r="I55" i="7" s="1"/>
  <c r="D54" i="7"/>
  <c r="B54" i="7"/>
  <c r="A54" i="7"/>
  <c r="I54" i="7" s="1"/>
  <c r="D53" i="7"/>
  <c r="B53" i="7"/>
  <c r="A53" i="7"/>
  <c r="J53" i="7" s="1"/>
  <c r="D52" i="7"/>
  <c r="B52" i="7"/>
  <c r="A52" i="7"/>
  <c r="I52" i="7" s="1"/>
  <c r="D51" i="7"/>
  <c r="B51" i="7"/>
  <c r="A51" i="7"/>
  <c r="I51" i="7" s="1"/>
  <c r="D50" i="7"/>
  <c r="B50" i="7"/>
  <c r="A50" i="7"/>
  <c r="I50" i="7" s="1"/>
  <c r="D49" i="7"/>
  <c r="B49" i="7"/>
  <c r="A49" i="7"/>
  <c r="D48" i="7"/>
  <c r="B48" i="7"/>
  <c r="A48" i="7"/>
  <c r="D47" i="7"/>
  <c r="B47" i="7"/>
  <c r="A47" i="7"/>
  <c r="D46" i="7"/>
  <c r="B46" i="7"/>
  <c r="A46" i="7"/>
  <c r="D45" i="7"/>
  <c r="B45" i="7"/>
  <c r="A45" i="7"/>
  <c r="J45" i="7" s="1"/>
  <c r="D44" i="7"/>
  <c r="B44" i="7"/>
  <c r="A44" i="7"/>
  <c r="D43" i="7"/>
  <c r="B43" i="7"/>
  <c r="A43" i="7"/>
  <c r="D42" i="7"/>
  <c r="B42" i="7"/>
  <c r="A42" i="7"/>
  <c r="J42" i="7" s="1"/>
  <c r="D41" i="7"/>
  <c r="B41" i="7"/>
  <c r="A41" i="7"/>
  <c r="D40" i="7"/>
  <c r="B40" i="7"/>
  <c r="A40" i="7"/>
  <c r="D39" i="7"/>
  <c r="B39" i="7"/>
  <c r="A39" i="7"/>
  <c r="D38" i="7"/>
  <c r="B38" i="7"/>
  <c r="A38" i="7"/>
  <c r="D37" i="7"/>
  <c r="B37" i="7"/>
  <c r="A37" i="7"/>
  <c r="D36" i="7"/>
  <c r="B36" i="7"/>
  <c r="A36" i="7"/>
  <c r="D35" i="7"/>
  <c r="B35" i="7"/>
  <c r="A35" i="7"/>
  <c r="D34" i="7"/>
  <c r="B34" i="7"/>
  <c r="A34" i="7"/>
  <c r="D33" i="7"/>
  <c r="B33" i="7"/>
  <c r="A33" i="7"/>
  <c r="D32" i="7"/>
  <c r="B32" i="7"/>
  <c r="A32" i="7"/>
  <c r="D31" i="7"/>
  <c r="B31" i="7"/>
  <c r="A31" i="7"/>
  <c r="D30" i="7"/>
  <c r="B30" i="7"/>
  <c r="A30" i="7"/>
  <c r="D29" i="7"/>
  <c r="B29" i="7"/>
  <c r="A29" i="7"/>
  <c r="D28" i="7"/>
  <c r="B28" i="7"/>
  <c r="A28" i="7"/>
  <c r="D27" i="7"/>
  <c r="B27" i="7"/>
  <c r="A27" i="7"/>
  <c r="D26" i="7"/>
  <c r="B26" i="7"/>
  <c r="A26" i="7"/>
  <c r="D25" i="7"/>
  <c r="B25" i="7"/>
  <c r="A25" i="7"/>
  <c r="D24" i="7"/>
  <c r="B24" i="7"/>
  <c r="A24" i="7"/>
  <c r="D23" i="7"/>
  <c r="B23" i="7"/>
  <c r="A23" i="7"/>
  <c r="D22" i="7"/>
  <c r="B22" i="7"/>
  <c r="A22" i="7"/>
  <c r="D21" i="7"/>
  <c r="B21" i="7"/>
  <c r="A21" i="7"/>
  <c r="D20" i="7"/>
  <c r="B20" i="7"/>
  <c r="A20" i="7"/>
  <c r="D19" i="7"/>
  <c r="B19" i="7"/>
  <c r="A19" i="7"/>
  <c r="D18" i="7"/>
  <c r="B18" i="7"/>
  <c r="A18" i="7"/>
  <c r="D17" i="7"/>
  <c r="B17" i="7"/>
  <c r="A17" i="7"/>
  <c r="D16" i="7"/>
  <c r="B16" i="7"/>
  <c r="A16" i="7"/>
  <c r="D15" i="7"/>
  <c r="B15" i="7"/>
  <c r="A15" i="7"/>
  <c r="D14" i="7"/>
  <c r="B14" i="7"/>
  <c r="A14" i="7"/>
  <c r="D13" i="7"/>
  <c r="B13" i="7"/>
  <c r="A13" i="7"/>
  <c r="D12" i="7"/>
  <c r="B12" i="7"/>
  <c r="A12" i="7"/>
  <c r="D11" i="7"/>
  <c r="B11" i="7"/>
  <c r="A11" i="7"/>
  <c r="D10" i="7"/>
  <c r="B10" i="7"/>
  <c r="A10" i="7"/>
  <c r="D9" i="7"/>
  <c r="B9" i="7"/>
  <c r="A9" i="7"/>
  <c r="D8" i="7"/>
  <c r="B8" i="7"/>
  <c r="A8" i="7"/>
  <c r="D7" i="7"/>
  <c r="B7" i="7"/>
  <c r="A7" i="7"/>
  <c r="D6" i="7"/>
  <c r="B6" i="7"/>
  <c r="A6" i="7"/>
  <c r="D5" i="7"/>
  <c r="B5" i="7"/>
  <c r="A5" i="7"/>
  <c r="D4" i="7"/>
  <c r="B4" i="7"/>
  <c r="A4" i="7"/>
  <c r="D3" i="7"/>
  <c r="B3" i="7"/>
  <c r="A3" i="7"/>
  <c r="D2" i="7"/>
  <c r="B2" i="7"/>
  <c r="A2" i="7"/>
  <c r="B39" i="34" l="1"/>
  <c r="E38" i="34"/>
  <c r="BJ68" i="24"/>
  <c r="BI69" i="24"/>
  <c r="G33" i="32"/>
  <c r="H32" i="32"/>
  <c r="G30" i="34"/>
  <c r="B41" i="32"/>
  <c r="E40" i="32"/>
  <c r="G37" i="20"/>
  <c r="H37" i="20" s="1"/>
  <c r="F38" i="20"/>
  <c r="B41" i="20"/>
  <c r="E41" i="20" s="1"/>
  <c r="P2" i="16"/>
  <c r="F10" i="16"/>
  <c r="F11" i="16" s="1"/>
  <c r="F12" i="16" s="1"/>
  <c r="D10" i="16"/>
  <c r="D11" i="16" s="1"/>
  <c r="D12" i="16" s="1"/>
  <c r="B10" i="16"/>
  <c r="B11" i="16" s="1"/>
  <c r="B12" i="16" s="1"/>
  <c r="L2" i="16"/>
  <c r="F3" i="16"/>
  <c r="C67" i="17"/>
  <c r="C70" i="17"/>
  <c r="C73" i="17"/>
  <c r="C68" i="17"/>
  <c r="C69" i="17"/>
  <c r="C72" i="17"/>
  <c r="C75" i="17"/>
  <c r="C66" i="17"/>
  <c r="C71" i="17"/>
  <c r="C74" i="17"/>
  <c r="E3" i="16"/>
  <c r="C54" i="17"/>
  <c r="C55" i="17"/>
  <c r="C56" i="17"/>
  <c r="C58" i="17"/>
  <c r="C59" i="17"/>
  <c r="C48" i="17"/>
  <c r="C49" i="17"/>
  <c r="C50" i="17"/>
  <c r="C52" i="17"/>
  <c r="C53" i="17"/>
  <c r="C57" i="17"/>
  <c r="C60" i="17"/>
  <c r="C47" i="17"/>
  <c r="C46" i="17"/>
  <c r="C51" i="17"/>
  <c r="C61" i="17"/>
  <c r="C62" i="17"/>
  <c r="D3" i="16"/>
  <c r="C36" i="17"/>
  <c r="C37" i="17"/>
  <c r="C38" i="17"/>
  <c r="C39" i="17"/>
  <c r="C31" i="17"/>
  <c r="C32" i="17"/>
  <c r="C34" i="17"/>
  <c r="C40" i="17"/>
  <c r="C35" i="17"/>
  <c r="C33" i="17"/>
  <c r="O4" i="16"/>
  <c r="O5" i="16" s="1"/>
  <c r="O6" i="16" s="1"/>
  <c r="O7" i="16" s="1"/>
  <c r="O8" i="16" s="1"/>
  <c r="O9" i="16" s="1"/>
  <c r="O10" i="16" s="1"/>
  <c r="O11" i="16" s="1"/>
  <c r="O12" i="16" s="1"/>
  <c r="O13" i="16" s="1"/>
  <c r="O14" i="16" s="1"/>
  <c r="O15" i="16" s="1"/>
  <c r="O16" i="16" s="1"/>
  <c r="O17" i="16" s="1"/>
  <c r="O18" i="16" s="1"/>
  <c r="O19" i="16" s="1"/>
  <c r="O20" i="16" s="1"/>
  <c r="O21" i="16" s="1"/>
  <c r="O22" i="16" s="1"/>
  <c r="O23" i="16" s="1"/>
  <c r="O24" i="16" s="1"/>
  <c r="O25" i="16" s="1"/>
  <c r="O26" i="16" s="1"/>
  <c r="O27" i="16" s="1"/>
  <c r="O28" i="16" s="1"/>
  <c r="O29" i="16" s="1"/>
  <c r="O30" i="16" s="1"/>
  <c r="O31" i="16" s="1"/>
  <c r="O32" i="16" s="1"/>
  <c r="O33" i="16" s="1"/>
  <c r="O34" i="16" s="1"/>
  <c r="O35" i="16" s="1"/>
  <c r="O36" i="16" s="1"/>
  <c r="O37" i="16" s="1"/>
  <c r="O38" i="16" s="1"/>
  <c r="O39" i="16" s="1"/>
  <c r="O40" i="16" s="1"/>
  <c r="O41" i="16" s="1"/>
  <c r="O42" i="16" s="1"/>
  <c r="O43" i="16" s="1"/>
  <c r="O44" i="16" s="1"/>
  <c r="O45" i="16" s="1"/>
  <c r="O46" i="16" s="1"/>
  <c r="O47" i="16" s="1"/>
  <c r="O48" i="16" s="1"/>
  <c r="O49" i="16" s="1"/>
  <c r="O50" i="16" s="1"/>
  <c r="O51" i="16" s="1"/>
  <c r="O52" i="16" s="1"/>
  <c r="O53" i="16" s="1"/>
  <c r="O54" i="16" s="1"/>
  <c r="O55" i="16" s="1"/>
  <c r="O56" i="16" s="1"/>
  <c r="O57" i="16" s="1"/>
  <c r="O58" i="16" s="1"/>
  <c r="O59" i="16" s="1"/>
  <c r="O60" i="16" s="1"/>
  <c r="O61" i="16" s="1"/>
  <c r="O62" i="16" s="1"/>
  <c r="O63" i="16" s="1"/>
  <c r="O64" i="16" s="1"/>
  <c r="O65" i="16" s="1"/>
  <c r="O66" i="16" s="1"/>
  <c r="O67" i="16" s="1"/>
  <c r="O68" i="16" s="1"/>
  <c r="O69" i="16" s="1"/>
  <c r="O70" i="16" s="1"/>
  <c r="O71" i="16" s="1"/>
  <c r="O72" i="16" s="1"/>
  <c r="O73" i="16" s="1"/>
  <c r="O74" i="16" s="1"/>
  <c r="O75" i="16" s="1"/>
  <c r="O76" i="16" s="1"/>
  <c r="O77" i="16" s="1"/>
  <c r="O78" i="16" s="1"/>
  <c r="O79" i="16" s="1"/>
  <c r="O80" i="16" s="1"/>
  <c r="O81" i="16" s="1"/>
  <c r="O82" i="16" s="1"/>
  <c r="O83" i="16" s="1"/>
  <c r="O84" i="16" s="1"/>
  <c r="O85" i="16" s="1"/>
  <c r="O86" i="16" s="1"/>
  <c r="O87" i="16" s="1"/>
  <c r="O88" i="16" s="1"/>
  <c r="O89" i="16" s="1"/>
  <c r="O90" i="16" s="1"/>
  <c r="O91" i="16" s="1"/>
  <c r="O92" i="16" s="1"/>
  <c r="O93" i="16" s="1"/>
  <c r="O94" i="16" s="1"/>
  <c r="O95" i="16" s="1"/>
  <c r="O96" i="16" s="1"/>
  <c r="O97" i="16" s="1"/>
  <c r="O98" i="16" s="1"/>
  <c r="O99" i="16" s="1"/>
  <c r="O100" i="16" s="1"/>
  <c r="O101" i="16" s="1"/>
  <c r="O102" i="16" s="1"/>
  <c r="O103" i="16" s="1"/>
  <c r="O104" i="16" s="1"/>
  <c r="O105" i="16" s="1"/>
  <c r="O106" i="16" s="1"/>
  <c r="O107" i="16" s="1"/>
  <c r="O108" i="16" s="1"/>
  <c r="O109" i="16" s="1"/>
  <c r="O110" i="16" s="1"/>
  <c r="O111" i="16" s="1"/>
  <c r="O112" i="16" s="1"/>
  <c r="O113" i="16" s="1"/>
  <c r="O114" i="16" s="1"/>
  <c r="O115" i="16" s="1"/>
  <c r="O116" i="16" s="1"/>
  <c r="O117" i="16" s="1"/>
  <c r="O118" i="16" s="1"/>
  <c r="O119" i="16" s="1"/>
  <c r="O120" i="16" s="1"/>
  <c r="O121" i="16" s="1"/>
  <c r="BS63" i="22"/>
  <c r="C3" i="17"/>
  <c r="B17" i="16"/>
  <c r="B18" i="16" s="1"/>
  <c r="C3" i="16"/>
  <c r="C23" i="17"/>
  <c r="C24" i="17"/>
  <c r="C25" i="17"/>
  <c r="C27" i="17"/>
  <c r="C22" i="17"/>
  <c r="C26" i="17"/>
  <c r="C18" i="17"/>
  <c r="C19" i="17"/>
  <c r="C21" i="17"/>
  <c r="C20" i="17"/>
  <c r="R3" i="16"/>
  <c r="I3" i="16"/>
  <c r="I4" i="16" s="1"/>
  <c r="I5" i="16" s="1"/>
  <c r="I6" i="16" s="1"/>
  <c r="I7" i="16" s="1"/>
  <c r="I8" i="16" s="1"/>
  <c r="I9" i="16" s="1"/>
  <c r="I10" i="16" s="1"/>
  <c r="I11" i="16" s="1"/>
  <c r="I12" i="16" s="1"/>
  <c r="I13" i="16" s="1"/>
  <c r="I14" i="16" s="1"/>
  <c r="I15" i="16" s="1"/>
  <c r="I16" i="16" s="1"/>
  <c r="I17" i="16" s="1"/>
  <c r="I18" i="16" s="1"/>
  <c r="I19" i="16" s="1"/>
  <c r="I20" i="16" s="1"/>
  <c r="I21" i="16" s="1"/>
  <c r="I22" i="16" s="1"/>
  <c r="I23" i="16" s="1"/>
  <c r="I24" i="16" s="1"/>
  <c r="I25" i="16" s="1"/>
  <c r="I26" i="16" s="1"/>
  <c r="I27" i="16" s="1"/>
  <c r="I28" i="16" s="1"/>
  <c r="I29" i="16" s="1"/>
  <c r="I30" i="16" s="1"/>
  <c r="I31" i="16" s="1"/>
  <c r="I32" i="16" s="1"/>
  <c r="I33" i="16" s="1"/>
  <c r="I34" i="16" s="1"/>
  <c r="I35" i="16" s="1"/>
  <c r="I36" i="16" s="1"/>
  <c r="I37" i="16" s="1"/>
  <c r="I38" i="16" s="1"/>
  <c r="I39" i="16" s="1"/>
  <c r="I40" i="16" s="1"/>
  <c r="I41" i="16" s="1"/>
  <c r="I42" i="16" s="1"/>
  <c r="I43" i="16" s="1"/>
  <c r="I44" i="16" s="1"/>
  <c r="I45" i="16" s="1"/>
  <c r="I46" i="16" s="1"/>
  <c r="I47" i="16" s="1"/>
  <c r="I48" i="16" s="1"/>
  <c r="I49" i="16" s="1"/>
  <c r="I50" i="16" s="1"/>
  <c r="I51" i="16" s="1"/>
  <c r="I52" i="16" s="1"/>
  <c r="I53" i="16" s="1"/>
  <c r="I54" i="16" s="1"/>
  <c r="I55" i="16" s="1"/>
  <c r="I56" i="16" s="1"/>
  <c r="I57" i="16" s="1"/>
  <c r="I58" i="16" s="1"/>
  <c r="I59" i="16" s="1"/>
  <c r="I60" i="16" s="1"/>
  <c r="I61" i="16" s="1"/>
  <c r="I62" i="16" s="1"/>
  <c r="I63" i="16" s="1"/>
  <c r="I64" i="16" s="1"/>
  <c r="I65" i="16" s="1"/>
  <c r="I66" i="16" s="1"/>
  <c r="I67" i="16" s="1"/>
  <c r="I68" i="16" s="1"/>
  <c r="I69" i="16" s="1"/>
  <c r="I70" i="16" s="1"/>
  <c r="I71" i="16" s="1"/>
  <c r="I72" i="16" s="1"/>
  <c r="I73" i="16" s="1"/>
  <c r="I74" i="16" s="1"/>
  <c r="I75" i="16" s="1"/>
  <c r="I76" i="16" s="1"/>
  <c r="I77" i="16" s="1"/>
  <c r="I78" i="16" s="1"/>
  <c r="I79" i="16" s="1"/>
  <c r="I80" i="16" s="1"/>
  <c r="I81" i="16" s="1"/>
  <c r="I82" i="16" s="1"/>
  <c r="I83" i="16" s="1"/>
  <c r="I84" i="16" s="1"/>
  <c r="I85" i="16" s="1"/>
  <c r="I86" i="16" s="1"/>
  <c r="I87" i="16" s="1"/>
  <c r="I88" i="16" s="1"/>
  <c r="I89" i="16" s="1"/>
  <c r="I90" i="16" s="1"/>
  <c r="I91" i="16" s="1"/>
  <c r="I92" i="16" s="1"/>
  <c r="I93" i="16" s="1"/>
  <c r="I94" i="16" s="1"/>
  <c r="I95" i="16" s="1"/>
  <c r="I96" i="16" s="1"/>
  <c r="I97" i="16" s="1"/>
  <c r="I98" i="16" s="1"/>
  <c r="I99" i="16" s="1"/>
  <c r="I100" i="16" s="1"/>
  <c r="I101" i="16" s="1"/>
  <c r="I102" i="16" s="1"/>
  <c r="I103" i="16" s="1"/>
  <c r="I104" i="16" s="1"/>
  <c r="I105" i="16" s="1"/>
  <c r="I106" i="16" s="1"/>
  <c r="I107" i="16" s="1"/>
  <c r="I108" i="16" s="1"/>
  <c r="I109" i="16" s="1"/>
  <c r="I110" i="16" s="1"/>
  <c r="I111" i="16" s="1"/>
  <c r="I112" i="16" s="1"/>
  <c r="I113" i="16" s="1"/>
  <c r="I114" i="16" s="1"/>
  <c r="I115" i="16" s="1"/>
  <c r="I116" i="16" s="1"/>
  <c r="I117" i="16" s="1"/>
  <c r="I118" i="16" s="1"/>
  <c r="I119" i="16" s="1"/>
  <c r="I120" i="16" s="1"/>
  <c r="I121" i="16" s="1"/>
  <c r="J121" i="16" s="1"/>
  <c r="C5" i="17"/>
  <c r="C4" i="17"/>
  <c r="A21" i="17"/>
  <c r="A7" i="17"/>
  <c r="C6" i="17"/>
  <c r="P4" i="16"/>
  <c r="N4" i="16"/>
  <c r="N3" i="16"/>
  <c r="L4" i="16"/>
  <c r="J3" i="16"/>
  <c r="R5" i="16"/>
  <c r="R4" i="16"/>
  <c r="N5" i="16"/>
  <c r="L3" i="16"/>
  <c r="J5" i="16"/>
  <c r="C10" i="16"/>
  <c r="C11" i="16" s="1"/>
  <c r="C12" i="16" s="1"/>
  <c r="D17" i="16"/>
  <c r="D18" i="16" s="1"/>
  <c r="C17" i="16"/>
  <c r="C18" i="16" s="1"/>
  <c r="E17" i="16"/>
  <c r="E18" i="16" s="1"/>
  <c r="F17" i="16"/>
  <c r="F18" i="16"/>
  <c r="H117" i="15" a="1"/>
  <c r="H117" i="15" s="1"/>
  <c r="I117" i="15" s="1"/>
  <c r="H108" i="15" a="1"/>
  <c r="H108" i="15" s="1"/>
  <c r="I108" i="15" s="1"/>
  <c r="H42" i="15" a="1"/>
  <c r="H42" i="15" s="1"/>
  <c r="I42" i="15" s="1"/>
  <c r="H50" i="15" a="1"/>
  <c r="H50" i="15" s="1"/>
  <c r="I50" i="15" s="1"/>
  <c r="H58" i="15" a="1"/>
  <c r="H58" i="15" s="1"/>
  <c r="I58" i="15" s="1"/>
  <c r="H66" i="15" a="1"/>
  <c r="H66" i="15" s="1"/>
  <c r="I66" i="15" s="1"/>
  <c r="H74" i="15" a="1"/>
  <c r="H74" i="15" s="1"/>
  <c r="I74" i="15" s="1"/>
  <c r="H97" i="15" a="1"/>
  <c r="H97" i="15" s="1"/>
  <c r="I97" i="15" s="1"/>
  <c r="J97" i="15" s="1"/>
  <c r="H104" i="15" a="1"/>
  <c r="H104" i="15" s="1"/>
  <c r="I104" i="15" s="1"/>
  <c r="H39" i="15" a="1"/>
  <c r="H39" i="15" s="1"/>
  <c r="H47" i="15" a="1"/>
  <c r="H47" i="15" s="1"/>
  <c r="H55" i="15" a="1"/>
  <c r="H55" i="15" s="1"/>
  <c r="H63" i="15" a="1"/>
  <c r="H63" i="15" s="1"/>
  <c r="H71" i="15" a="1"/>
  <c r="H71" i="15" s="1"/>
  <c r="H85" i="15" a="1"/>
  <c r="H85" i="15" s="1"/>
  <c r="I85" i="15" s="1"/>
  <c r="H89" i="15" a="1"/>
  <c r="H89" i="15" s="1"/>
  <c r="I89" i="15" s="1"/>
  <c r="J89" i="15" s="1"/>
  <c r="H96" i="15" a="1"/>
  <c r="H96" i="15" s="1"/>
  <c r="I96" i="15" s="1"/>
  <c r="J96" i="15" s="1"/>
  <c r="H100" i="15" a="1"/>
  <c r="H100" i="15" s="1"/>
  <c r="I100" i="15" s="1"/>
  <c r="H107" i="15" a="1"/>
  <c r="H107" i="15" s="1"/>
  <c r="H111" i="15" a="1"/>
  <c r="H111" i="15" s="1"/>
  <c r="H114" i="15" a="1"/>
  <c r="H114" i="15" s="1"/>
  <c r="I114" i="15" s="1"/>
  <c r="H44" i="15" a="1"/>
  <c r="H44" i="15" s="1"/>
  <c r="H52" i="15" a="1"/>
  <c r="H52" i="15" s="1"/>
  <c r="H60" i="15" a="1"/>
  <c r="H60" i="15" s="1"/>
  <c r="I60" i="15" s="1"/>
  <c r="H68" i="15" a="1"/>
  <c r="H68" i="15" s="1"/>
  <c r="I68" i="15" s="1"/>
  <c r="H76" i="15" a="1"/>
  <c r="H76" i="15" s="1"/>
  <c r="I76" i="15" s="1"/>
  <c r="J76" i="15" s="1"/>
  <c r="H79" i="15" a="1"/>
  <c r="H79" i="15" s="1"/>
  <c r="H82" i="15" a="1"/>
  <c r="H82" i="15" s="1"/>
  <c r="I82" i="15" s="1"/>
  <c r="H88" i="15" a="1"/>
  <c r="H88" i="15" s="1"/>
  <c r="I88" i="15" s="1"/>
  <c r="I55" i="15"/>
  <c r="H92" i="15" a="1"/>
  <c r="H92" i="15" s="1"/>
  <c r="H99" i="15" a="1"/>
  <c r="H99" i="15" s="1"/>
  <c r="I99" i="15" s="1"/>
  <c r="J99" i="15" s="1"/>
  <c r="H103" i="15" a="1"/>
  <c r="H103" i="15" s="1"/>
  <c r="I103" i="15" s="1"/>
  <c r="J103" i="15" s="1"/>
  <c r="H119" i="15" a="1"/>
  <c r="H119" i="15" s="1"/>
  <c r="H41" i="15" a="1"/>
  <c r="H41" i="15" s="1"/>
  <c r="H48" i="15" a="1"/>
  <c r="H48" i="15" s="1"/>
  <c r="I48" i="15" s="1"/>
  <c r="H56" i="15" a="1"/>
  <c r="H56" i="15" s="1"/>
  <c r="I56" i="15" s="1"/>
  <c r="H65" i="15" a="1"/>
  <c r="H65" i="15" s="1"/>
  <c r="H72" i="15" a="1"/>
  <c r="H72" i="15" s="1"/>
  <c r="I72" i="15" s="1"/>
  <c r="H91" i="15" a="1"/>
  <c r="H91" i="15" s="1"/>
  <c r="I91" i="15" s="1"/>
  <c r="J91" i="15" s="1"/>
  <c r="H95" i="15" a="1"/>
  <c r="H95" i="15" s="1"/>
  <c r="I95" i="15" s="1"/>
  <c r="J95" i="15" s="1"/>
  <c r="H116" i="15" a="1"/>
  <c r="H116" i="15" s="1"/>
  <c r="I116" i="15" s="1"/>
  <c r="J116" i="15" s="1"/>
  <c r="H84" i="15" a="1"/>
  <c r="H84" i="15" s="1"/>
  <c r="H87" i="15" a="1"/>
  <c r="H87" i="15" s="1"/>
  <c r="H106" i="15" a="1"/>
  <c r="H106" i="15" s="1"/>
  <c r="I106" i="15" s="1"/>
  <c r="H110" i="15" a="1"/>
  <c r="H110" i="15" s="1"/>
  <c r="I110" i="15" s="1"/>
  <c r="H113" i="15" a="1"/>
  <c r="H113" i="15" s="1"/>
  <c r="H75" i="15" a="1"/>
  <c r="H75" i="15" s="1"/>
  <c r="I75" i="15" s="1"/>
  <c r="J75" i="15" s="1"/>
  <c r="H78" i="15" a="1"/>
  <c r="H78" i="15" s="1"/>
  <c r="I78" i="15" s="1"/>
  <c r="J78" i="15" s="1"/>
  <c r="H81" i="15" a="1"/>
  <c r="H81" i="15" s="1"/>
  <c r="H98" i="15" a="1"/>
  <c r="H98" i="15" s="1"/>
  <c r="I98" i="15" s="1"/>
  <c r="H102" i="15" a="1"/>
  <c r="H102" i="15" s="1"/>
  <c r="I102" i="15" s="1"/>
  <c r="H109" i="15" a="1"/>
  <c r="H109" i="15" s="1"/>
  <c r="I109" i="15" s="1"/>
  <c r="H118" i="15" a="1"/>
  <c r="H118" i="15" s="1"/>
  <c r="I118" i="15" s="1"/>
  <c r="H121" i="15" a="1"/>
  <c r="H121" i="15" s="1"/>
  <c r="I121" i="15" s="1"/>
  <c r="J121" i="15" s="1"/>
  <c r="H38" i="15" a="1"/>
  <c r="H38" i="15" s="1"/>
  <c r="I38" i="15" s="1"/>
  <c r="J38" i="15" s="1"/>
  <c r="H46" i="15" a="1"/>
  <c r="H46" i="15" s="1"/>
  <c r="I46" i="15" s="1"/>
  <c r="J46" i="15" s="1"/>
  <c r="H54" i="15" a="1"/>
  <c r="H54" i="15" s="1"/>
  <c r="I54" i="15" s="1"/>
  <c r="H90" i="15" a="1"/>
  <c r="H90" i="15" s="1"/>
  <c r="I90" i="15" s="1"/>
  <c r="H94" i="15" a="1"/>
  <c r="H94" i="15" s="1"/>
  <c r="I94" i="15" s="1"/>
  <c r="H101" i="15" a="1"/>
  <c r="H101" i="15" s="1"/>
  <c r="I101" i="15" s="1"/>
  <c r="H112" i="15" a="1"/>
  <c r="H112" i="15" s="1"/>
  <c r="I112" i="15" s="1"/>
  <c r="H115" i="15" a="1"/>
  <c r="H115" i="15" s="1"/>
  <c r="H45" i="15" a="1"/>
  <c r="H45" i="15" s="1"/>
  <c r="I45" i="15" s="1"/>
  <c r="J45" i="15" s="1"/>
  <c r="H53" i="15" a="1"/>
  <c r="H53" i="15" s="1"/>
  <c r="I53" i="15" s="1"/>
  <c r="H61" i="15" a="1"/>
  <c r="H61" i="15" s="1"/>
  <c r="I61" i="15" s="1"/>
  <c r="H69" i="15" a="1"/>
  <c r="H69" i="15" s="1"/>
  <c r="I69" i="15" s="1"/>
  <c r="H77" i="15" a="1"/>
  <c r="H77" i="15" s="1"/>
  <c r="I77" i="15" s="1"/>
  <c r="J77" i="15" s="1"/>
  <c r="H80" i="15" a="1"/>
  <c r="H80" i="15" s="1"/>
  <c r="I80" i="15" s="1"/>
  <c r="H83" i="15" a="1"/>
  <c r="H83" i="15" s="1"/>
  <c r="I83" i="15" s="1"/>
  <c r="J83" i="15" s="1"/>
  <c r="H86" i="15" a="1"/>
  <c r="H86" i="15" s="1"/>
  <c r="I86" i="15" s="1"/>
  <c r="H93" i="15" a="1"/>
  <c r="H93" i="15" s="1"/>
  <c r="I93" i="15" s="1"/>
  <c r="J93" i="15" s="1"/>
  <c r="H105" i="15" a="1"/>
  <c r="H105" i="15" s="1"/>
  <c r="I105" i="15" s="1"/>
  <c r="J105" i="15" s="1"/>
  <c r="H120" i="15" a="1"/>
  <c r="H120" i="15" s="1"/>
  <c r="I120" i="15" s="1"/>
  <c r="I84" i="15"/>
  <c r="J84" i="15" s="1"/>
  <c r="I44" i="15"/>
  <c r="J44" i="15" s="1"/>
  <c r="I39" i="15"/>
  <c r="J39" i="15" s="1"/>
  <c r="I92" i="15"/>
  <c r="J92" i="15" s="1"/>
  <c r="J100" i="15"/>
  <c r="I79" i="15"/>
  <c r="J79" i="15" s="1"/>
  <c r="J108" i="15"/>
  <c r="J42" i="15"/>
  <c r="I47" i="15"/>
  <c r="J47" i="15" s="1"/>
  <c r="I52" i="15"/>
  <c r="I87" i="15"/>
  <c r="J87" i="15" s="1"/>
  <c r="I65" i="15"/>
  <c r="I41" i="15"/>
  <c r="J41" i="15" s="1"/>
  <c r="I71" i="15"/>
  <c r="I107" i="15"/>
  <c r="J107" i="15" s="1"/>
  <c r="I63" i="15"/>
  <c r="I111" i="15"/>
  <c r="J111" i="15" s="1"/>
  <c r="I115" i="15"/>
  <c r="J115" i="15" s="1"/>
  <c r="I119" i="15"/>
  <c r="J119" i="15" s="1"/>
  <c r="K47" i="15"/>
  <c r="J50" i="15"/>
  <c r="H59" i="15" a="1"/>
  <c r="H59" i="15" s="1"/>
  <c r="I59" i="15" s="1"/>
  <c r="H67" i="15" a="1"/>
  <c r="H67" i="15" s="1"/>
  <c r="I67" i="15" s="1"/>
  <c r="J74" i="15"/>
  <c r="K79" i="15"/>
  <c r="J82" i="15"/>
  <c r="K87" i="15"/>
  <c r="J90" i="15"/>
  <c r="K95" i="15"/>
  <c r="J98" i="15"/>
  <c r="K103" i="15"/>
  <c r="J106" i="15"/>
  <c r="K111" i="15"/>
  <c r="J114" i="15"/>
  <c r="K119" i="15"/>
  <c r="H64" i="15" a="1"/>
  <c r="H64" i="15" s="1"/>
  <c r="I64" i="15" s="1"/>
  <c r="K39" i="15"/>
  <c r="H43" i="15" a="1"/>
  <c r="H43" i="15" s="1"/>
  <c r="I43" i="15" s="1"/>
  <c r="J43" i="15" s="1"/>
  <c r="H51" i="15" a="1"/>
  <c r="H51" i="15" s="1"/>
  <c r="I51" i="15" s="1"/>
  <c r="J66" i="15"/>
  <c r="K42" i="15"/>
  <c r="J53" i="15"/>
  <c r="K58" i="15"/>
  <c r="J61" i="15"/>
  <c r="H62" i="15" a="1"/>
  <c r="H62" i="15" s="1"/>
  <c r="I62" i="15" s="1"/>
  <c r="J69" i="15"/>
  <c r="H70" i="15" a="1"/>
  <c r="H70" i="15" s="1"/>
  <c r="I70" i="15" s="1"/>
  <c r="J85" i="15"/>
  <c r="J101" i="15"/>
  <c r="J109" i="15"/>
  <c r="J117" i="15"/>
  <c r="H40" i="15" a="1"/>
  <c r="H40" i="15" s="1"/>
  <c r="I40" i="15" s="1"/>
  <c r="J40" i="15" s="1"/>
  <c r="J48" i="15"/>
  <c r="H49" i="15" a="1"/>
  <c r="H49" i="15" s="1"/>
  <c r="I49" i="15" s="1"/>
  <c r="J49" i="15" s="1"/>
  <c r="J56" i="15"/>
  <c r="H57" i="15" a="1"/>
  <c r="H57" i="15" s="1"/>
  <c r="I57" i="15" s="1"/>
  <c r="J64" i="15"/>
  <c r="J72" i="15"/>
  <c r="H73" i="15" a="1"/>
  <c r="H73" i="15" s="1"/>
  <c r="I73" i="15" s="1"/>
  <c r="J80" i="15"/>
  <c r="J88" i="15"/>
  <c r="J104" i="15"/>
  <c r="J112" i="15"/>
  <c r="J120" i="15"/>
  <c r="J54" i="15"/>
  <c r="J62" i="15"/>
  <c r="J70" i="15"/>
  <c r="I81" i="15"/>
  <c r="J81" i="15" s="1"/>
  <c r="J86" i="15"/>
  <c r="J94" i="15"/>
  <c r="J102" i="15"/>
  <c r="J110" i="15"/>
  <c r="I113" i="15"/>
  <c r="J113" i="15" s="1"/>
  <c r="J118" i="15"/>
  <c r="H44" i="14" a="1"/>
  <c r="H44" i="14" s="1"/>
  <c r="H52" i="14" a="1"/>
  <c r="H52" i="14" s="1"/>
  <c r="H60" i="14" a="1"/>
  <c r="H60" i="14" s="1"/>
  <c r="H68" i="14" a="1"/>
  <c r="H68" i="14" s="1"/>
  <c r="H76" i="14" a="1"/>
  <c r="H76" i="14" s="1"/>
  <c r="H79" i="14" a="1"/>
  <c r="H79" i="14" s="1"/>
  <c r="H85" i="14" a="1"/>
  <c r="H85" i="14" s="1"/>
  <c r="I85" i="14" s="1"/>
  <c r="H88" i="14" a="1"/>
  <c r="H88" i="14" s="1"/>
  <c r="I88" i="14" s="1"/>
  <c r="J88" i="14" s="1"/>
  <c r="H93" i="14" a="1"/>
  <c r="H93" i="14" s="1"/>
  <c r="I93" i="14" s="1"/>
  <c r="H96" i="14" a="1"/>
  <c r="H96" i="14" s="1"/>
  <c r="H101" i="14" a="1"/>
  <c r="H101" i="14" s="1"/>
  <c r="I101" i="14" s="1"/>
  <c r="H104" i="14" a="1"/>
  <c r="H104" i="14" s="1"/>
  <c r="H109" i="14" a="1"/>
  <c r="H109" i="14" s="1"/>
  <c r="I109" i="14" s="1"/>
  <c r="H112" i="14" a="1"/>
  <c r="H112" i="14" s="1"/>
  <c r="H115" i="14" a="1"/>
  <c r="H115" i="14" s="1"/>
  <c r="I115" i="14" s="1"/>
  <c r="H121" i="14" a="1"/>
  <c r="H121" i="14" s="1"/>
  <c r="I121" i="14" s="1"/>
  <c r="H38" i="14" a="1"/>
  <c r="H38" i="14" s="1"/>
  <c r="H46" i="14" a="1"/>
  <c r="H46" i="14" s="1"/>
  <c r="H54" i="14" a="1"/>
  <c r="H54" i="14" s="1"/>
  <c r="H62" i="14" a="1"/>
  <c r="H62" i="14" s="1"/>
  <c r="H70" i="14" a="1"/>
  <c r="H70" i="14" s="1"/>
  <c r="H87" i="14" a="1"/>
  <c r="H87" i="14" s="1"/>
  <c r="H91" i="14" a="1"/>
  <c r="H91" i="14" s="1"/>
  <c r="I91" i="14" s="1"/>
  <c r="H95" i="14" a="1"/>
  <c r="H95" i="14" s="1"/>
  <c r="I95" i="14" s="1"/>
  <c r="J95" i="14" s="1"/>
  <c r="H99" i="14" a="1"/>
  <c r="H99" i="14" s="1"/>
  <c r="I99" i="14" s="1"/>
  <c r="H103" i="14" a="1"/>
  <c r="H103" i="14" s="1"/>
  <c r="H107" i="14" a="1"/>
  <c r="H107" i="14" s="1"/>
  <c r="I107" i="14" s="1"/>
  <c r="H111" i="14" a="1"/>
  <c r="H111" i="14" s="1"/>
  <c r="H117" i="14" a="1"/>
  <c r="H117" i="14" s="1"/>
  <c r="I117" i="14" s="1"/>
  <c r="H120" i="14" a="1"/>
  <c r="H120" i="14" s="1"/>
  <c r="J115" i="14"/>
  <c r="H75" i="14" a="1"/>
  <c r="H75" i="14" s="1"/>
  <c r="I75" i="14" s="1"/>
  <c r="J75" i="14" s="1"/>
  <c r="H78" i="14" a="1"/>
  <c r="H78" i="14" s="1"/>
  <c r="H84" i="14" a="1"/>
  <c r="H84" i="14" s="1"/>
  <c r="H114" i="14" a="1"/>
  <c r="H114" i="14" s="1"/>
  <c r="I114" i="14" s="1"/>
  <c r="H81" i="14" a="1"/>
  <c r="H81" i="14" s="1"/>
  <c r="I81" i="14" s="1"/>
  <c r="H90" i="14" a="1"/>
  <c r="H90" i="14" s="1"/>
  <c r="I90" i="14" s="1"/>
  <c r="H98" i="14" a="1"/>
  <c r="H98" i="14" s="1"/>
  <c r="I98" i="14" s="1"/>
  <c r="H106" i="14" a="1"/>
  <c r="H106" i="14" s="1"/>
  <c r="I106" i="14" s="1"/>
  <c r="H119" i="14" a="1"/>
  <c r="H119" i="14" s="1"/>
  <c r="I119" i="14" s="1"/>
  <c r="J119" i="14" s="1"/>
  <c r="H45" i="14" a="1"/>
  <c r="H45" i="14" s="1"/>
  <c r="I45" i="14" s="1"/>
  <c r="H53" i="14" a="1"/>
  <c r="H53" i="14" s="1"/>
  <c r="I53" i="14" s="1"/>
  <c r="H61" i="14" a="1"/>
  <c r="H61" i="14" s="1"/>
  <c r="I61" i="14" s="1"/>
  <c r="H69" i="14" a="1"/>
  <c r="H69" i="14" s="1"/>
  <c r="I69" i="14" s="1"/>
  <c r="I44" i="14"/>
  <c r="J44" i="14" s="1"/>
  <c r="H86" i="14" a="1"/>
  <c r="H86" i="14" s="1"/>
  <c r="H94" i="14" a="1"/>
  <c r="H94" i="14" s="1"/>
  <c r="I94" i="14" s="1"/>
  <c r="J94" i="14" s="1"/>
  <c r="H102" i="14" a="1"/>
  <c r="H102" i="14" s="1"/>
  <c r="H110" i="14" a="1"/>
  <c r="H110" i="14" s="1"/>
  <c r="H116" i="14" a="1"/>
  <c r="H116" i="14" s="1"/>
  <c r="H42" i="14" a="1"/>
  <c r="H42" i="14" s="1"/>
  <c r="I42" i="14" s="1"/>
  <c r="H50" i="14" a="1"/>
  <c r="H50" i="14" s="1"/>
  <c r="I50" i="14" s="1"/>
  <c r="H58" i="14" a="1"/>
  <c r="H58" i="14" s="1"/>
  <c r="I58" i="14" s="1"/>
  <c r="H66" i="14" a="1"/>
  <c r="H66" i="14" s="1"/>
  <c r="I66" i="14" s="1"/>
  <c r="H74" i="14" a="1"/>
  <c r="H74" i="14" s="1"/>
  <c r="I74" i="14" s="1"/>
  <c r="J74" i="14" s="1"/>
  <c r="H77" i="14" a="1"/>
  <c r="H77" i="14" s="1"/>
  <c r="I77" i="14" s="1"/>
  <c r="H80" i="14" a="1"/>
  <c r="H80" i="14" s="1"/>
  <c r="H83" i="14" a="1"/>
  <c r="H83" i="14" s="1"/>
  <c r="I83" i="14" s="1"/>
  <c r="J83" i="14" s="1"/>
  <c r="H113" i="14" a="1"/>
  <c r="H113" i="14" s="1"/>
  <c r="I113" i="14" s="1"/>
  <c r="H47" i="14" a="1"/>
  <c r="H47" i="14" s="1"/>
  <c r="H55" i="14" a="1"/>
  <c r="H55" i="14" s="1"/>
  <c r="H63" i="14" a="1"/>
  <c r="H63" i="14" s="1"/>
  <c r="H71" i="14" a="1"/>
  <c r="H71" i="14" s="1"/>
  <c r="I71" i="14" s="1"/>
  <c r="I40" i="14"/>
  <c r="J40" i="14" s="1"/>
  <c r="I52" i="14"/>
  <c r="H89" i="14" a="1"/>
  <c r="H89" i="14" s="1"/>
  <c r="I89" i="14" s="1"/>
  <c r="J89" i="14" s="1"/>
  <c r="I60" i="14"/>
  <c r="H97" i="14" a="1"/>
  <c r="H97" i="14" s="1"/>
  <c r="I97" i="14" s="1"/>
  <c r="I68" i="14"/>
  <c r="H105" i="14" a="1"/>
  <c r="H105" i="14" s="1"/>
  <c r="I105" i="14" s="1"/>
  <c r="I76" i="14"/>
  <c r="J76" i="14" s="1"/>
  <c r="H118" i="14" a="1"/>
  <c r="H118" i="14" s="1"/>
  <c r="I118" i="14" s="1"/>
  <c r="J118" i="14" s="1"/>
  <c r="I86" i="14"/>
  <c r="J86" i="14" s="1"/>
  <c r="I38" i="14"/>
  <c r="J42" i="14"/>
  <c r="J98" i="14"/>
  <c r="J107" i="14"/>
  <c r="I108" i="14"/>
  <c r="J108" i="14" s="1"/>
  <c r="I47" i="14"/>
  <c r="J47" i="14" s="1"/>
  <c r="I103" i="14"/>
  <c r="J103" i="14" s="1"/>
  <c r="I84" i="14"/>
  <c r="J84" i="14" s="1"/>
  <c r="I116" i="14"/>
  <c r="J116" i="14" s="1"/>
  <c r="I46" i="14"/>
  <c r="J46" i="14" s="1"/>
  <c r="I79" i="14"/>
  <c r="J79" i="14" s="1"/>
  <c r="I102" i="14"/>
  <c r="J102" i="14" s="1"/>
  <c r="I111" i="14"/>
  <c r="J111" i="14" s="1"/>
  <c r="J82" i="14"/>
  <c r="J91" i="14"/>
  <c r="I92" i="14"/>
  <c r="J92" i="14" s="1"/>
  <c r="I120" i="14"/>
  <c r="J120" i="14" s="1"/>
  <c r="I55" i="14"/>
  <c r="I63" i="14"/>
  <c r="I78" i="14"/>
  <c r="J78" i="14" s="1"/>
  <c r="I87" i="14"/>
  <c r="J87" i="14" s="1"/>
  <c r="I110" i="14"/>
  <c r="J110" i="14" s="1"/>
  <c r="I54" i="14"/>
  <c r="I62" i="14"/>
  <c r="I70" i="14"/>
  <c r="J90" i="14"/>
  <c r="J99" i="14"/>
  <c r="I100" i="14"/>
  <c r="J100" i="14" s="1"/>
  <c r="H56" i="14" a="1"/>
  <c r="H56" i="14" s="1"/>
  <c r="I56" i="14" s="1"/>
  <c r="H64" i="14" a="1"/>
  <c r="H64" i="14" s="1"/>
  <c r="I64" i="14" s="1"/>
  <c r="H72" i="14" a="1"/>
  <c r="H72" i="14" s="1"/>
  <c r="I72" i="14" s="1"/>
  <c r="J106" i="14"/>
  <c r="J114" i="14"/>
  <c r="K42" i="14"/>
  <c r="J45" i="14"/>
  <c r="I48" i="14"/>
  <c r="J48" i="14" s="1"/>
  <c r="K50" i="14"/>
  <c r="J53" i="14"/>
  <c r="K58" i="14"/>
  <c r="J61" i="14"/>
  <c r="K66" i="14"/>
  <c r="J69" i="14"/>
  <c r="K74" i="14"/>
  <c r="J77" i="14"/>
  <c r="I80" i="14"/>
  <c r="J80" i="14" s="1"/>
  <c r="K82" i="14"/>
  <c r="J85" i="14"/>
  <c r="K90" i="14"/>
  <c r="J93" i="14"/>
  <c r="I96" i="14"/>
  <c r="J96" i="14" s="1"/>
  <c r="K98" i="14"/>
  <c r="J101" i="14"/>
  <c r="I104" i="14"/>
  <c r="J104" i="14" s="1"/>
  <c r="J109" i="14"/>
  <c r="I112" i="14"/>
  <c r="J112" i="14" s="1"/>
  <c r="J117" i="14"/>
  <c r="K39" i="14"/>
  <c r="H67" i="14" a="1"/>
  <c r="H67" i="14" s="1"/>
  <c r="I67" i="14" s="1"/>
  <c r="K95" i="14"/>
  <c r="K111" i="14"/>
  <c r="H41" i="14" a="1"/>
  <c r="H41" i="14" s="1"/>
  <c r="I41" i="14" s="1"/>
  <c r="J41" i="14" s="1"/>
  <c r="H49" i="14" a="1"/>
  <c r="H49" i="14" s="1"/>
  <c r="I49" i="14" s="1"/>
  <c r="J49" i="14" s="1"/>
  <c r="H51" i="14" a="1"/>
  <c r="H51" i="14" s="1"/>
  <c r="I51" i="14" s="1"/>
  <c r="K79" i="14"/>
  <c r="K87" i="14"/>
  <c r="K47" i="14"/>
  <c r="K103" i="14"/>
  <c r="H39" i="14" a="1"/>
  <c r="H39" i="14" s="1"/>
  <c r="I39" i="14" s="1"/>
  <c r="J39" i="14" s="1"/>
  <c r="H43" i="14" a="1"/>
  <c r="H43" i="14" s="1"/>
  <c r="I43" i="14" s="1"/>
  <c r="J43" i="14" s="1"/>
  <c r="J57" i="14"/>
  <c r="J65" i="14"/>
  <c r="J73" i="14"/>
  <c r="J81" i="14"/>
  <c r="J97" i="14"/>
  <c r="J105" i="14"/>
  <c r="J113" i="14"/>
  <c r="J121" i="14"/>
  <c r="H59" i="14" a="1"/>
  <c r="H59" i="14" s="1"/>
  <c r="I59" i="14" s="1"/>
  <c r="K106" i="13"/>
  <c r="K82" i="13"/>
  <c r="K42" i="13"/>
  <c r="K49" i="13"/>
  <c r="I40" i="13"/>
  <c r="J40" i="13" s="1"/>
  <c r="K56" i="13"/>
  <c r="K61" i="13"/>
  <c r="K68" i="13"/>
  <c r="K79" i="13"/>
  <c r="K119" i="13"/>
  <c r="I120" i="13"/>
  <c r="J120" i="13" s="1"/>
  <c r="I72" i="13"/>
  <c r="K73" i="13"/>
  <c r="K101" i="13"/>
  <c r="I38" i="13"/>
  <c r="J38" i="13" s="1"/>
  <c r="J58" i="13"/>
  <c r="K65" i="13"/>
  <c r="J70" i="13"/>
  <c r="I111" i="13"/>
  <c r="K53" i="13"/>
  <c r="I87" i="13"/>
  <c r="K60" i="13"/>
  <c r="K89" i="13"/>
  <c r="I59" i="13"/>
  <c r="I90" i="13"/>
  <c r="J90" i="13" s="1"/>
  <c r="I54" i="13"/>
  <c r="I62" i="13"/>
  <c r="I67" i="13"/>
  <c r="I70" i="13"/>
  <c r="I79" i="13"/>
  <c r="J79" i="13" s="1"/>
  <c r="I119" i="13"/>
  <c r="J119" i="13" s="1"/>
  <c r="I45" i="13"/>
  <c r="J45" i="13" s="1"/>
  <c r="I53" i="13"/>
  <c r="I61" i="13"/>
  <c r="I43" i="13"/>
  <c r="I51" i="13"/>
  <c r="I52" i="13"/>
  <c r="J62" i="13"/>
  <c r="I105" i="13"/>
  <c r="J105" i="13" s="1"/>
  <c r="K74" i="13"/>
  <c r="I42" i="13"/>
  <c r="J42" i="13" s="1"/>
  <c r="I50" i="13"/>
  <c r="I58" i="13"/>
  <c r="I66" i="13"/>
  <c r="I74" i="13"/>
  <c r="J74" i="13" s="1"/>
  <c r="I82" i="13"/>
  <c r="J82" i="13" s="1"/>
  <c r="I56" i="13"/>
  <c r="I93" i="13"/>
  <c r="J93" i="13" s="1"/>
  <c r="I102" i="13"/>
  <c r="J102" i="13" s="1"/>
  <c r="I71" i="13"/>
  <c r="I113" i="13"/>
  <c r="J113" i="13" s="1"/>
  <c r="I88" i="13"/>
  <c r="J88" i="13" s="1"/>
  <c r="I95" i="13"/>
  <c r="J95" i="13" s="1"/>
  <c r="I103" i="13"/>
  <c r="J103" i="13" s="1"/>
  <c r="I118" i="13"/>
  <c r="J118" i="13" s="1"/>
  <c r="I41" i="13"/>
  <c r="J41" i="13" s="1"/>
  <c r="I57" i="13"/>
  <c r="I65" i="13"/>
  <c r="I73" i="13"/>
  <c r="I39" i="13"/>
  <c r="J39" i="13" s="1"/>
  <c r="I47" i="13"/>
  <c r="J47" i="13" s="1"/>
  <c r="I89" i="13"/>
  <c r="J89" i="13" s="1"/>
  <c r="I98" i="13"/>
  <c r="J98" i="13" s="1"/>
  <c r="I68" i="13"/>
  <c r="I121" i="13"/>
  <c r="J121" i="13" s="1"/>
  <c r="I112" i="13"/>
  <c r="J112" i="13" s="1"/>
  <c r="I81" i="13"/>
  <c r="J81" i="13" s="1"/>
  <c r="I64" i="13"/>
  <c r="I110" i="13"/>
  <c r="J110" i="13" s="1"/>
  <c r="I78" i="13"/>
  <c r="J78" i="13" s="1"/>
  <c r="I86" i="13"/>
  <c r="J86" i="13" s="1"/>
  <c r="I55" i="13"/>
  <c r="I109" i="13"/>
  <c r="J109" i="13" s="1"/>
  <c r="I117" i="13"/>
  <c r="J117" i="13" s="1"/>
  <c r="J87" i="13"/>
  <c r="J111" i="13"/>
  <c r="I60" i="13"/>
  <c r="I104" i="13"/>
  <c r="J104" i="13" s="1"/>
  <c r="I101" i="13"/>
  <c r="J101" i="13" s="1"/>
  <c r="K45" i="13"/>
  <c r="I49" i="13"/>
  <c r="J49" i="13" s="1"/>
  <c r="J54" i="13"/>
  <c r="I97" i="13"/>
  <c r="J97" i="13" s="1"/>
  <c r="I106" i="13"/>
  <c r="J106" i="13" s="1"/>
  <c r="I75" i="13"/>
  <c r="J75" i="13" s="1"/>
  <c r="I83" i="13"/>
  <c r="J83" i="13" s="1"/>
  <c r="I91" i="13"/>
  <c r="J91" i="13" s="1"/>
  <c r="I99" i="13"/>
  <c r="J99" i="13" s="1"/>
  <c r="I100" i="13"/>
  <c r="J100" i="13" s="1"/>
  <c r="I107" i="13"/>
  <c r="J107" i="13" s="1"/>
  <c r="I108" i="13"/>
  <c r="J108" i="13" s="1"/>
  <c r="I115" i="13"/>
  <c r="J115" i="13" s="1"/>
  <c r="I116" i="13"/>
  <c r="J116" i="13" s="1"/>
  <c r="I46" i="13"/>
  <c r="J46" i="13" s="1"/>
  <c r="I77" i="13"/>
  <c r="J77" i="13" s="1"/>
  <c r="I85" i="13"/>
  <c r="J85" i="13" s="1"/>
  <c r="I94" i="13"/>
  <c r="J94" i="13" s="1"/>
  <c r="I63" i="13"/>
  <c r="I69" i="13"/>
  <c r="I114" i="13"/>
  <c r="J114" i="13" s="1"/>
  <c r="J43" i="13"/>
  <c r="J51" i="13"/>
  <c r="J59" i="13"/>
  <c r="J63" i="13"/>
  <c r="I44" i="13"/>
  <c r="J44" i="13" s="1"/>
  <c r="I48" i="13"/>
  <c r="J48" i="13" s="1"/>
  <c r="K55" i="13"/>
  <c r="K67" i="13"/>
  <c r="K71" i="13"/>
  <c r="K75" i="13"/>
  <c r="I76" i="13"/>
  <c r="J76" i="13" s="1"/>
  <c r="I80" i="13"/>
  <c r="J80" i="13" s="1"/>
  <c r="K83" i="13"/>
  <c r="I84" i="13"/>
  <c r="J84" i="13" s="1"/>
  <c r="K87" i="13"/>
  <c r="K91" i="13"/>
  <c r="I92" i="13"/>
  <c r="J92" i="13" s="1"/>
  <c r="I96" i="13"/>
  <c r="J96" i="13" s="1"/>
  <c r="K103" i="13"/>
  <c r="K111" i="13"/>
  <c r="K115" i="13"/>
  <c r="H84" i="12"/>
  <c r="I84" i="12" s="1"/>
  <c r="H103" i="12"/>
  <c r="H116" i="12"/>
  <c r="I116" i="12" s="1"/>
  <c r="H119" i="12"/>
  <c r="H101" i="12"/>
  <c r="I101" i="12" s="1"/>
  <c r="H39" i="12"/>
  <c r="H45" i="12"/>
  <c r="H53" i="12"/>
  <c r="H59" i="12"/>
  <c r="H61" i="12"/>
  <c r="H67" i="12"/>
  <c r="H69" i="12"/>
  <c r="H75" i="12"/>
  <c r="I75" i="12" s="1"/>
  <c r="H77" i="12"/>
  <c r="H86" i="12"/>
  <c r="I86" i="12" s="1"/>
  <c r="H120" i="12"/>
  <c r="I120" i="12" s="1"/>
  <c r="H85" i="12"/>
  <c r="H109" i="12"/>
  <c r="H117" i="12"/>
  <c r="H100" i="12"/>
  <c r="I100" i="12" s="1"/>
  <c r="H44" i="12"/>
  <c r="I44" i="12" s="1"/>
  <c r="H52" i="12"/>
  <c r="H60" i="12"/>
  <c r="H68" i="12"/>
  <c r="H63" i="12"/>
  <c r="H93" i="12"/>
  <c r="H56" i="12"/>
  <c r="H58" i="12"/>
  <c r="H112" i="12"/>
  <c r="I112" i="12" s="1"/>
  <c r="H114" i="12"/>
  <c r="H62" i="12"/>
  <c r="H73" i="12"/>
  <c r="H81" i="12"/>
  <c r="H83" i="12"/>
  <c r="I83" i="12" s="1"/>
  <c r="H89" i="12"/>
  <c r="H91" i="12"/>
  <c r="I91" i="12" s="1"/>
  <c r="H97" i="12"/>
  <c r="H99" i="12"/>
  <c r="I99" i="12" s="1"/>
  <c r="H105" i="12"/>
  <c r="I105" i="12" s="1"/>
  <c r="H107" i="12"/>
  <c r="I107" i="12" s="1"/>
  <c r="H51" i="12"/>
  <c r="H38" i="12"/>
  <c r="H40" i="12"/>
  <c r="H42" i="12"/>
  <c r="I42" i="12" s="1"/>
  <c r="H64" i="12"/>
  <c r="H66" i="12"/>
  <c r="H57" i="12"/>
  <c r="H113" i="12"/>
  <c r="H48" i="12"/>
  <c r="H50" i="12"/>
  <c r="I90" i="12"/>
  <c r="I98" i="12"/>
  <c r="I106" i="12"/>
  <c r="H115" i="12"/>
  <c r="I115" i="12" s="1"/>
  <c r="H121" i="12"/>
  <c r="H46" i="12"/>
  <c r="I46" i="12" s="1"/>
  <c r="H72" i="12"/>
  <c r="H74" i="12"/>
  <c r="I74" i="12" s="1"/>
  <c r="H80" i="12"/>
  <c r="H82" i="12"/>
  <c r="I82" i="12" s="1"/>
  <c r="H88" i="12"/>
  <c r="H90" i="12"/>
  <c r="H96" i="12"/>
  <c r="H98" i="12"/>
  <c r="H104" i="12"/>
  <c r="H106" i="12"/>
  <c r="H41" i="12"/>
  <c r="I41" i="12" s="1"/>
  <c r="H43" i="12"/>
  <c r="I43" i="12" s="1"/>
  <c r="H65" i="12"/>
  <c r="I114" i="12"/>
  <c r="H70" i="12"/>
  <c r="J90" i="12"/>
  <c r="H94" i="12"/>
  <c r="I94" i="12" s="1"/>
  <c r="J98" i="12"/>
  <c r="H102" i="12"/>
  <c r="I102" i="12" s="1"/>
  <c r="J106" i="12"/>
  <c r="H118" i="12"/>
  <c r="I118" i="12" s="1"/>
  <c r="I45" i="12"/>
  <c r="I53" i="12"/>
  <c r="I61" i="12"/>
  <c r="I69" i="12"/>
  <c r="I77" i="12"/>
  <c r="I85" i="12"/>
  <c r="I93" i="12"/>
  <c r="I109" i="12"/>
  <c r="I117" i="12"/>
  <c r="J50" i="12"/>
  <c r="H78" i="12"/>
  <c r="I78" i="12" s="1"/>
  <c r="J82" i="12"/>
  <c r="H71" i="12"/>
  <c r="H79" i="12"/>
  <c r="I79" i="12" s="1"/>
  <c r="H87" i="12"/>
  <c r="I87" i="12" s="1"/>
  <c r="H49" i="12"/>
  <c r="I49" i="12" s="1"/>
  <c r="H95" i="12"/>
  <c r="I39" i="12"/>
  <c r="I55" i="12"/>
  <c r="I63" i="12"/>
  <c r="I71" i="12"/>
  <c r="I95" i="12"/>
  <c r="I103" i="12"/>
  <c r="I119" i="12"/>
  <c r="J42" i="12"/>
  <c r="H54" i="12"/>
  <c r="J58" i="12"/>
  <c r="J66" i="12"/>
  <c r="J74" i="12"/>
  <c r="H111" i="12"/>
  <c r="I111" i="12" s="1"/>
  <c r="I40" i="12"/>
  <c r="I48" i="12"/>
  <c r="I56" i="12"/>
  <c r="I64" i="12"/>
  <c r="I72" i="12"/>
  <c r="I80" i="12"/>
  <c r="I88" i="12"/>
  <c r="I96" i="12"/>
  <c r="I104" i="12"/>
  <c r="I57" i="12"/>
  <c r="I65" i="12"/>
  <c r="I73" i="12"/>
  <c r="H76" i="12"/>
  <c r="I76" i="12" s="1"/>
  <c r="I81" i="12"/>
  <c r="I89" i="12"/>
  <c r="H92" i="12"/>
  <c r="I92" i="12" s="1"/>
  <c r="I97" i="12"/>
  <c r="H108" i="12"/>
  <c r="I108" i="12" s="1"/>
  <c r="I113" i="12"/>
  <c r="I121" i="12"/>
  <c r="H47" i="12"/>
  <c r="I47" i="12" s="1"/>
  <c r="H55" i="12"/>
  <c r="G40" i="11" a="1"/>
  <c r="G40" i="11" s="1"/>
  <c r="G48" i="11" a="1"/>
  <c r="G48" i="11" s="1"/>
  <c r="G56" i="11" a="1"/>
  <c r="G56" i="11" s="1"/>
  <c r="G64" i="11" a="1"/>
  <c r="G64" i="11" s="1"/>
  <c r="G72" i="11" a="1"/>
  <c r="G72" i="11" s="1"/>
  <c r="H72" i="11" s="1"/>
  <c r="G95" i="11" a="1"/>
  <c r="G95" i="11" s="1"/>
  <c r="G43" i="11" a="1"/>
  <c r="G43" i="11" s="1"/>
  <c r="G59" i="11" a="1"/>
  <c r="G59" i="11" s="1"/>
  <c r="H59" i="11" s="1"/>
  <c r="G87" i="11" a="1"/>
  <c r="G87" i="11" s="1"/>
  <c r="G88" i="11" a="1"/>
  <c r="G88" i="11" s="1"/>
  <c r="G103" i="11" a="1"/>
  <c r="G103" i="11" s="1"/>
  <c r="J79" i="11"/>
  <c r="G41" i="11" a="1"/>
  <c r="G41" i="11" s="1"/>
  <c r="H41" i="11" s="1"/>
  <c r="I41" i="11" s="1"/>
  <c r="G49" i="11" a="1"/>
  <c r="G49" i="11" s="1"/>
  <c r="H49" i="11" s="1"/>
  <c r="I49" i="11" s="1"/>
  <c r="G57" i="11" a="1"/>
  <c r="G57" i="11" s="1"/>
  <c r="H57" i="11" s="1"/>
  <c r="J42" i="11"/>
  <c r="J47" i="11"/>
  <c r="J82" i="11"/>
  <c r="J89" i="11"/>
  <c r="G44" i="11" a="1"/>
  <c r="G44" i="11" s="1"/>
  <c r="G51" i="11" a="1"/>
  <c r="G51" i="11" s="1"/>
  <c r="H51" i="11" s="1"/>
  <c r="G60" i="11" a="1"/>
  <c r="G60" i="11" s="1"/>
  <c r="G68" i="11" a="1"/>
  <c r="G68" i="11" s="1"/>
  <c r="G108" i="11" a="1"/>
  <c r="G108" i="11" s="1"/>
  <c r="H108" i="11" s="1"/>
  <c r="I108" i="11" s="1"/>
  <c r="G118" i="11" a="1"/>
  <c r="G118" i="11" s="1"/>
  <c r="H118" i="11" s="1"/>
  <c r="I118" i="11" s="1"/>
  <c r="J87" i="11"/>
  <c r="J97" i="11"/>
  <c r="J105" i="11"/>
  <c r="J113" i="11"/>
  <c r="J121" i="11"/>
  <c r="G119" i="11" a="1"/>
  <c r="G119" i="11" s="1"/>
  <c r="H119" i="11" s="1"/>
  <c r="I119" i="11" s="1"/>
  <c r="G47" i="11" a="1"/>
  <c r="G47" i="11" s="1"/>
  <c r="H47" i="11" s="1"/>
  <c r="I47" i="11" s="1"/>
  <c r="G55" i="11" a="1"/>
  <c r="G55" i="11" s="1"/>
  <c r="H55" i="11" s="1"/>
  <c r="G63" i="11" a="1"/>
  <c r="G63" i="11" s="1"/>
  <c r="G71" i="11" a="1"/>
  <c r="G71" i="11" s="1"/>
  <c r="G42" i="11" a="1"/>
  <c r="G42" i="11" s="1"/>
  <c r="H42" i="11" s="1"/>
  <c r="I42" i="11" s="1"/>
  <c r="G50" i="11" a="1"/>
  <c r="G50" i="11" s="1"/>
  <c r="H50" i="11" s="1"/>
  <c r="G58" i="11" a="1"/>
  <c r="G58" i="11" s="1"/>
  <c r="H58" i="11" s="1"/>
  <c r="G66" i="11" a="1"/>
  <c r="G66" i="11" s="1"/>
  <c r="G74" i="11" a="1"/>
  <c r="G74" i="11" s="1"/>
  <c r="H74" i="11" s="1"/>
  <c r="I74" i="11" s="1"/>
  <c r="G80" i="11" a="1"/>
  <c r="G80" i="11" s="1"/>
  <c r="J90" i="11"/>
  <c r="J95" i="11"/>
  <c r="J111" i="11"/>
  <c r="J119" i="11"/>
  <c r="H66" i="11"/>
  <c r="G77" i="11" a="1"/>
  <c r="G77" i="11" s="1"/>
  <c r="H77" i="11" s="1"/>
  <c r="I77" i="11" s="1"/>
  <c r="G75" i="11" a="1"/>
  <c r="G75" i="11" s="1"/>
  <c r="H75" i="11" s="1"/>
  <c r="I75" i="11" s="1"/>
  <c r="J44" i="11"/>
  <c r="J46" i="11"/>
  <c r="H48" i="11"/>
  <c r="I48" i="11" s="1"/>
  <c r="G86" i="11" a="1"/>
  <c r="G86" i="11" s="1"/>
  <c r="H86" i="11" s="1"/>
  <c r="I86" i="11" s="1"/>
  <c r="G52" i="11" a="1"/>
  <c r="G52" i="11" s="1"/>
  <c r="J55" i="11"/>
  <c r="J56" i="11"/>
  <c r="J63" i="11"/>
  <c r="G102" i="11" a="1"/>
  <c r="G102" i="11" s="1"/>
  <c r="H102" i="11" s="1"/>
  <c r="I102" i="11" s="1"/>
  <c r="H71" i="11"/>
  <c r="J74" i="11"/>
  <c r="G115" i="11" a="1"/>
  <c r="G115" i="11" s="1"/>
  <c r="H115" i="11" s="1"/>
  <c r="I115" i="11" s="1"/>
  <c r="J84" i="11"/>
  <c r="J92" i="11"/>
  <c r="G39" i="11" a="1"/>
  <c r="G39" i="11" s="1"/>
  <c r="H39" i="11" s="1"/>
  <c r="I39" i="11" s="1"/>
  <c r="G82" i="11" a="1"/>
  <c r="G82" i="11" s="1"/>
  <c r="H82" i="11" s="1"/>
  <c r="I82" i="11" s="1"/>
  <c r="H56" i="11"/>
  <c r="G94" i="11" a="1"/>
  <c r="G94" i="11" s="1"/>
  <c r="H94" i="11" s="1"/>
  <c r="I94" i="11" s="1"/>
  <c r="H64" i="11"/>
  <c r="G101" i="11" a="1"/>
  <c r="G101" i="11" s="1"/>
  <c r="H101" i="11" s="1"/>
  <c r="I101" i="11" s="1"/>
  <c r="G99" i="11" a="1"/>
  <c r="G99" i="11" s="1"/>
  <c r="H99" i="11" s="1"/>
  <c r="I99" i="11" s="1"/>
  <c r="G106" i="11" a="1"/>
  <c r="G106" i="11" s="1"/>
  <c r="H106" i="11" s="1"/>
  <c r="I106" i="11" s="1"/>
  <c r="G110" i="11" a="1"/>
  <c r="G110" i="11" s="1"/>
  <c r="H110" i="11" s="1"/>
  <c r="I110" i="11" s="1"/>
  <c r="G114" i="11" a="1"/>
  <c r="G114" i="11" s="1"/>
  <c r="H114" i="11" s="1"/>
  <c r="I114" i="11" s="1"/>
  <c r="G85" i="11" a="1"/>
  <c r="G85" i="11" s="1"/>
  <c r="H85" i="11" s="1"/>
  <c r="I85" i="11" s="1"/>
  <c r="G83" i="11" a="1"/>
  <c r="G83" i="11" s="1"/>
  <c r="H44" i="11"/>
  <c r="I44" i="11" s="1"/>
  <c r="G81" i="11" a="1"/>
  <c r="G81" i="11" s="1"/>
  <c r="H81" i="11" s="1"/>
  <c r="I81" i="11" s="1"/>
  <c r="J51" i="11"/>
  <c r="G93" i="11" a="1"/>
  <c r="G93" i="11" s="1"/>
  <c r="H93" i="11" s="1"/>
  <c r="I93" i="11" s="1"/>
  <c r="G91" i="11" a="1"/>
  <c r="G91" i="11" s="1"/>
  <c r="I60" i="11"/>
  <c r="H63" i="11"/>
  <c r="G121" i="11" a="1"/>
  <c r="G121" i="11" s="1"/>
  <c r="H121" i="11" s="1"/>
  <c r="I121" i="11" s="1"/>
  <c r="G120" i="11" a="1"/>
  <c r="G120" i="11" s="1"/>
  <c r="H120" i="11" s="1"/>
  <c r="I120" i="11" s="1"/>
  <c r="H43" i="11"/>
  <c r="I43" i="11" s="1"/>
  <c r="G90" i="11" a="1"/>
  <c r="G90" i="11" s="1"/>
  <c r="H90" i="11" s="1"/>
  <c r="I90" i="11" s="1"/>
  <c r="H68" i="11"/>
  <c r="G105" i="11" a="1"/>
  <c r="G105" i="11" s="1"/>
  <c r="H105" i="11" s="1"/>
  <c r="I105" i="11" s="1"/>
  <c r="G113" i="11" a="1"/>
  <c r="G113" i="11" s="1"/>
  <c r="H113" i="11" s="1"/>
  <c r="I113" i="11" s="1"/>
  <c r="G117" i="11" a="1"/>
  <c r="G117" i="11" s="1"/>
  <c r="H117" i="11" s="1"/>
  <c r="I117" i="11" s="1"/>
  <c r="G116" i="11" a="1"/>
  <c r="G116" i="11" s="1"/>
  <c r="H116" i="11" s="1"/>
  <c r="I116" i="11" s="1"/>
  <c r="I88" i="11"/>
  <c r="J103" i="11"/>
  <c r="J114" i="11"/>
  <c r="G46" i="11" a="1"/>
  <c r="G46" i="11" s="1"/>
  <c r="H46" i="11" s="1"/>
  <c r="I46" i="11" s="1"/>
  <c r="G45" i="11" a="1"/>
  <c r="G45" i="11" s="1"/>
  <c r="H45" i="11" s="1"/>
  <c r="I45" i="11" s="1"/>
  <c r="G53" i="11" a="1"/>
  <c r="G53" i="11" s="1"/>
  <c r="H53" i="11" s="1"/>
  <c r="G61" i="11" a="1"/>
  <c r="G61" i="11" s="1"/>
  <c r="H61" i="11" s="1"/>
  <c r="G65" i="11" a="1"/>
  <c r="G65" i="11" s="1"/>
  <c r="H65" i="11" s="1"/>
  <c r="G67" i="11" a="1"/>
  <c r="G67" i="11" s="1"/>
  <c r="H67" i="11" s="1"/>
  <c r="G69" i="11" a="1"/>
  <c r="G69" i="11" s="1"/>
  <c r="H69" i="11" s="1"/>
  <c r="G73" i="11" a="1"/>
  <c r="G73" i="11" s="1"/>
  <c r="H73" i="11" s="1"/>
  <c r="H52" i="11"/>
  <c r="G89" i="11" a="1"/>
  <c r="G89" i="11" s="1"/>
  <c r="H89" i="11" s="1"/>
  <c r="I89" i="11" s="1"/>
  <c r="G98" i="11" a="1"/>
  <c r="G98" i="11" s="1"/>
  <c r="H98" i="11" s="1"/>
  <c r="I98" i="11" s="1"/>
  <c r="G109" i="11" a="1"/>
  <c r="G109" i="11" s="1"/>
  <c r="H109" i="11" s="1"/>
  <c r="I109" i="11" s="1"/>
  <c r="G107" i="11" a="1"/>
  <c r="G107" i="11" s="1"/>
  <c r="H107" i="11" s="1"/>
  <c r="I107" i="11" s="1"/>
  <c r="H80" i="11"/>
  <c r="I80" i="11" s="1"/>
  <c r="H83" i="11"/>
  <c r="I83" i="11" s="1"/>
  <c r="H88" i="11"/>
  <c r="H91" i="11"/>
  <c r="I91" i="11" s="1"/>
  <c r="G100" i="11" a="1"/>
  <c r="G100" i="11" s="1"/>
  <c r="H100" i="11" s="1"/>
  <c r="I100" i="11" s="1"/>
  <c r="H103" i="11"/>
  <c r="I103" i="11" s="1"/>
  <c r="G112" i="11" a="1"/>
  <c r="G112" i="11" s="1"/>
  <c r="H112" i="11" s="1"/>
  <c r="I112" i="11" s="1"/>
  <c r="I64" i="11"/>
  <c r="G84" i="11" a="1"/>
  <c r="G84" i="11" s="1"/>
  <c r="H84" i="11" s="1"/>
  <c r="I84" i="11" s="1"/>
  <c r="G92" i="11" a="1"/>
  <c r="G92" i="11" s="1"/>
  <c r="H92" i="11" s="1"/>
  <c r="I92" i="11" s="1"/>
  <c r="H95" i="11"/>
  <c r="I95" i="11" s="1"/>
  <c r="G104" i="11" a="1"/>
  <c r="G104" i="11" s="1"/>
  <c r="H104" i="11" s="1"/>
  <c r="I104" i="11" s="1"/>
  <c r="J112" i="11"/>
  <c r="J115" i="11"/>
  <c r="G38" i="11" a="1"/>
  <c r="G38" i="11" s="1"/>
  <c r="H38" i="11" s="1"/>
  <c r="H40" i="11"/>
  <c r="I40" i="11" s="1"/>
  <c r="G78" i="11" a="1"/>
  <c r="G78" i="11" s="1"/>
  <c r="H78" i="11" s="1"/>
  <c r="I78" i="11" s="1"/>
  <c r="H60" i="11"/>
  <c r="G97" i="11" a="1"/>
  <c r="G97" i="11" s="1"/>
  <c r="H97" i="11" s="1"/>
  <c r="I97" i="11" s="1"/>
  <c r="G76" i="11" a="1"/>
  <c r="G76" i="11" s="1"/>
  <c r="H76" i="11" s="1"/>
  <c r="I76" i="11" s="1"/>
  <c r="H79" i="11"/>
  <c r="I79" i="11" s="1"/>
  <c r="H87" i="11"/>
  <c r="I87" i="11" s="1"/>
  <c r="G96" i="11" a="1"/>
  <c r="G96" i="11" s="1"/>
  <c r="H96" i="11" s="1"/>
  <c r="I96" i="11" s="1"/>
  <c r="J104" i="11"/>
  <c r="J107" i="11"/>
  <c r="G111" i="11" a="1"/>
  <c r="G111" i="11" s="1"/>
  <c r="H111" i="11" s="1"/>
  <c r="I111" i="11" s="1"/>
  <c r="I71" i="11"/>
  <c r="J62" i="9"/>
  <c r="J105" i="9"/>
  <c r="J113" i="9"/>
  <c r="J106" i="9"/>
  <c r="J48" i="9"/>
  <c r="J70" i="9"/>
  <c r="J79" i="9"/>
  <c r="J39" i="9"/>
  <c r="J98" i="9"/>
  <c r="J58" i="9"/>
  <c r="J104" i="9"/>
  <c r="J63" i="9"/>
  <c r="J112" i="9"/>
  <c r="J120" i="9"/>
  <c r="G77" i="9" a="1"/>
  <c r="G77" i="9" s="1"/>
  <c r="H77" i="9" s="1"/>
  <c r="I77" i="9" s="1"/>
  <c r="J95" i="9"/>
  <c r="J50" i="9"/>
  <c r="J55" i="9"/>
  <c r="I60" i="9"/>
  <c r="J67" i="9"/>
  <c r="I72" i="9"/>
  <c r="I52" i="9"/>
  <c r="G118" i="9" a="1"/>
  <c r="G118" i="9" s="1"/>
  <c r="H118" i="9" s="1"/>
  <c r="I118" i="9" s="1"/>
  <c r="J54" i="9"/>
  <c r="J59" i="9"/>
  <c r="J66" i="9"/>
  <c r="J71" i="9"/>
  <c r="G41" i="9" a="1"/>
  <c r="G41" i="9" s="1"/>
  <c r="G86" i="9" a="1"/>
  <c r="G86" i="9" s="1"/>
  <c r="H86" i="9" s="1"/>
  <c r="J51" i="9"/>
  <c r="G91" i="9" a="1"/>
  <c r="G91" i="9" s="1"/>
  <c r="H91" i="9" s="1"/>
  <c r="I91" i="9" s="1"/>
  <c r="I56" i="9"/>
  <c r="G96" i="9" a="1"/>
  <c r="G96" i="9" s="1"/>
  <c r="H96" i="9" s="1"/>
  <c r="G101" i="9" a="1"/>
  <c r="G101" i="9" s="1"/>
  <c r="H101" i="9" s="1"/>
  <c r="I101" i="9" s="1"/>
  <c r="I68" i="9"/>
  <c r="G116" i="9" a="1"/>
  <c r="G116" i="9" s="1"/>
  <c r="H116" i="9" s="1"/>
  <c r="G48" i="9" a="1"/>
  <c r="G48" i="9" s="1"/>
  <c r="H48" i="9" s="1"/>
  <c r="G97" i="9" a="1"/>
  <c r="G97" i="9" s="1"/>
  <c r="H97" i="9" s="1"/>
  <c r="I97" i="9" s="1"/>
  <c r="G109" i="9" a="1"/>
  <c r="G109" i="9" s="1"/>
  <c r="H109" i="9" s="1"/>
  <c r="I109" i="9" s="1"/>
  <c r="G117" i="9" a="1"/>
  <c r="G117" i="9" s="1"/>
  <c r="G120" i="9" a="1"/>
  <c r="G120" i="9" s="1"/>
  <c r="H120" i="9" s="1"/>
  <c r="J108" i="9"/>
  <c r="G40" i="9" a="1"/>
  <c r="G40" i="9" s="1"/>
  <c r="H40" i="9" s="1"/>
  <c r="I40" i="9" s="1"/>
  <c r="G56" i="9" a="1"/>
  <c r="G56" i="9" s="1"/>
  <c r="H56" i="9" s="1"/>
  <c r="G115" i="9" a="1"/>
  <c r="G115" i="9" s="1"/>
  <c r="J92" i="9"/>
  <c r="J121" i="9"/>
  <c r="G121" i="9" a="1"/>
  <c r="G121" i="9" s="1"/>
  <c r="J76" i="9"/>
  <c r="G76" i="9" a="1"/>
  <c r="G76" i="9" s="1"/>
  <c r="H76" i="9" s="1"/>
  <c r="I76" i="9" s="1"/>
  <c r="G81" i="9" a="1"/>
  <c r="G81" i="9" s="1"/>
  <c r="H81" i="9" s="1"/>
  <c r="I81" i="9" s="1"/>
  <c r="G93" i="9" a="1"/>
  <c r="G93" i="9" s="1"/>
  <c r="G102" i="9" a="1"/>
  <c r="G102" i="9" s="1"/>
  <c r="H102" i="9" s="1"/>
  <c r="G107" i="9" a="1"/>
  <c r="G107" i="9" s="1"/>
  <c r="G114" i="9" a="1"/>
  <c r="G114" i="9" s="1"/>
  <c r="H114" i="9" s="1"/>
  <c r="G42" i="9" a="1"/>
  <c r="G42" i="9" s="1"/>
  <c r="H42" i="9" s="1"/>
  <c r="G58" i="9" a="1"/>
  <c r="G58" i="9" s="1"/>
  <c r="H58" i="9" s="1"/>
  <c r="G105" i="9" a="1"/>
  <c r="G105" i="9" s="1"/>
  <c r="H105" i="9" s="1"/>
  <c r="I105" i="9" s="1"/>
  <c r="H107" i="9"/>
  <c r="I107" i="9" s="1"/>
  <c r="G113" i="9" a="1"/>
  <c r="G113" i="9" s="1"/>
  <c r="H115" i="9"/>
  <c r="G39" i="9" a="1"/>
  <c r="G39" i="9" s="1"/>
  <c r="H39" i="9" s="1"/>
  <c r="I39" i="9" s="1"/>
  <c r="G47" i="9" a="1"/>
  <c r="G47" i="9" s="1"/>
  <c r="H47" i="9" s="1"/>
  <c r="I47" i="9" s="1"/>
  <c r="G55" i="9" a="1"/>
  <c r="G55" i="9" s="1"/>
  <c r="G63" i="9" a="1"/>
  <c r="G63" i="9" s="1"/>
  <c r="G71" i="9" a="1"/>
  <c r="G71" i="9" s="1"/>
  <c r="H71" i="9" s="1"/>
  <c r="H41" i="9"/>
  <c r="G78" i="9" a="1"/>
  <c r="G78" i="9" s="1"/>
  <c r="H78" i="9" s="1"/>
  <c r="I48" i="9"/>
  <c r="G87" i="9" a="1"/>
  <c r="G87" i="9" s="1"/>
  <c r="H87" i="9" s="1"/>
  <c r="I87" i="9" s="1"/>
  <c r="G53" i="9" a="1"/>
  <c r="G53" i="9" s="1"/>
  <c r="H53" i="9" s="1"/>
  <c r="G92" i="9" a="1"/>
  <c r="G92" i="9" s="1"/>
  <c r="H92" i="9" s="1"/>
  <c r="G98" i="9" a="1"/>
  <c r="G98" i="9" s="1"/>
  <c r="H98" i="9" s="1"/>
  <c r="I64" i="9"/>
  <c r="G103" i="9" a="1"/>
  <c r="G103" i="9" s="1"/>
  <c r="H103" i="9" s="1"/>
  <c r="I103" i="9" s="1"/>
  <c r="G69" i="9" a="1"/>
  <c r="G69" i="9" s="1"/>
  <c r="H69" i="9" s="1"/>
  <c r="G108" i="9" a="1"/>
  <c r="G108" i="9" s="1"/>
  <c r="H108" i="9" s="1"/>
  <c r="I108" i="9" s="1"/>
  <c r="G57" i="9" a="1"/>
  <c r="G57" i="9" s="1"/>
  <c r="H57" i="9" s="1"/>
  <c r="G50" i="9" a="1"/>
  <c r="G50" i="9" s="1"/>
  <c r="H50" i="9" s="1"/>
  <c r="G66" i="9" a="1"/>
  <c r="G66" i="9" s="1"/>
  <c r="H66" i="9" s="1"/>
  <c r="G74" i="9" a="1"/>
  <c r="G74" i="9" s="1"/>
  <c r="H74" i="9" s="1"/>
  <c r="I74" i="9" s="1"/>
  <c r="I41" i="9"/>
  <c r="G44" i="9" a="1"/>
  <c r="G44" i="9" s="1"/>
  <c r="H44" i="9" s="1"/>
  <c r="I44" i="9" s="1"/>
  <c r="G52" i="9" a="1"/>
  <c r="G52" i="9" s="1"/>
  <c r="H52" i="9" s="1"/>
  <c r="G60" i="9" a="1"/>
  <c r="G60" i="9" s="1"/>
  <c r="H60" i="9" s="1"/>
  <c r="G68" i="9" a="1"/>
  <c r="G68" i="9" s="1"/>
  <c r="H68" i="9" s="1"/>
  <c r="G82" i="9" a="1"/>
  <c r="G82" i="9" s="1"/>
  <c r="H82" i="9" s="1"/>
  <c r="I82" i="9" s="1"/>
  <c r="H55" i="9"/>
  <c r="G112" i="9" a="1"/>
  <c r="G112" i="9" s="1"/>
  <c r="H112" i="9" s="1"/>
  <c r="I112" i="9" s="1"/>
  <c r="I98" i="9"/>
  <c r="I102" i="9"/>
  <c r="I114" i="9"/>
  <c r="G73" i="9" a="1"/>
  <c r="G73" i="9" s="1"/>
  <c r="H73" i="9" s="1"/>
  <c r="G89" i="9" a="1"/>
  <c r="G89" i="9" s="1"/>
  <c r="H121" i="9"/>
  <c r="I121" i="9" s="1"/>
  <c r="G38" i="9" a="1"/>
  <c r="G38" i="9" s="1"/>
  <c r="H38" i="9" s="1"/>
  <c r="I38" i="9" s="1"/>
  <c r="G46" i="9" a="1"/>
  <c r="G46" i="9" s="1"/>
  <c r="H46" i="9" s="1"/>
  <c r="I46" i="9" s="1"/>
  <c r="G54" i="9" a="1"/>
  <c r="G54" i="9" s="1"/>
  <c r="H54" i="9" s="1"/>
  <c r="G62" i="9" a="1"/>
  <c r="G62" i="9" s="1"/>
  <c r="H62" i="9" s="1"/>
  <c r="G70" i="9" a="1"/>
  <c r="G70" i="9" s="1"/>
  <c r="H70" i="9" s="1"/>
  <c r="G80" i="9" a="1"/>
  <c r="G80" i="9" s="1"/>
  <c r="H80" i="9" s="1"/>
  <c r="I80" i="9" s="1"/>
  <c r="G111" i="9" a="1"/>
  <c r="G111" i="9" s="1"/>
  <c r="H111" i="9" s="1"/>
  <c r="I111" i="9" s="1"/>
  <c r="G85" i="9" a="1"/>
  <c r="G85" i="9" s="1"/>
  <c r="H85" i="9" s="1"/>
  <c r="I85" i="9" s="1"/>
  <c r="J99" i="9"/>
  <c r="J103" i="9"/>
  <c r="J107" i="9"/>
  <c r="J111" i="9"/>
  <c r="H113" i="9"/>
  <c r="I113" i="9" s="1"/>
  <c r="J115" i="9"/>
  <c r="H117" i="9"/>
  <c r="I117" i="9" s="1"/>
  <c r="G119" i="9" a="1"/>
  <c r="G119" i="9" s="1"/>
  <c r="H119" i="9" s="1"/>
  <c r="I119" i="9" s="1"/>
  <c r="I86" i="9"/>
  <c r="G51" i="9" a="1"/>
  <c r="G51" i="9" s="1"/>
  <c r="H51" i="9" s="1"/>
  <c r="G75" i="9" a="1"/>
  <c r="G75" i="9" s="1"/>
  <c r="H75" i="9" s="1"/>
  <c r="I75" i="9" s="1"/>
  <c r="G84" i="9" a="1"/>
  <c r="G84" i="9" s="1"/>
  <c r="H84" i="9" s="1"/>
  <c r="I84" i="9" s="1"/>
  <c r="G90" i="9" a="1"/>
  <c r="G90" i="9" s="1"/>
  <c r="H90" i="9" s="1"/>
  <c r="I90" i="9" s="1"/>
  <c r="G61" i="9" a="1"/>
  <c r="G61" i="9" s="1"/>
  <c r="H61" i="9" s="1"/>
  <c r="G100" i="9" a="1"/>
  <c r="G100" i="9" s="1"/>
  <c r="H100" i="9" s="1"/>
  <c r="G106" i="9" a="1"/>
  <c r="G106" i="9" s="1"/>
  <c r="H106" i="9" s="1"/>
  <c r="I106" i="9" s="1"/>
  <c r="G64" i="9" a="1"/>
  <c r="G64" i="9" s="1"/>
  <c r="H64" i="9" s="1"/>
  <c r="G72" i="9" a="1"/>
  <c r="G72" i="9" s="1"/>
  <c r="H72" i="9" s="1"/>
  <c r="G79" i="9" a="1"/>
  <c r="G79" i="9" s="1"/>
  <c r="H79" i="9" s="1"/>
  <c r="I79" i="9" s="1"/>
  <c r="G45" i="9" a="1"/>
  <c r="G45" i="9" s="1"/>
  <c r="H45" i="9" s="1"/>
  <c r="I45" i="9" s="1"/>
  <c r="H63" i="9"/>
  <c r="I78" i="9"/>
  <c r="J91" i="9"/>
  <c r="H93" i="9"/>
  <c r="I93" i="9" s="1"/>
  <c r="G43" i="9" a="1"/>
  <c r="G43" i="9" s="1"/>
  <c r="H43" i="9" s="1"/>
  <c r="I43" i="9" s="1"/>
  <c r="G59" i="9" a="1"/>
  <c r="G59" i="9" s="1"/>
  <c r="H59" i="9" s="1"/>
  <c r="G67" i="9" a="1"/>
  <c r="G67" i="9" s="1"/>
  <c r="H67" i="9" s="1"/>
  <c r="G95" i="9" a="1"/>
  <c r="G95" i="9" s="1"/>
  <c r="H95" i="9" s="1"/>
  <c r="I95" i="9" s="1"/>
  <c r="I42" i="9"/>
  <c r="G83" i="9" a="1"/>
  <c r="G83" i="9" s="1"/>
  <c r="H83" i="9" s="1"/>
  <c r="I83" i="9" s="1"/>
  <c r="G49" i="9" a="1"/>
  <c r="G49" i="9" s="1"/>
  <c r="H49" i="9" s="1"/>
  <c r="I49" i="9" s="1"/>
  <c r="G88" i="9" a="1"/>
  <c r="G88" i="9" s="1"/>
  <c r="H88" i="9" s="1"/>
  <c r="I88" i="9" s="1"/>
  <c r="G94" i="9" a="1"/>
  <c r="G94" i="9" s="1"/>
  <c r="H94" i="9" s="1"/>
  <c r="I94" i="9" s="1"/>
  <c r="G99" i="9" a="1"/>
  <c r="G99" i="9" s="1"/>
  <c r="H99" i="9" s="1"/>
  <c r="I99" i="9" s="1"/>
  <c r="G65" i="9" a="1"/>
  <c r="G65" i="9" s="1"/>
  <c r="H65" i="9" s="1"/>
  <c r="G104" i="9" a="1"/>
  <c r="G104" i="9" s="1"/>
  <c r="H104" i="9" s="1"/>
  <c r="I104" i="9" s="1"/>
  <c r="G110" i="9" a="1"/>
  <c r="G110" i="9" s="1"/>
  <c r="H110" i="9" s="1"/>
  <c r="I110" i="9" s="1"/>
  <c r="J75" i="9"/>
  <c r="J87" i="9"/>
  <c r="H89" i="9"/>
  <c r="I89" i="9" s="1"/>
  <c r="I115" i="9"/>
  <c r="J57" i="9"/>
  <c r="J61" i="9"/>
  <c r="J69" i="9"/>
  <c r="J73" i="9"/>
  <c r="J77" i="9"/>
  <c r="J81" i="9"/>
  <c r="J85" i="9"/>
  <c r="J89" i="9"/>
  <c r="J93" i="9"/>
  <c r="J97" i="9"/>
  <c r="J41" i="9"/>
  <c r="J45" i="9"/>
  <c r="J49" i="9"/>
  <c r="J53" i="9"/>
  <c r="J65" i="9"/>
  <c r="J117" i="9"/>
  <c r="I92" i="9"/>
  <c r="I96" i="9"/>
  <c r="I100" i="9"/>
  <c r="I116" i="9"/>
  <c r="I120" i="9"/>
  <c r="J41" i="8"/>
  <c r="J84" i="8"/>
  <c r="J53" i="8"/>
  <c r="J56" i="8"/>
  <c r="J59" i="8"/>
  <c r="J87" i="8"/>
  <c r="J42" i="8"/>
  <c r="G110" i="8" a="1"/>
  <c r="G110" i="8" s="1"/>
  <c r="H110" i="8" s="1"/>
  <c r="I110" i="8" s="1"/>
  <c r="J81" i="8"/>
  <c r="J89" i="8"/>
  <c r="J97" i="8"/>
  <c r="J105" i="8"/>
  <c r="J49" i="8"/>
  <c r="G87" i="8" a="1"/>
  <c r="G87" i="8" s="1"/>
  <c r="H87" i="8" s="1"/>
  <c r="J85" i="8"/>
  <c r="J93" i="8"/>
  <c r="G109" i="8" a="1"/>
  <c r="G109" i="8" s="1"/>
  <c r="H109" i="8" s="1"/>
  <c r="I109" i="8" s="1"/>
  <c r="G111" i="8" a="1"/>
  <c r="G111" i="8" s="1"/>
  <c r="H111" i="8" s="1"/>
  <c r="J119" i="8"/>
  <c r="J45" i="8"/>
  <c r="G84" i="8" a="1"/>
  <c r="G84" i="8" s="1"/>
  <c r="H84" i="8" s="1"/>
  <c r="I84" i="8" s="1"/>
  <c r="J52" i="8"/>
  <c r="J68" i="8"/>
  <c r="J116" i="8"/>
  <c r="J91" i="8"/>
  <c r="J39" i="8"/>
  <c r="J61" i="8"/>
  <c r="J67" i="8"/>
  <c r="J99" i="8"/>
  <c r="G47" i="8" a="1"/>
  <c r="G47" i="8" s="1"/>
  <c r="G38" i="8" a="1"/>
  <c r="G38" i="8" s="1"/>
  <c r="H38" i="8" s="1"/>
  <c r="I38" i="8" s="1"/>
  <c r="G56" i="8" a="1"/>
  <c r="G56" i="8" s="1"/>
  <c r="H56" i="8" s="1"/>
  <c r="G64" i="8" a="1"/>
  <c r="G64" i="8" s="1"/>
  <c r="H64" i="8" s="1"/>
  <c r="G72" i="8" a="1"/>
  <c r="G72" i="8" s="1"/>
  <c r="J38" i="8"/>
  <c r="J60" i="8"/>
  <c r="J106" i="8"/>
  <c r="G74" i="8" a="1"/>
  <c r="G74" i="8" s="1"/>
  <c r="H74" i="8" s="1"/>
  <c r="G80" i="8" a="1"/>
  <c r="G80" i="8" s="1"/>
  <c r="H80" i="8" s="1"/>
  <c r="I80" i="8" s="1"/>
  <c r="G98" i="8" a="1"/>
  <c r="G98" i="8" s="1"/>
  <c r="H98" i="8" s="1"/>
  <c r="I98" i="8" s="1"/>
  <c r="G106" i="8" a="1"/>
  <c r="G106" i="8" s="1"/>
  <c r="H106" i="8" s="1"/>
  <c r="I106" i="8" s="1"/>
  <c r="J75" i="8"/>
  <c r="G117" i="8" a="1"/>
  <c r="G117" i="8" s="1"/>
  <c r="H117" i="8" s="1"/>
  <c r="I117" i="8" s="1"/>
  <c r="G118" i="8" a="1"/>
  <c r="G118" i="8" s="1"/>
  <c r="H118" i="8" s="1"/>
  <c r="I118" i="8" s="1"/>
  <c r="J104" i="8"/>
  <c r="J107" i="8"/>
  <c r="G45" i="8" a="1"/>
  <c r="G45" i="8" s="1"/>
  <c r="H45" i="8" s="1"/>
  <c r="I45" i="8" s="1"/>
  <c r="G61" i="8" a="1"/>
  <c r="G61" i="8" s="1"/>
  <c r="H61" i="8" s="1"/>
  <c r="G102" i="8" a="1"/>
  <c r="G102" i="8" s="1"/>
  <c r="H102" i="8" s="1"/>
  <c r="I102" i="8" s="1"/>
  <c r="G54" i="8" a="1"/>
  <c r="G54" i="8" s="1"/>
  <c r="H54" i="8" s="1"/>
  <c r="G62" i="8" a="1"/>
  <c r="G62" i="8" s="1"/>
  <c r="H62" i="8" s="1"/>
  <c r="G70" i="8" a="1"/>
  <c r="G70" i="8" s="1"/>
  <c r="H70" i="8" s="1"/>
  <c r="G79" i="8" a="1"/>
  <c r="G79" i="8" s="1"/>
  <c r="H79" i="8" s="1"/>
  <c r="J55" i="8"/>
  <c r="G94" i="8" a="1"/>
  <c r="G94" i="8" s="1"/>
  <c r="H94" i="8" s="1"/>
  <c r="I94" i="8" s="1"/>
  <c r="G104" i="8" a="1"/>
  <c r="G104" i="8" s="1"/>
  <c r="H104" i="8" s="1"/>
  <c r="I104" i="8" s="1"/>
  <c r="G107" i="8" a="1"/>
  <c r="G107" i="8" s="1"/>
  <c r="H107" i="8" s="1"/>
  <c r="I107" i="8" s="1"/>
  <c r="J73" i="8"/>
  <c r="G119" i="8" a="1"/>
  <c r="G119" i="8" s="1"/>
  <c r="H119" i="8" s="1"/>
  <c r="I119" i="8" s="1"/>
  <c r="J92" i="8"/>
  <c r="J95" i="8"/>
  <c r="G46" i="8" a="1"/>
  <c r="G46" i="8" s="1"/>
  <c r="H46" i="8" s="1"/>
  <c r="G69" i="8" a="1"/>
  <c r="G69" i="8" s="1"/>
  <c r="H69" i="8" s="1"/>
  <c r="J44" i="8"/>
  <c r="G83" i="8" a="1"/>
  <c r="G83" i="8" s="1"/>
  <c r="H83" i="8" s="1"/>
  <c r="I83" i="8" s="1"/>
  <c r="G76" i="8" a="1"/>
  <c r="G76" i="8" s="1"/>
  <c r="J43" i="8"/>
  <c r="J51" i="8"/>
  <c r="G90" i="8" a="1"/>
  <c r="G90" i="8" s="1"/>
  <c r="H90" i="8" s="1"/>
  <c r="I90" i="8" s="1"/>
  <c r="G100" i="8" a="1"/>
  <c r="G100" i="8" s="1"/>
  <c r="H100" i="8" s="1"/>
  <c r="I100" i="8" s="1"/>
  <c r="G103" i="8" a="1"/>
  <c r="G103" i="8" s="1"/>
  <c r="H103" i="8" s="1"/>
  <c r="I103" i="8" s="1"/>
  <c r="J69" i="8"/>
  <c r="J80" i="8"/>
  <c r="J83" i="8"/>
  <c r="J112" i="8"/>
  <c r="J115" i="8"/>
  <c r="G53" i="8" a="1"/>
  <c r="G53" i="8" s="1"/>
  <c r="H53" i="8" s="1"/>
  <c r="J47" i="8"/>
  <c r="G41" i="8" a="1"/>
  <c r="G41" i="8" s="1"/>
  <c r="H41" i="8" s="1"/>
  <c r="I41" i="8" s="1"/>
  <c r="G49" i="8" a="1"/>
  <c r="G49" i="8" s="1"/>
  <c r="H49" i="8" s="1"/>
  <c r="I49" i="8" s="1"/>
  <c r="G57" i="8" a="1"/>
  <c r="G57" i="8" s="1"/>
  <c r="H57" i="8" s="1"/>
  <c r="G65" i="8" a="1"/>
  <c r="G65" i="8" s="1"/>
  <c r="H65" i="8" s="1"/>
  <c r="G73" i="8" a="1"/>
  <c r="G73" i="8" s="1"/>
  <c r="H73" i="8" s="1"/>
  <c r="G75" i="8" a="1"/>
  <c r="G75" i="8" s="1"/>
  <c r="G86" i="8" a="1"/>
  <c r="G86" i="8" s="1"/>
  <c r="H86" i="8" s="1"/>
  <c r="I86" i="8" s="1"/>
  <c r="G96" i="8" a="1"/>
  <c r="G96" i="8" s="1"/>
  <c r="H96" i="8" s="1"/>
  <c r="I96" i="8" s="1"/>
  <c r="G99" i="8" a="1"/>
  <c r="G99" i="8" s="1"/>
  <c r="H99" i="8" s="1"/>
  <c r="I99" i="8" s="1"/>
  <c r="J65" i="8"/>
  <c r="J72" i="8"/>
  <c r="G113" i="8" a="1"/>
  <c r="G113" i="8" s="1"/>
  <c r="G114" i="8" a="1"/>
  <c r="G114" i="8" s="1"/>
  <c r="H114" i="8" s="1"/>
  <c r="I114" i="8" s="1"/>
  <c r="J100" i="8"/>
  <c r="J103" i="8"/>
  <c r="J120" i="8"/>
  <c r="G82" i="8" a="1"/>
  <c r="G82" i="8" s="1"/>
  <c r="H82" i="8" s="1"/>
  <c r="I82" i="8" s="1"/>
  <c r="G92" i="8" a="1"/>
  <c r="G92" i="8" s="1"/>
  <c r="H92" i="8" s="1"/>
  <c r="I92" i="8" s="1"/>
  <c r="G95" i="8" a="1"/>
  <c r="G95" i="8" s="1"/>
  <c r="H95" i="8" s="1"/>
  <c r="I95" i="8" s="1"/>
  <c r="G115" i="8" a="1"/>
  <c r="G115" i="8" s="1"/>
  <c r="H115" i="8" s="1"/>
  <c r="I115" i="8" s="1"/>
  <c r="G42" i="8" a="1"/>
  <c r="G42" i="8" s="1"/>
  <c r="H42" i="8" s="1"/>
  <c r="I42" i="8" s="1"/>
  <c r="G50" i="8" a="1"/>
  <c r="G50" i="8" s="1"/>
  <c r="H50" i="8" s="1"/>
  <c r="G58" i="8" a="1"/>
  <c r="G58" i="8" s="1"/>
  <c r="H58" i="8" s="1"/>
  <c r="G66" i="8" a="1"/>
  <c r="G66" i="8" s="1"/>
  <c r="H66" i="8" s="1"/>
  <c r="G78" i="8" a="1"/>
  <c r="G78" i="8" s="1"/>
  <c r="H78" i="8" s="1"/>
  <c r="I78" i="8" s="1"/>
  <c r="G88" i="8" a="1"/>
  <c r="G88" i="8" s="1"/>
  <c r="H88" i="8" s="1"/>
  <c r="I88" i="8" s="1"/>
  <c r="G91" i="8" a="1"/>
  <c r="G91" i="8" s="1"/>
  <c r="H91" i="8" s="1"/>
  <c r="I91" i="8" s="1"/>
  <c r="J57" i="8"/>
  <c r="J64" i="8"/>
  <c r="J71" i="8"/>
  <c r="J76" i="8"/>
  <c r="J79" i="8"/>
  <c r="G121" i="8" a="1"/>
  <c r="G121" i="8" s="1"/>
  <c r="H121" i="8" s="1"/>
  <c r="I121" i="8" s="1"/>
  <c r="J102" i="8"/>
  <c r="J108" i="8"/>
  <c r="J111" i="8"/>
  <c r="I87" i="8"/>
  <c r="H72" i="8"/>
  <c r="H113" i="8"/>
  <c r="I113" i="8" s="1"/>
  <c r="I74" i="8"/>
  <c r="I46" i="8"/>
  <c r="I79" i="8"/>
  <c r="I111" i="8"/>
  <c r="I62" i="8"/>
  <c r="I70" i="8"/>
  <c r="G40" i="8" a="1"/>
  <c r="G40" i="8" s="1"/>
  <c r="H40" i="8" s="1"/>
  <c r="I40" i="8" s="1"/>
  <c r="G44" i="8" a="1"/>
  <c r="G44" i="8" s="1"/>
  <c r="H44" i="8" s="1"/>
  <c r="I44" i="8" s="1"/>
  <c r="J46" i="8"/>
  <c r="H47" i="8"/>
  <c r="I47" i="8" s="1"/>
  <c r="G48" i="8" a="1"/>
  <c r="G48" i="8" s="1"/>
  <c r="H48" i="8" s="1"/>
  <c r="I48" i="8" s="1"/>
  <c r="J50" i="8"/>
  <c r="G52" i="8" a="1"/>
  <c r="G52" i="8" s="1"/>
  <c r="H52" i="8" s="1"/>
  <c r="J54" i="8"/>
  <c r="J58" i="8"/>
  <c r="G60" i="8" a="1"/>
  <c r="G60" i="8" s="1"/>
  <c r="H60" i="8" s="1"/>
  <c r="J66" i="8"/>
  <c r="G68" i="8" a="1"/>
  <c r="G68" i="8" s="1"/>
  <c r="H68" i="8" s="1"/>
  <c r="J74" i="8"/>
  <c r="H75" i="8"/>
  <c r="I75" i="8" s="1"/>
  <c r="J78" i="8"/>
  <c r="J82" i="8"/>
  <c r="J90" i="8"/>
  <c r="J94" i="8"/>
  <c r="J98" i="8"/>
  <c r="G108" i="8" a="1"/>
  <c r="G108" i="8" s="1"/>
  <c r="H108" i="8" s="1"/>
  <c r="I108" i="8" s="1"/>
  <c r="J110" i="8"/>
  <c r="G112" i="8" a="1"/>
  <c r="G112" i="8" s="1"/>
  <c r="H112" i="8" s="1"/>
  <c r="I112" i="8" s="1"/>
  <c r="J114" i="8"/>
  <c r="G116" i="8" a="1"/>
  <c r="G116" i="8" s="1"/>
  <c r="H116" i="8" s="1"/>
  <c r="I116" i="8" s="1"/>
  <c r="G120" i="8" a="1"/>
  <c r="G120" i="8" s="1"/>
  <c r="H120" i="8" s="1"/>
  <c r="I120" i="8" s="1"/>
  <c r="G67" i="8" a="1"/>
  <c r="G67" i="8" s="1"/>
  <c r="H67" i="8" s="1"/>
  <c r="G63" i="8" a="1"/>
  <c r="G63" i="8" s="1"/>
  <c r="H63" i="8" s="1"/>
  <c r="H76" i="8"/>
  <c r="I76" i="8" s="1"/>
  <c r="G77" i="8" a="1"/>
  <c r="G77" i="8" s="1"/>
  <c r="H77" i="8" s="1"/>
  <c r="I77" i="8" s="1"/>
  <c r="G81" i="8" a="1"/>
  <c r="G81" i="8" s="1"/>
  <c r="H81" i="8" s="1"/>
  <c r="I81" i="8" s="1"/>
  <c r="G85" i="8" a="1"/>
  <c r="G85" i="8" s="1"/>
  <c r="H85" i="8" s="1"/>
  <c r="I85" i="8" s="1"/>
  <c r="G89" i="8" a="1"/>
  <c r="G89" i="8" s="1"/>
  <c r="H89" i="8" s="1"/>
  <c r="I89" i="8" s="1"/>
  <c r="G93" i="8" a="1"/>
  <c r="G93" i="8" s="1"/>
  <c r="H93" i="8" s="1"/>
  <c r="I93" i="8" s="1"/>
  <c r="G97" i="8" a="1"/>
  <c r="G97" i="8" s="1"/>
  <c r="H97" i="8" s="1"/>
  <c r="I97" i="8" s="1"/>
  <c r="G101" i="8" a="1"/>
  <c r="G101" i="8" s="1"/>
  <c r="H101" i="8" s="1"/>
  <c r="I101" i="8" s="1"/>
  <c r="G105" i="8" a="1"/>
  <c r="G105" i="8" s="1"/>
  <c r="H105" i="8" s="1"/>
  <c r="I105" i="8" s="1"/>
  <c r="G43" i="8" a="1"/>
  <c r="G43" i="8" s="1"/>
  <c r="H43" i="8" s="1"/>
  <c r="I43" i="8" s="1"/>
  <c r="G51" i="8" a="1"/>
  <c r="G51" i="8" s="1"/>
  <c r="H51" i="8" s="1"/>
  <c r="G71" i="8" a="1"/>
  <c r="G71" i="8" s="1"/>
  <c r="H71" i="8" s="1"/>
  <c r="G39" i="8" a="1"/>
  <c r="G39" i="8" s="1"/>
  <c r="H39" i="8" s="1"/>
  <c r="G55" i="8" a="1"/>
  <c r="G55" i="8" s="1"/>
  <c r="H55" i="8" s="1"/>
  <c r="G59" i="8" a="1"/>
  <c r="G59" i="8" s="1"/>
  <c r="H59" i="8" s="1"/>
  <c r="J38" i="7"/>
  <c r="J46" i="7"/>
  <c r="J41" i="7"/>
  <c r="J74" i="7"/>
  <c r="J78" i="7"/>
  <c r="J82" i="7"/>
  <c r="J86" i="7"/>
  <c r="J90" i="7"/>
  <c r="J94" i="7"/>
  <c r="J102" i="7"/>
  <c r="J106" i="7"/>
  <c r="J110" i="7"/>
  <c r="J114" i="7"/>
  <c r="J118" i="7"/>
  <c r="J70" i="7"/>
  <c r="J54" i="7"/>
  <c r="I69" i="7"/>
  <c r="I53" i="7"/>
  <c r="J66" i="7"/>
  <c r="J50" i="7"/>
  <c r="J62" i="7"/>
  <c r="I61" i="7"/>
  <c r="I65" i="7"/>
  <c r="J58" i="7"/>
  <c r="J49" i="7"/>
  <c r="J77" i="7"/>
  <c r="J81" i="7"/>
  <c r="J85" i="7"/>
  <c r="J89" i="7"/>
  <c r="J93" i="7"/>
  <c r="J97" i="7"/>
  <c r="J101" i="7"/>
  <c r="J105" i="7"/>
  <c r="J109" i="7"/>
  <c r="J113" i="7"/>
  <c r="J117" i="7"/>
  <c r="J121" i="7"/>
  <c r="I73" i="7"/>
  <c r="I57" i="7"/>
  <c r="J120" i="7"/>
  <c r="J116" i="7"/>
  <c r="J112" i="7"/>
  <c r="J108" i="7"/>
  <c r="J104" i="7"/>
  <c r="J100" i="7"/>
  <c r="J96" i="7"/>
  <c r="J92" i="7"/>
  <c r="J88" i="7"/>
  <c r="J84" i="7"/>
  <c r="J80" i="7"/>
  <c r="J76" i="7"/>
  <c r="J72" i="7"/>
  <c r="J68" i="7"/>
  <c r="J64" i="7"/>
  <c r="J60" i="7"/>
  <c r="J56" i="7"/>
  <c r="J52" i="7"/>
  <c r="J48" i="7"/>
  <c r="J44" i="7"/>
  <c r="J40" i="7"/>
  <c r="J119" i="7"/>
  <c r="J115" i="7"/>
  <c r="J111" i="7"/>
  <c r="J107" i="7"/>
  <c r="J103" i="7"/>
  <c r="J99" i="7"/>
  <c r="J95" i="7"/>
  <c r="J91" i="7"/>
  <c r="J87" i="7"/>
  <c r="J83" i="7"/>
  <c r="J79" i="7"/>
  <c r="J75" i="7"/>
  <c r="J71" i="7"/>
  <c r="J67" i="7"/>
  <c r="J63" i="7"/>
  <c r="J59" i="7"/>
  <c r="J55" i="7"/>
  <c r="J51" i="7"/>
  <c r="J47" i="7"/>
  <c r="J43" i="7"/>
  <c r="J39" i="7"/>
  <c r="G118" i="7" a="1"/>
  <c r="G118" i="7" s="1"/>
  <c r="H118" i="7" s="1"/>
  <c r="I118" i="7" s="1"/>
  <c r="G40" i="7" a="1"/>
  <c r="G40" i="7" s="1"/>
  <c r="H40" i="7" s="1"/>
  <c r="I40" i="7" s="1"/>
  <c r="G102" i="7" a="1"/>
  <c r="G102" i="7" s="1"/>
  <c r="H102" i="7" s="1"/>
  <c r="I102" i="7" s="1"/>
  <c r="G54" i="7" a="1"/>
  <c r="G54" i="7" s="1"/>
  <c r="H54" i="7" s="1"/>
  <c r="G117" i="7" a="1"/>
  <c r="G117" i="7" s="1"/>
  <c r="H117" i="7" s="1"/>
  <c r="I117" i="7" s="1"/>
  <c r="G109" i="7" a="1"/>
  <c r="G109" i="7" s="1"/>
  <c r="H109" i="7" s="1"/>
  <c r="I109" i="7" s="1"/>
  <c r="G101" i="7" a="1"/>
  <c r="G101" i="7" s="1"/>
  <c r="H101" i="7" s="1"/>
  <c r="I101" i="7" s="1"/>
  <c r="G93" i="7" a="1"/>
  <c r="G93" i="7" s="1"/>
  <c r="H93" i="7" s="1"/>
  <c r="I93" i="7" s="1"/>
  <c r="G77" i="7" a="1"/>
  <c r="G77" i="7" s="1"/>
  <c r="H77" i="7" s="1"/>
  <c r="I77" i="7" s="1"/>
  <c r="G69" i="7" a="1"/>
  <c r="G69" i="7" s="1"/>
  <c r="H69" i="7" s="1"/>
  <c r="G61" i="7" a="1"/>
  <c r="G61" i="7" s="1"/>
  <c r="H61" i="7" s="1"/>
  <c r="G108" i="7" a="1"/>
  <c r="G108" i="7" s="1"/>
  <c r="H108" i="7" s="1"/>
  <c r="I108" i="7" s="1"/>
  <c r="G84" i="7" a="1"/>
  <c r="G84" i="7" s="1"/>
  <c r="H84" i="7" s="1"/>
  <c r="I84" i="7" s="1"/>
  <c r="G60" i="7" a="1"/>
  <c r="G60" i="7" s="1"/>
  <c r="H60" i="7" s="1"/>
  <c r="G52" i="7" a="1"/>
  <c r="G52" i="7" s="1"/>
  <c r="H52" i="7" s="1"/>
  <c r="G44" i="7" a="1"/>
  <c r="G44" i="7" s="1"/>
  <c r="H44" i="7" s="1"/>
  <c r="I44" i="7" s="1"/>
  <c r="G85" i="7" a="1"/>
  <c r="G85" i="7" s="1"/>
  <c r="H85" i="7" s="1"/>
  <c r="I85" i="7" s="1"/>
  <c r="G70" i="7" a="1"/>
  <c r="G70" i="7" s="1"/>
  <c r="H70" i="7" s="1"/>
  <c r="G99" i="7" a="1"/>
  <c r="G99" i="7" s="1"/>
  <c r="H99" i="7" s="1"/>
  <c r="I99" i="7" s="1"/>
  <c r="G114" i="7" a="1"/>
  <c r="G114" i="7" s="1"/>
  <c r="H114" i="7" s="1"/>
  <c r="I114" i="7" s="1"/>
  <c r="G106" i="7" a="1"/>
  <c r="G106" i="7" s="1"/>
  <c r="H106" i="7" s="1"/>
  <c r="I106" i="7" s="1"/>
  <c r="G98" i="7" a="1"/>
  <c r="G98" i="7" s="1"/>
  <c r="H98" i="7" s="1"/>
  <c r="I98" i="7" s="1"/>
  <c r="G90" i="7" a="1"/>
  <c r="G90" i="7" s="1"/>
  <c r="H90" i="7" s="1"/>
  <c r="I90" i="7" s="1"/>
  <c r="G82" i="7" a="1"/>
  <c r="G82" i="7" s="1"/>
  <c r="H82" i="7" s="1"/>
  <c r="I82" i="7" s="1"/>
  <c r="G74" i="7" a="1"/>
  <c r="G74" i="7" s="1"/>
  <c r="H74" i="7" s="1"/>
  <c r="I74" i="7" s="1"/>
  <c r="G66" i="7" a="1"/>
  <c r="G66" i="7" s="1"/>
  <c r="H66" i="7" s="1"/>
  <c r="G56" i="7" a="1"/>
  <c r="G56" i="7" s="1"/>
  <c r="H56" i="7" s="1"/>
  <c r="G50" i="7" a="1"/>
  <c r="G50" i="7" s="1"/>
  <c r="H50" i="7" s="1"/>
  <c r="G42" i="7" a="1"/>
  <c r="G42" i="7" s="1"/>
  <c r="H42" i="7" s="1"/>
  <c r="I42" i="7" s="1"/>
  <c r="G46" i="7" a="1"/>
  <c r="G46" i="7" s="1"/>
  <c r="H46" i="7" s="1"/>
  <c r="I46" i="7" s="1"/>
  <c r="G107" i="7" a="1"/>
  <c r="G107" i="7" s="1"/>
  <c r="H107" i="7" s="1"/>
  <c r="I107" i="7" s="1"/>
  <c r="G59" i="7" a="1"/>
  <c r="G59" i="7" s="1"/>
  <c r="H59" i="7" s="1"/>
  <c r="G121" i="7" a="1"/>
  <c r="G121" i="7" s="1"/>
  <c r="H121" i="7" s="1"/>
  <c r="I121" i="7" s="1"/>
  <c r="G105" i="7" a="1"/>
  <c r="G105" i="7" s="1"/>
  <c r="H105" i="7" s="1"/>
  <c r="I105" i="7" s="1"/>
  <c r="G97" i="7" a="1"/>
  <c r="G97" i="7" s="1"/>
  <c r="H97" i="7" s="1"/>
  <c r="I97" i="7" s="1"/>
  <c r="G89" i="7" a="1"/>
  <c r="G89" i="7" s="1"/>
  <c r="H89" i="7" s="1"/>
  <c r="I89" i="7" s="1"/>
  <c r="G81" i="7" a="1"/>
  <c r="G81" i="7" s="1"/>
  <c r="H81" i="7" s="1"/>
  <c r="I81" i="7" s="1"/>
  <c r="G73" i="7" a="1"/>
  <c r="G73" i="7" s="1"/>
  <c r="H73" i="7" s="1"/>
  <c r="G49" i="7" a="1"/>
  <c r="G49" i="7" s="1"/>
  <c r="H49" i="7" s="1"/>
  <c r="I49" i="7" s="1"/>
  <c r="G41" i="7" a="1"/>
  <c r="G41" i="7" s="1"/>
  <c r="H41" i="7" s="1"/>
  <c r="I41" i="7" s="1"/>
  <c r="G110" i="7" a="1"/>
  <c r="G110" i="7" s="1"/>
  <c r="H110" i="7" s="1"/>
  <c r="I110" i="7" s="1"/>
  <c r="G62" i="7" a="1"/>
  <c r="G62" i="7" s="1"/>
  <c r="H62" i="7" s="1"/>
  <c r="G67" i="7" a="1"/>
  <c r="G67" i="7" s="1"/>
  <c r="H67" i="7" s="1"/>
  <c r="G120" i="7" a="1"/>
  <c r="G120" i="7" s="1"/>
  <c r="H120" i="7" s="1"/>
  <c r="I120" i="7" s="1"/>
  <c r="G112" i="7" a="1"/>
  <c r="G112" i="7" s="1"/>
  <c r="H112" i="7" s="1"/>
  <c r="I112" i="7" s="1"/>
  <c r="G104" i="7" a="1"/>
  <c r="G104" i="7" s="1"/>
  <c r="H104" i="7" s="1"/>
  <c r="I104" i="7" s="1"/>
  <c r="G72" i="7" a="1"/>
  <c r="G72" i="7" s="1"/>
  <c r="H72" i="7" s="1"/>
  <c r="G64" i="7" a="1"/>
  <c r="G64" i="7" s="1"/>
  <c r="H64" i="7" s="1"/>
  <c r="G48" i="7" a="1"/>
  <c r="G48" i="7" s="1"/>
  <c r="H48" i="7" s="1"/>
  <c r="I48" i="7" s="1"/>
  <c r="G92" i="7" a="1"/>
  <c r="G92" i="7" s="1"/>
  <c r="H92" i="7" s="1"/>
  <c r="I92" i="7" s="1"/>
  <c r="G78" i="7" a="1"/>
  <c r="G78" i="7" s="1"/>
  <c r="H78" i="7" s="1"/>
  <c r="I78" i="7" s="1"/>
  <c r="G43" i="7" a="1"/>
  <c r="G43" i="7" s="1"/>
  <c r="H43" i="7" s="1"/>
  <c r="I43" i="7" s="1"/>
  <c r="G119" i="7" a="1"/>
  <c r="G119" i="7" s="1"/>
  <c r="H119" i="7" s="1"/>
  <c r="I119" i="7" s="1"/>
  <c r="G111" i="7" a="1"/>
  <c r="G111" i="7" s="1"/>
  <c r="H111" i="7" s="1"/>
  <c r="I111" i="7" s="1"/>
  <c r="G103" i="7" a="1"/>
  <c r="G103" i="7" s="1"/>
  <c r="H103" i="7" s="1"/>
  <c r="I103" i="7" s="1"/>
  <c r="G95" i="7" a="1"/>
  <c r="G95" i="7" s="1"/>
  <c r="H95" i="7" s="1"/>
  <c r="I95" i="7" s="1"/>
  <c r="G87" i="7" a="1"/>
  <c r="G87" i="7" s="1"/>
  <c r="H87" i="7" s="1"/>
  <c r="I87" i="7" s="1"/>
  <c r="G79" i="7" a="1"/>
  <c r="G79" i="7" s="1"/>
  <c r="H79" i="7" s="1"/>
  <c r="I79" i="7" s="1"/>
  <c r="G68" i="7" a="1"/>
  <c r="G68" i="7" s="1"/>
  <c r="H68" i="7" s="1"/>
  <c r="G57" i="7" a="1"/>
  <c r="G57" i="7" s="1"/>
  <c r="H57" i="7" s="1"/>
  <c r="G55" i="7" a="1"/>
  <c r="G55" i="7" s="1"/>
  <c r="H55" i="7" s="1"/>
  <c r="G47" i="7" a="1"/>
  <c r="G47" i="7" s="1"/>
  <c r="H47" i="7" s="1"/>
  <c r="I47" i="7" s="1"/>
  <c r="G39" i="7" a="1"/>
  <c r="G39" i="7" s="1"/>
  <c r="H39" i="7" s="1"/>
  <c r="I39" i="7" s="1"/>
  <c r="G75" i="7" a="1"/>
  <c r="G75" i="7" s="1"/>
  <c r="H75" i="7" s="1"/>
  <c r="I75" i="7" s="1"/>
  <c r="G113" i="7" a="1"/>
  <c r="G113" i="7" s="1"/>
  <c r="H113" i="7" s="1"/>
  <c r="I113" i="7" s="1"/>
  <c r="G88" i="7" a="1"/>
  <c r="G88" i="7" s="1"/>
  <c r="H88" i="7" s="1"/>
  <c r="I88" i="7" s="1"/>
  <c r="G83" i="7" a="1"/>
  <c r="G83" i="7" s="1"/>
  <c r="H83" i="7" s="1"/>
  <c r="I83" i="7" s="1"/>
  <c r="G76" i="7" a="1"/>
  <c r="G76" i="7" s="1"/>
  <c r="H76" i="7" s="1"/>
  <c r="I76" i="7" s="1"/>
  <c r="G65" i="7" a="1"/>
  <c r="G65" i="7" s="1"/>
  <c r="H65" i="7" s="1"/>
  <c r="G53" i="7" a="1"/>
  <c r="G53" i="7" s="1"/>
  <c r="H53" i="7" s="1"/>
  <c r="G63" i="7" a="1"/>
  <c r="G63" i="7" s="1"/>
  <c r="H63" i="7" s="1"/>
  <c r="G58" i="7" a="1"/>
  <c r="G58" i="7" s="1"/>
  <c r="H58" i="7" s="1"/>
  <c r="G116" i="7" a="1"/>
  <c r="G116" i="7" s="1"/>
  <c r="H116" i="7" s="1"/>
  <c r="I116" i="7" s="1"/>
  <c r="G86" i="7" a="1"/>
  <c r="G86" i="7" s="1"/>
  <c r="H86" i="7" s="1"/>
  <c r="I86" i="7" s="1"/>
  <c r="G51" i="7" a="1"/>
  <c r="G51" i="7" s="1"/>
  <c r="H51" i="7" s="1"/>
  <c r="G91" i="7" a="1"/>
  <c r="G91" i="7" s="1"/>
  <c r="H91" i="7" s="1"/>
  <c r="I91" i="7" s="1"/>
  <c r="G80" i="7" a="1"/>
  <c r="G80" i="7" s="1"/>
  <c r="H80" i="7" s="1"/>
  <c r="I80" i="7" s="1"/>
  <c r="G96" i="7" a="1"/>
  <c r="G96" i="7" s="1"/>
  <c r="H96" i="7" s="1"/>
  <c r="I96" i="7" s="1"/>
  <c r="G94" i="7" a="1"/>
  <c r="G94" i="7" s="1"/>
  <c r="H94" i="7" s="1"/>
  <c r="I94" i="7" s="1"/>
  <c r="G38" i="7" a="1"/>
  <c r="G38" i="7" s="1"/>
  <c r="H38" i="7" s="1"/>
  <c r="G100" i="7" a="1"/>
  <c r="G100" i="7" s="1"/>
  <c r="H100" i="7" s="1"/>
  <c r="I100" i="7" s="1"/>
  <c r="G45" i="7" a="1"/>
  <c r="G45" i="7" s="1"/>
  <c r="H45" i="7" s="1"/>
  <c r="I45" i="7" s="1"/>
  <c r="G115" i="7" a="1"/>
  <c r="G115" i="7" s="1"/>
  <c r="H115" i="7" s="1"/>
  <c r="I115" i="7" s="1"/>
  <c r="G71" i="7" a="1"/>
  <c r="G71" i="7" s="1"/>
  <c r="H71" i="7" s="1"/>
  <c r="E39" i="34" l="1"/>
  <c r="B40" i="34"/>
  <c r="BI70" i="24"/>
  <c r="BJ69" i="24"/>
  <c r="H33" i="32"/>
  <c r="G34" i="32"/>
  <c r="G31" i="34"/>
  <c r="H31" i="34" s="1"/>
  <c r="H30" i="34"/>
  <c r="B42" i="32"/>
  <c r="E41" i="32"/>
  <c r="F39" i="20"/>
  <c r="G38" i="20"/>
  <c r="H38" i="20" s="1"/>
  <c r="B42" i="20"/>
  <c r="E42" i="20" s="1"/>
  <c r="P5" i="16"/>
  <c r="P6" i="16"/>
  <c r="J4" i="16"/>
  <c r="A22" i="17"/>
  <c r="A8" i="17"/>
  <c r="C7" i="17"/>
  <c r="L5" i="16"/>
  <c r="J34" i="16"/>
  <c r="J68" i="16"/>
  <c r="J104" i="16"/>
  <c r="J92" i="16"/>
  <c r="J6" i="16"/>
  <c r="J32" i="16"/>
  <c r="J47" i="16"/>
  <c r="J99" i="16"/>
  <c r="J7" i="16"/>
  <c r="J14" i="16"/>
  <c r="J17" i="16"/>
  <c r="J90" i="16"/>
  <c r="J21" i="16"/>
  <c r="J108" i="16"/>
  <c r="J82" i="16"/>
  <c r="J94" i="16"/>
  <c r="J71" i="16"/>
  <c r="J9" i="16"/>
  <c r="J79" i="16"/>
  <c r="J115" i="16"/>
  <c r="J87" i="16"/>
  <c r="J22" i="16"/>
  <c r="J49" i="16"/>
  <c r="J15" i="16"/>
  <c r="J8" i="16"/>
  <c r="J45" i="16"/>
  <c r="J35" i="16"/>
  <c r="J56" i="16"/>
  <c r="J43" i="16"/>
  <c r="J120" i="16"/>
  <c r="J31" i="16"/>
  <c r="J75" i="16"/>
  <c r="J118" i="16"/>
  <c r="J33" i="16"/>
  <c r="J11" i="16"/>
  <c r="J25" i="16"/>
  <c r="J111" i="16"/>
  <c r="J30" i="16"/>
  <c r="J73" i="16"/>
  <c r="J69" i="16"/>
  <c r="J36" i="16"/>
  <c r="J78" i="16"/>
  <c r="J18" i="16"/>
  <c r="J106" i="16"/>
  <c r="J81" i="16"/>
  <c r="J19" i="16"/>
  <c r="J41" i="16"/>
  <c r="J119" i="16"/>
  <c r="J54" i="16"/>
  <c r="J105" i="16"/>
  <c r="J96" i="16"/>
  <c r="J85" i="16"/>
  <c r="J20" i="16"/>
  <c r="J100" i="16"/>
  <c r="J39" i="16"/>
  <c r="J13" i="16"/>
  <c r="J12" i="16"/>
  <c r="J27" i="16"/>
  <c r="J65" i="16"/>
  <c r="J26" i="16"/>
  <c r="J70" i="16"/>
  <c r="J60" i="16"/>
  <c r="J51" i="16"/>
  <c r="J16" i="16"/>
  <c r="J109" i="16"/>
  <c r="R6" i="16"/>
  <c r="P7" i="16"/>
  <c r="N6" i="16"/>
  <c r="J48" i="16"/>
  <c r="J29" i="16"/>
  <c r="J93" i="16"/>
  <c r="J57" i="16"/>
  <c r="J67" i="16"/>
  <c r="J116" i="16"/>
  <c r="J86" i="16"/>
  <c r="J97" i="16"/>
  <c r="J55" i="16"/>
  <c r="J64" i="16"/>
  <c r="J80" i="16"/>
  <c r="J40" i="16"/>
  <c r="J37" i="16"/>
  <c r="J101" i="16"/>
  <c r="J95" i="16"/>
  <c r="J83" i="16"/>
  <c r="J89" i="16"/>
  <c r="J23" i="16"/>
  <c r="J58" i="16"/>
  <c r="J38" i="16"/>
  <c r="J102" i="16"/>
  <c r="J28" i="16"/>
  <c r="J42" i="16"/>
  <c r="J112" i="16"/>
  <c r="J72" i="16"/>
  <c r="J53" i="16"/>
  <c r="J117" i="16"/>
  <c r="J74" i="16"/>
  <c r="J91" i="16"/>
  <c r="J113" i="16"/>
  <c r="J63" i="16"/>
  <c r="J66" i="16"/>
  <c r="J46" i="16"/>
  <c r="J110" i="16"/>
  <c r="J44" i="16"/>
  <c r="J50" i="16"/>
  <c r="J24" i="16"/>
  <c r="J88" i="16"/>
  <c r="J61" i="16"/>
  <c r="J10" i="16"/>
  <c r="J84" i="16"/>
  <c r="J107" i="16"/>
  <c r="J52" i="16"/>
  <c r="J103" i="16"/>
  <c r="J98" i="16"/>
  <c r="J62" i="16"/>
  <c r="J76" i="16"/>
  <c r="J114" i="16"/>
  <c r="J59" i="16"/>
  <c r="J77" i="16"/>
  <c r="J32" i="15"/>
  <c r="J30" i="15"/>
  <c r="J31" i="15"/>
  <c r="J30" i="14"/>
  <c r="J38" i="14"/>
  <c r="J32" i="14" s="1"/>
  <c r="J31" i="14"/>
  <c r="J31" i="13"/>
  <c r="J30" i="13"/>
  <c r="J32" i="13"/>
  <c r="I31" i="12"/>
  <c r="I38" i="12"/>
  <c r="I32" i="12" s="1"/>
  <c r="I30" i="12"/>
  <c r="I30" i="11"/>
  <c r="I38" i="11"/>
  <c r="I31" i="11" s="1"/>
  <c r="I29" i="11"/>
  <c r="I32" i="9"/>
  <c r="I30" i="9"/>
  <c r="I31" i="9"/>
  <c r="I30" i="8"/>
  <c r="I29" i="8"/>
  <c r="I39" i="8"/>
  <c r="I31" i="8" s="1"/>
  <c r="I31" i="7"/>
  <c r="I30" i="7"/>
  <c r="I38" i="7"/>
  <c r="I32" i="7" s="1"/>
  <c r="E40" i="34" l="1"/>
  <c r="B41" i="34"/>
  <c r="BI71" i="24"/>
  <c r="BJ70" i="24"/>
  <c r="H34" i="32"/>
  <c r="G35" i="32"/>
  <c r="G32" i="34"/>
  <c r="E42" i="32"/>
  <c r="B43" i="32"/>
  <c r="G39" i="20"/>
  <c r="H39" i="20" s="1"/>
  <c r="F40" i="20"/>
  <c r="B43" i="20"/>
  <c r="E43" i="20" s="1"/>
  <c r="B19" i="16"/>
  <c r="A9" i="17"/>
  <c r="C8" i="17"/>
  <c r="A23" i="17"/>
  <c r="L6" i="16"/>
  <c r="R7" i="16"/>
  <c r="P8" i="16"/>
  <c r="N7" i="16"/>
  <c r="C3" i="5"/>
  <c r="D3" i="5"/>
  <c r="E3" i="5"/>
  <c r="F3" i="5"/>
  <c r="G3" i="5"/>
  <c r="H3" i="5"/>
  <c r="I3" i="5"/>
  <c r="C4" i="5"/>
  <c r="D4" i="5"/>
  <c r="E4" i="5"/>
  <c r="F4" i="5"/>
  <c r="G4" i="5"/>
  <c r="H4" i="5"/>
  <c r="I4" i="5"/>
  <c r="C5" i="5"/>
  <c r="D5" i="5"/>
  <c r="E5" i="5"/>
  <c r="F5" i="5"/>
  <c r="G5" i="5"/>
  <c r="H5" i="5"/>
  <c r="I5" i="5"/>
  <c r="C6" i="5"/>
  <c r="D6" i="5"/>
  <c r="E6" i="5"/>
  <c r="F6" i="5"/>
  <c r="G6" i="5"/>
  <c r="H6" i="5"/>
  <c r="I6" i="5"/>
  <c r="C7" i="5"/>
  <c r="D7" i="5"/>
  <c r="E7" i="5"/>
  <c r="F7" i="5"/>
  <c r="G7" i="5"/>
  <c r="H7" i="5"/>
  <c r="I7" i="5"/>
  <c r="C8" i="5"/>
  <c r="D8" i="5"/>
  <c r="E8" i="5"/>
  <c r="F8" i="5"/>
  <c r="G8" i="5"/>
  <c r="H8" i="5"/>
  <c r="I8" i="5"/>
  <c r="C9" i="5"/>
  <c r="D9" i="5"/>
  <c r="E9" i="5"/>
  <c r="F9" i="5"/>
  <c r="G9" i="5"/>
  <c r="H9" i="5"/>
  <c r="I9" i="5"/>
  <c r="C10" i="5"/>
  <c r="D10" i="5"/>
  <c r="E10" i="5"/>
  <c r="F10" i="5"/>
  <c r="G10" i="5"/>
  <c r="H10" i="5"/>
  <c r="I10" i="5"/>
  <c r="C11" i="5"/>
  <c r="D11" i="5"/>
  <c r="E11" i="5"/>
  <c r="F11" i="5"/>
  <c r="G11" i="5"/>
  <c r="H11" i="5"/>
  <c r="I11" i="5"/>
  <c r="C12" i="5"/>
  <c r="D12" i="5"/>
  <c r="E12" i="5"/>
  <c r="F12" i="5"/>
  <c r="G12" i="5"/>
  <c r="H12" i="5"/>
  <c r="I12" i="5"/>
  <c r="C13" i="5"/>
  <c r="D13" i="5"/>
  <c r="E13" i="5"/>
  <c r="F13" i="5"/>
  <c r="G13" i="5"/>
  <c r="H13" i="5"/>
  <c r="I13" i="5"/>
  <c r="C14" i="5"/>
  <c r="D14" i="5"/>
  <c r="E14" i="5"/>
  <c r="F14" i="5"/>
  <c r="G14" i="5"/>
  <c r="H14" i="5"/>
  <c r="I14" i="5"/>
  <c r="C15" i="5"/>
  <c r="D15" i="5"/>
  <c r="E15" i="5"/>
  <c r="F15" i="5"/>
  <c r="G15" i="5"/>
  <c r="H15" i="5"/>
  <c r="I15" i="5"/>
  <c r="C16" i="5"/>
  <c r="D16" i="5"/>
  <c r="E16" i="5"/>
  <c r="F16" i="5"/>
  <c r="G16" i="5"/>
  <c r="H16" i="5"/>
  <c r="I16" i="5"/>
  <c r="C17" i="5"/>
  <c r="D17" i="5"/>
  <c r="E17" i="5"/>
  <c r="F17" i="5"/>
  <c r="G17" i="5"/>
  <c r="H17" i="5"/>
  <c r="I17" i="5"/>
  <c r="C18" i="5"/>
  <c r="D18" i="5"/>
  <c r="E18" i="5"/>
  <c r="F18" i="5"/>
  <c r="G18" i="5"/>
  <c r="H18" i="5"/>
  <c r="I18" i="5"/>
  <c r="C19" i="5"/>
  <c r="D19" i="5"/>
  <c r="E19" i="5"/>
  <c r="F19" i="5"/>
  <c r="G19" i="5"/>
  <c r="H19" i="5"/>
  <c r="I19" i="5"/>
  <c r="C20" i="5"/>
  <c r="D20" i="5"/>
  <c r="E20" i="5"/>
  <c r="F20" i="5"/>
  <c r="G20" i="5"/>
  <c r="H20" i="5"/>
  <c r="I20" i="5"/>
  <c r="C21" i="5"/>
  <c r="D21" i="5"/>
  <c r="E21" i="5"/>
  <c r="F21" i="5"/>
  <c r="G21" i="5"/>
  <c r="H21" i="5"/>
  <c r="I21" i="5"/>
  <c r="C22" i="5"/>
  <c r="D22" i="5"/>
  <c r="E22" i="5"/>
  <c r="F22" i="5"/>
  <c r="G22" i="5"/>
  <c r="H22" i="5"/>
  <c r="I22" i="5"/>
  <c r="C23" i="5"/>
  <c r="D23" i="5"/>
  <c r="E23" i="5"/>
  <c r="F23" i="5"/>
  <c r="G23" i="5"/>
  <c r="H23" i="5"/>
  <c r="I23" i="5"/>
  <c r="C24" i="5"/>
  <c r="D24" i="5"/>
  <c r="E24" i="5"/>
  <c r="F24" i="5"/>
  <c r="G24" i="5"/>
  <c r="H24" i="5"/>
  <c r="I24" i="5"/>
  <c r="C25" i="5"/>
  <c r="D25" i="5"/>
  <c r="E25" i="5"/>
  <c r="F25" i="5"/>
  <c r="G25" i="5"/>
  <c r="H25" i="5"/>
  <c r="I25" i="5"/>
  <c r="C26" i="5"/>
  <c r="D26" i="5"/>
  <c r="E26" i="5"/>
  <c r="F26" i="5"/>
  <c r="G26" i="5"/>
  <c r="H26" i="5"/>
  <c r="I26" i="5"/>
  <c r="C27" i="5"/>
  <c r="D27" i="5"/>
  <c r="E27" i="5"/>
  <c r="F27" i="5"/>
  <c r="G27" i="5"/>
  <c r="H27" i="5"/>
  <c r="I27" i="5"/>
  <c r="C28" i="5"/>
  <c r="D28" i="5"/>
  <c r="E28" i="5"/>
  <c r="F28" i="5"/>
  <c r="G28" i="5"/>
  <c r="H28" i="5"/>
  <c r="I28" i="5"/>
  <c r="C29" i="5"/>
  <c r="D29" i="5"/>
  <c r="E29" i="5"/>
  <c r="F29" i="5"/>
  <c r="G29" i="5"/>
  <c r="H29" i="5"/>
  <c r="I29" i="5"/>
  <c r="C30" i="5"/>
  <c r="D30" i="5"/>
  <c r="E30" i="5"/>
  <c r="F30" i="5"/>
  <c r="G30" i="5"/>
  <c r="H30" i="5"/>
  <c r="I30" i="5"/>
  <c r="C31" i="5"/>
  <c r="D31" i="5"/>
  <c r="E31" i="5"/>
  <c r="F31" i="5"/>
  <c r="G31" i="5"/>
  <c r="H31" i="5"/>
  <c r="I31" i="5"/>
  <c r="C32" i="5"/>
  <c r="D32" i="5"/>
  <c r="E32" i="5"/>
  <c r="F32" i="5"/>
  <c r="G32" i="5"/>
  <c r="H32" i="5"/>
  <c r="I32" i="5"/>
  <c r="C33" i="5"/>
  <c r="D33" i="5"/>
  <c r="E33" i="5"/>
  <c r="F33" i="5"/>
  <c r="G33" i="5"/>
  <c r="H33" i="5"/>
  <c r="I33" i="5"/>
  <c r="C34" i="5"/>
  <c r="D34" i="5"/>
  <c r="E34" i="5"/>
  <c r="F34" i="5"/>
  <c r="G34" i="5"/>
  <c r="H34" i="5"/>
  <c r="I34" i="5"/>
  <c r="C35" i="5"/>
  <c r="D35" i="5"/>
  <c r="E35" i="5"/>
  <c r="F35" i="5"/>
  <c r="G35" i="5"/>
  <c r="H35" i="5"/>
  <c r="I35" i="5"/>
  <c r="C36" i="5"/>
  <c r="D36" i="5"/>
  <c r="E36" i="5"/>
  <c r="F36" i="5"/>
  <c r="G36" i="5"/>
  <c r="H36" i="5"/>
  <c r="I36" i="5"/>
  <c r="C37" i="5"/>
  <c r="D37" i="5"/>
  <c r="E37" i="5"/>
  <c r="F37" i="5"/>
  <c r="G37" i="5"/>
  <c r="H37" i="5"/>
  <c r="I37" i="5"/>
  <c r="C38" i="5"/>
  <c r="D38" i="5"/>
  <c r="E38" i="5"/>
  <c r="F38" i="5"/>
  <c r="G38" i="5"/>
  <c r="H38" i="5"/>
  <c r="I38" i="5"/>
  <c r="C39" i="5"/>
  <c r="D39" i="5"/>
  <c r="E39" i="5"/>
  <c r="F39" i="5"/>
  <c r="G39" i="5"/>
  <c r="H39" i="5"/>
  <c r="I39" i="5"/>
  <c r="C40" i="5"/>
  <c r="D40" i="5"/>
  <c r="E40" i="5"/>
  <c r="F40" i="5"/>
  <c r="G40" i="5"/>
  <c r="H40" i="5"/>
  <c r="I40" i="5"/>
  <c r="C41" i="5"/>
  <c r="D41" i="5"/>
  <c r="E41" i="5"/>
  <c r="F41" i="5"/>
  <c r="G41" i="5"/>
  <c r="H41" i="5"/>
  <c r="I41" i="5"/>
  <c r="C42" i="5"/>
  <c r="D42" i="5"/>
  <c r="E42" i="5"/>
  <c r="F42" i="5"/>
  <c r="G42" i="5"/>
  <c r="H42" i="5"/>
  <c r="I42" i="5"/>
  <c r="C43" i="5"/>
  <c r="D43" i="5"/>
  <c r="E43" i="5"/>
  <c r="F43" i="5"/>
  <c r="G43" i="5"/>
  <c r="H43" i="5"/>
  <c r="I43" i="5"/>
  <c r="C44" i="5"/>
  <c r="D44" i="5"/>
  <c r="E44" i="5"/>
  <c r="F44" i="5"/>
  <c r="G44" i="5"/>
  <c r="H44" i="5"/>
  <c r="I44" i="5"/>
  <c r="C45" i="5"/>
  <c r="D45" i="5"/>
  <c r="E45" i="5"/>
  <c r="F45" i="5"/>
  <c r="G45" i="5"/>
  <c r="H45" i="5"/>
  <c r="I45" i="5"/>
  <c r="C46" i="5"/>
  <c r="D46" i="5"/>
  <c r="E46" i="5"/>
  <c r="F46" i="5"/>
  <c r="G46" i="5"/>
  <c r="H46" i="5"/>
  <c r="I46" i="5"/>
  <c r="C47" i="5"/>
  <c r="D47" i="5"/>
  <c r="E47" i="5"/>
  <c r="F47" i="5"/>
  <c r="G47" i="5"/>
  <c r="H47" i="5"/>
  <c r="I47" i="5"/>
  <c r="C48" i="5"/>
  <c r="D48" i="5"/>
  <c r="E48" i="5"/>
  <c r="F48" i="5"/>
  <c r="G48" i="5"/>
  <c r="H48" i="5"/>
  <c r="I48" i="5"/>
  <c r="C49" i="5"/>
  <c r="D49" i="5"/>
  <c r="E49" i="5"/>
  <c r="F49" i="5"/>
  <c r="G49" i="5"/>
  <c r="H49" i="5"/>
  <c r="I49" i="5"/>
  <c r="C50" i="5"/>
  <c r="D50" i="5"/>
  <c r="E50" i="5"/>
  <c r="F50" i="5"/>
  <c r="G50" i="5"/>
  <c r="H50" i="5"/>
  <c r="I50" i="5"/>
  <c r="C51" i="5"/>
  <c r="D51" i="5"/>
  <c r="E51" i="5"/>
  <c r="F51" i="5"/>
  <c r="G51" i="5"/>
  <c r="H51" i="5"/>
  <c r="I51" i="5"/>
  <c r="C52" i="5"/>
  <c r="D52" i="5"/>
  <c r="E52" i="5"/>
  <c r="F52" i="5"/>
  <c r="G52" i="5"/>
  <c r="H52" i="5"/>
  <c r="I52" i="5"/>
  <c r="C53" i="5"/>
  <c r="D53" i="5"/>
  <c r="E53" i="5"/>
  <c r="F53" i="5"/>
  <c r="G53" i="5"/>
  <c r="H53" i="5"/>
  <c r="I53" i="5"/>
  <c r="C54" i="5"/>
  <c r="D54" i="5"/>
  <c r="E54" i="5"/>
  <c r="F54" i="5"/>
  <c r="G54" i="5"/>
  <c r="H54" i="5"/>
  <c r="I54" i="5"/>
  <c r="C55" i="5"/>
  <c r="D55" i="5"/>
  <c r="E55" i="5"/>
  <c r="F55" i="5"/>
  <c r="G55" i="5"/>
  <c r="H55" i="5"/>
  <c r="I55" i="5"/>
  <c r="C56" i="5"/>
  <c r="D56" i="5"/>
  <c r="E56" i="5"/>
  <c r="F56" i="5"/>
  <c r="G56" i="5"/>
  <c r="H56" i="5"/>
  <c r="I56" i="5"/>
  <c r="C57" i="5"/>
  <c r="D57" i="5"/>
  <c r="E57" i="5"/>
  <c r="F57" i="5"/>
  <c r="G57" i="5"/>
  <c r="H57" i="5"/>
  <c r="I57" i="5"/>
  <c r="C58" i="5"/>
  <c r="D58" i="5"/>
  <c r="E58" i="5"/>
  <c r="F58" i="5"/>
  <c r="G58" i="5"/>
  <c r="H58" i="5"/>
  <c r="I58" i="5"/>
  <c r="C59" i="5"/>
  <c r="D59" i="5"/>
  <c r="E59" i="5"/>
  <c r="F59" i="5"/>
  <c r="G59" i="5"/>
  <c r="H59" i="5"/>
  <c r="I59" i="5"/>
  <c r="C60" i="5"/>
  <c r="D60" i="5"/>
  <c r="E60" i="5"/>
  <c r="F60" i="5"/>
  <c r="G60" i="5"/>
  <c r="H60" i="5"/>
  <c r="I60" i="5"/>
  <c r="C61" i="5"/>
  <c r="D61" i="5"/>
  <c r="E61" i="5"/>
  <c r="F61" i="5"/>
  <c r="G61" i="5"/>
  <c r="H61" i="5"/>
  <c r="I61" i="5"/>
  <c r="C62" i="5"/>
  <c r="D62" i="5"/>
  <c r="E62" i="5"/>
  <c r="F62" i="5"/>
  <c r="G62" i="5"/>
  <c r="H62" i="5"/>
  <c r="I62" i="5"/>
  <c r="C63" i="5"/>
  <c r="D63" i="5"/>
  <c r="E63" i="5"/>
  <c r="F63" i="5"/>
  <c r="G63" i="5"/>
  <c r="H63" i="5"/>
  <c r="I63" i="5"/>
  <c r="C64" i="5"/>
  <c r="D64" i="5"/>
  <c r="E64" i="5"/>
  <c r="F64" i="5"/>
  <c r="G64" i="5"/>
  <c r="H64" i="5"/>
  <c r="I64" i="5"/>
  <c r="C65" i="5"/>
  <c r="D65" i="5"/>
  <c r="E65" i="5"/>
  <c r="F65" i="5"/>
  <c r="G65" i="5"/>
  <c r="H65" i="5"/>
  <c r="I65" i="5"/>
  <c r="C66" i="5"/>
  <c r="D66" i="5"/>
  <c r="E66" i="5"/>
  <c r="F66" i="5"/>
  <c r="G66" i="5"/>
  <c r="H66" i="5"/>
  <c r="I66" i="5"/>
  <c r="C67" i="5"/>
  <c r="D67" i="5"/>
  <c r="E67" i="5"/>
  <c r="F67" i="5"/>
  <c r="G67" i="5"/>
  <c r="H67" i="5"/>
  <c r="I67" i="5"/>
  <c r="C68" i="5"/>
  <c r="D68" i="5"/>
  <c r="E68" i="5"/>
  <c r="F68" i="5"/>
  <c r="G68" i="5"/>
  <c r="H68" i="5"/>
  <c r="I68" i="5"/>
  <c r="C69" i="5"/>
  <c r="D69" i="5"/>
  <c r="E69" i="5"/>
  <c r="F69" i="5"/>
  <c r="G69" i="5"/>
  <c r="H69" i="5"/>
  <c r="I69" i="5"/>
  <c r="C70" i="5"/>
  <c r="D70" i="5"/>
  <c r="E70" i="5"/>
  <c r="F70" i="5"/>
  <c r="G70" i="5"/>
  <c r="H70" i="5"/>
  <c r="I70" i="5"/>
  <c r="C71" i="5"/>
  <c r="D71" i="5"/>
  <c r="E71" i="5"/>
  <c r="F71" i="5"/>
  <c r="G71" i="5"/>
  <c r="H71" i="5"/>
  <c r="I71" i="5"/>
  <c r="C72" i="5"/>
  <c r="D72" i="5"/>
  <c r="E72" i="5"/>
  <c r="F72" i="5"/>
  <c r="G72" i="5"/>
  <c r="H72" i="5"/>
  <c r="I72" i="5"/>
  <c r="C73" i="5"/>
  <c r="D73" i="5"/>
  <c r="E73" i="5"/>
  <c r="F73" i="5"/>
  <c r="G73" i="5"/>
  <c r="H73" i="5"/>
  <c r="I73" i="5"/>
  <c r="C74" i="5"/>
  <c r="D74" i="5"/>
  <c r="E74" i="5"/>
  <c r="F74" i="5"/>
  <c r="G74" i="5"/>
  <c r="H74" i="5"/>
  <c r="I74" i="5"/>
  <c r="C75" i="5"/>
  <c r="D75" i="5"/>
  <c r="E75" i="5"/>
  <c r="F75" i="5"/>
  <c r="G75" i="5"/>
  <c r="H75" i="5"/>
  <c r="I75" i="5"/>
  <c r="C76" i="5"/>
  <c r="D76" i="5"/>
  <c r="E76" i="5"/>
  <c r="F76" i="5"/>
  <c r="G76" i="5"/>
  <c r="H76" i="5"/>
  <c r="I76" i="5"/>
  <c r="C77" i="5"/>
  <c r="D77" i="5"/>
  <c r="E77" i="5"/>
  <c r="F77" i="5"/>
  <c r="G77" i="5"/>
  <c r="H77" i="5"/>
  <c r="I77" i="5"/>
  <c r="C78" i="5"/>
  <c r="D78" i="5"/>
  <c r="E78" i="5"/>
  <c r="F78" i="5"/>
  <c r="G78" i="5"/>
  <c r="H78" i="5"/>
  <c r="I78" i="5"/>
  <c r="C79" i="5"/>
  <c r="D79" i="5"/>
  <c r="E79" i="5"/>
  <c r="F79" i="5"/>
  <c r="G79" i="5"/>
  <c r="H79" i="5"/>
  <c r="I79" i="5"/>
  <c r="C80" i="5"/>
  <c r="D80" i="5"/>
  <c r="E80" i="5"/>
  <c r="F80" i="5"/>
  <c r="G80" i="5"/>
  <c r="H80" i="5"/>
  <c r="I80" i="5"/>
  <c r="C81" i="5"/>
  <c r="D81" i="5"/>
  <c r="E81" i="5"/>
  <c r="F81" i="5"/>
  <c r="G81" i="5"/>
  <c r="H81" i="5"/>
  <c r="I81" i="5"/>
  <c r="C82" i="5"/>
  <c r="D82" i="5"/>
  <c r="E82" i="5"/>
  <c r="F82" i="5"/>
  <c r="G82" i="5"/>
  <c r="H82" i="5"/>
  <c r="I82" i="5"/>
  <c r="C83" i="5"/>
  <c r="D83" i="5"/>
  <c r="E83" i="5"/>
  <c r="F83" i="5"/>
  <c r="G83" i="5"/>
  <c r="H83" i="5"/>
  <c r="I83" i="5"/>
  <c r="C84" i="5"/>
  <c r="D84" i="5"/>
  <c r="E84" i="5"/>
  <c r="F84" i="5"/>
  <c r="G84" i="5"/>
  <c r="H84" i="5"/>
  <c r="I84" i="5"/>
  <c r="C85" i="5"/>
  <c r="D85" i="5"/>
  <c r="E85" i="5"/>
  <c r="F85" i="5"/>
  <c r="G85" i="5"/>
  <c r="H85" i="5"/>
  <c r="I85" i="5"/>
  <c r="C86" i="5"/>
  <c r="D86" i="5"/>
  <c r="E86" i="5"/>
  <c r="F86" i="5"/>
  <c r="G86" i="5"/>
  <c r="H86" i="5"/>
  <c r="I86" i="5"/>
  <c r="C87" i="5"/>
  <c r="D87" i="5"/>
  <c r="E87" i="5"/>
  <c r="F87" i="5"/>
  <c r="G87" i="5"/>
  <c r="H87" i="5"/>
  <c r="I87" i="5"/>
  <c r="C88" i="5"/>
  <c r="D88" i="5"/>
  <c r="E88" i="5"/>
  <c r="F88" i="5"/>
  <c r="G88" i="5"/>
  <c r="H88" i="5"/>
  <c r="I88" i="5"/>
  <c r="C89" i="5"/>
  <c r="D89" i="5"/>
  <c r="E89" i="5"/>
  <c r="F89" i="5"/>
  <c r="G89" i="5"/>
  <c r="H89" i="5"/>
  <c r="I89" i="5"/>
  <c r="C90" i="5"/>
  <c r="D90" i="5"/>
  <c r="E90" i="5"/>
  <c r="F90" i="5"/>
  <c r="G90" i="5"/>
  <c r="H90" i="5"/>
  <c r="I90" i="5"/>
  <c r="C91" i="5"/>
  <c r="D91" i="5"/>
  <c r="E91" i="5"/>
  <c r="F91" i="5"/>
  <c r="G91" i="5"/>
  <c r="H91" i="5"/>
  <c r="I91" i="5"/>
  <c r="C92" i="5"/>
  <c r="D92" i="5"/>
  <c r="E92" i="5"/>
  <c r="F92" i="5"/>
  <c r="G92" i="5"/>
  <c r="H92" i="5"/>
  <c r="I92" i="5"/>
  <c r="C93" i="5"/>
  <c r="D93" i="5"/>
  <c r="E93" i="5"/>
  <c r="F93" i="5"/>
  <c r="G93" i="5"/>
  <c r="H93" i="5"/>
  <c r="I93" i="5"/>
  <c r="C94" i="5"/>
  <c r="D94" i="5"/>
  <c r="E94" i="5"/>
  <c r="F94" i="5"/>
  <c r="G94" i="5"/>
  <c r="H94" i="5"/>
  <c r="I94" i="5"/>
  <c r="C95" i="5"/>
  <c r="D95" i="5"/>
  <c r="E95" i="5"/>
  <c r="F95" i="5"/>
  <c r="G95" i="5"/>
  <c r="H95" i="5"/>
  <c r="I95" i="5"/>
  <c r="C96" i="5"/>
  <c r="D96" i="5"/>
  <c r="E96" i="5"/>
  <c r="F96" i="5"/>
  <c r="G96" i="5"/>
  <c r="H96" i="5"/>
  <c r="I96" i="5"/>
  <c r="C97" i="5"/>
  <c r="D97" i="5"/>
  <c r="E97" i="5"/>
  <c r="F97" i="5"/>
  <c r="G97" i="5"/>
  <c r="H97" i="5"/>
  <c r="I97" i="5"/>
  <c r="C98" i="5"/>
  <c r="D98" i="5"/>
  <c r="E98" i="5"/>
  <c r="F98" i="5"/>
  <c r="G98" i="5"/>
  <c r="H98" i="5"/>
  <c r="I98" i="5"/>
  <c r="C99" i="5"/>
  <c r="D99" i="5"/>
  <c r="E99" i="5"/>
  <c r="F99" i="5"/>
  <c r="G99" i="5"/>
  <c r="H99" i="5"/>
  <c r="I99" i="5"/>
  <c r="C100" i="5"/>
  <c r="D100" i="5"/>
  <c r="E100" i="5"/>
  <c r="F100" i="5"/>
  <c r="G100" i="5"/>
  <c r="H100" i="5"/>
  <c r="I100" i="5"/>
  <c r="C101" i="5"/>
  <c r="D101" i="5"/>
  <c r="E101" i="5"/>
  <c r="F101" i="5"/>
  <c r="G101" i="5"/>
  <c r="H101" i="5"/>
  <c r="I101" i="5"/>
  <c r="C102" i="5"/>
  <c r="D102" i="5"/>
  <c r="E102" i="5"/>
  <c r="F102" i="5"/>
  <c r="G102" i="5"/>
  <c r="H102" i="5"/>
  <c r="I102" i="5"/>
  <c r="C103" i="5"/>
  <c r="D103" i="5"/>
  <c r="E103" i="5"/>
  <c r="F103" i="5"/>
  <c r="G103" i="5"/>
  <c r="H103" i="5"/>
  <c r="I103" i="5"/>
  <c r="C104" i="5"/>
  <c r="D104" i="5"/>
  <c r="E104" i="5"/>
  <c r="F104" i="5"/>
  <c r="G104" i="5"/>
  <c r="H104" i="5"/>
  <c r="I104" i="5"/>
  <c r="C105" i="5"/>
  <c r="D105" i="5"/>
  <c r="E105" i="5"/>
  <c r="F105" i="5"/>
  <c r="G105" i="5"/>
  <c r="H105" i="5"/>
  <c r="I105" i="5"/>
  <c r="C106" i="5"/>
  <c r="D106" i="5"/>
  <c r="E106" i="5"/>
  <c r="F106" i="5"/>
  <c r="G106" i="5"/>
  <c r="H106" i="5"/>
  <c r="I106" i="5"/>
  <c r="C107" i="5"/>
  <c r="D107" i="5"/>
  <c r="E107" i="5"/>
  <c r="F107" i="5"/>
  <c r="G107" i="5"/>
  <c r="H107" i="5"/>
  <c r="I107" i="5"/>
  <c r="C108" i="5"/>
  <c r="D108" i="5"/>
  <c r="E108" i="5"/>
  <c r="F108" i="5"/>
  <c r="G108" i="5"/>
  <c r="H108" i="5"/>
  <c r="I108" i="5"/>
  <c r="C109" i="5"/>
  <c r="D109" i="5"/>
  <c r="E109" i="5"/>
  <c r="F109" i="5"/>
  <c r="G109" i="5"/>
  <c r="H109" i="5"/>
  <c r="I109" i="5"/>
  <c r="C110" i="5"/>
  <c r="D110" i="5"/>
  <c r="E110" i="5"/>
  <c r="F110" i="5"/>
  <c r="G110" i="5"/>
  <c r="H110" i="5"/>
  <c r="I110" i="5"/>
  <c r="C111" i="5"/>
  <c r="D111" i="5"/>
  <c r="E111" i="5"/>
  <c r="F111" i="5"/>
  <c r="G111" i="5"/>
  <c r="H111" i="5"/>
  <c r="I111" i="5"/>
  <c r="C112" i="5"/>
  <c r="D112" i="5"/>
  <c r="E112" i="5"/>
  <c r="F112" i="5"/>
  <c r="G112" i="5"/>
  <c r="H112" i="5"/>
  <c r="I112" i="5"/>
  <c r="C113" i="5"/>
  <c r="D113" i="5"/>
  <c r="E113" i="5"/>
  <c r="F113" i="5"/>
  <c r="G113" i="5"/>
  <c r="H113" i="5"/>
  <c r="I113" i="5"/>
  <c r="C114" i="5"/>
  <c r="D114" i="5"/>
  <c r="E114" i="5"/>
  <c r="F114" i="5"/>
  <c r="G114" i="5"/>
  <c r="H114" i="5"/>
  <c r="I114" i="5"/>
  <c r="C115" i="5"/>
  <c r="D115" i="5"/>
  <c r="E115" i="5"/>
  <c r="F115" i="5"/>
  <c r="G115" i="5"/>
  <c r="H115" i="5"/>
  <c r="I115" i="5"/>
  <c r="C116" i="5"/>
  <c r="D116" i="5"/>
  <c r="E116" i="5"/>
  <c r="F116" i="5"/>
  <c r="G116" i="5"/>
  <c r="H116" i="5"/>
  <c r="I116" i="5"/>
  <c r="C117" i="5"/>
  <c r="D117" i="5"/>
  <c r="E117" i="5"/>
  <c r="F117" i="5"/>
  <c r="G117" i="5"/>
  <c r="H117" i="5"/>
  <c r="I117" i="5"/>
  <c r="C118" i="5"/>
  <c r="D118" i="5"/>
  <c r="E118" i="5"/>
  <c r="F118" i="5"/>
  <c r="G118" i="5"/>
  <c r="H118" i="5"/>
  <c r="I118" i="5"/>
  <c r="C119" i="5"/>
  <c r="D119" i="5"/>
  <c r="E119" i="5"/>
  <c r="F119" i="5"/>
  <c r="G119" i="5"/>
  <c r="H119" i="5"/>
  <c r="I119" i="5"/>
  <c r="C120" i="5"/>
  <c r="D120" i="5"/>
  <c r="E120" i="5"/>
  <c r="F120" i="5"/>
  <c r="G120" i="5"/>
  <c r="H120" i="5"/>
  <c r="I120" i="5"/>
  <c r="C121" i="5"/>
  <c r="D121" i="5"/>
  <c r="E121" i="5"/>
  <c r="F121" i="5"/>
  <c r="G121" i="5"/>
  <c r="H121" i="5"/>
  <c r="I121" i="5"/>
  <c r="I2" i="5"/>
  <c r="H2" i="5"/>
  <c r="G2" i="5"/>
  <c r="F2" i="5"/>
  <c r="E2" i="5"/>
  <c r="D2" i="5"/>
  <c r="C2"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2" i="5"/>
  <c r="A3" i="5"/>
  <c r="A4" i="5"/>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113" i="5"/>
  <c r="A114" i="5"/>
  <c r="A115" i="5"/>
  <c r="A116" i="5"/>
  <c r="A117" i="5"/>
  <c r="A118" i="5"/>
  <c r="A119" i="5"/>
  <c r="A120" i="5"/>
  <c r="A121" i="5"/>
  <c r="A2" i="5"/>
  <c r="E41" i="34" l="1"/>
  <c r="B42" i="34"/>
  <c r="BI72" i="24"/>
  <c r="BJ71" i="24"/>
  <c r="G33" i="34"/>
  <c r="H33" i="34" s="1"/>
  <c r="G36" i="32"/>
  <c r="H35" i="32"/>
  <c r="H32" i="34"/>
  <c r="B44" i="32"/>
  <c r="E43" i="32"/>
  <c r="F41" i="20"/>
  <c r="G40" i="20"/>
  <c r="G41" i="20" s="1"/>
  <c r="B44" i="20"/>
  <c r="E44" i="20" s="1"/>
  <c r="A24" i="17"/>
  <c r="A10" i="17"/>
  <c r="C9" i="17"/>
  <c r="L7" i="16"/>
  <c r="R8" i="16"/>
  <c r="P9" i="16"/>
  <c r="N8" i="16"/>
  <c r="B43" i="34" l="1"/>
  <c r="E42" i="34"/>
  <c r="H41" i="20"/>
  <c r="H40" i="20"/>
  <c r="BI73" i="24"/>
  <c r="BJ72" i="24"/>
  <c r="H36" i="32"/>
  <c r="G37" i="32"/>
  <c r="G34" i="34"/>
  <c r="E44" i="32"/>
  <c r="B45" i="32"/>
  <c r="F42" i="20"/>
  <c r="B45" i="20"/>
  <c r="E45" i="20" s="1"/>
  <c r="A11" i="17"/>
  <c r="C10" i="17"/>
  <c r="A25" i="17"/>
  <c r="L8" i="16"/>
  <c r="R9" i="16"/>
  <c r="P10" i="16"/>
  <c r="N9" i="16"/>
  <c r="E43" i="34" l="1"/>
  <c r="B44" i="34"/>
  <c r="BJ73" i="24"/>
  <c r="BI74" i="24"/>
  <c r="G35" i="34"/>
  <c r="H35" i="34" s="1"/>
  <c r="H37" i="32"/>
  <c r="G38" i="32"/>
  <c r="H34" i="34"/>
  <c r="E45" i="32"/>
  <c r="B46" i="32"/>
  <c r="F43" i="20"/>
  <c r="G42" i="20"/>
  <c r="G43" i="20" s="1"/>
  <c r="B46" i="20"/>
  <c r="E46" i="20" s="1"/>
  <c r="A26" i="17"/>
  <c r="A12" i="17"/>
  <c r="C11" i="17"/>
  <c r="L9" i="16"/>
  <c r="R10" i="16"/>
  <c r="P11" i="16"/>
  <c r="N10" i="16"/>
  <c r="B45" i="34" l="1"/>
  <c r="E44" i="34"/>
  <c r="H43" i="20"/>
  <c r="H42" i="20"/>
  <c r="BJ74" i="24"/>
  <c r="BI75" i="24"/>
  <c r="H38" i="32"/>
  <c r="G39" i="32"/>
  <c r="G36" i="34"/>
  <c r="B47" i="32"/>
  <c r="E46" i="32"/>
  <c r="F44" i="20"/>
  <c r="B47" i="20"/>
  <c r="E47" i="20" s="1"/>
  <c r="A13" i="17"/>
  <c r="C12" i="17"/>
  <c r="A27" i="17"/>
  <c r="B18" i="17" a="1"/>
  <c r="B18" i="17" s="1"/>
  <c r="L10" i="16"/>
  <c r="R11" i="16"/>
  <c r="P12" i="16"/>
  <c r="N11" i="16"/>
  <c r="E45" i="34" l="1"/>
  <c r="B46" i="34"/>
  <c r="BI76" i="24"/>
  <c r="BJ75" i="24"/>
  <c r="H39" i="32"/>
  <c r="G40" i="32"/>
  <c r="G37" i="34"/>
  <c r="H37" i="34" s="1"/>
  <c r="H36" i="34"/>
  <c r="E47" i="32"/>
  <c r="B48" i="32"/>
  <c r="F45" i="20"/>
  <c r="G44" i="20"/>
  <c r="G45" i="20" s="1"/>
  <c r="B48" i="20"/>
  <c r="E48" i="20" s="1"/>
  <c r="A14" i="17"/>
  <c r="C14" i="17" s="1"/>
  <c r="C13" i="17"/>
  <c r="B3" i="17" a="1"/>
  <c r="B3" i="17" s="1"/>
  <c r="L11" i="16"/>
  <c r="R12" i="16"/>
  <c r="P13" i="16"/>
  <c r="N12" i="16"/>
  <c r="B47" i="34" l="1"/>
  <c r="E46" i="34"/>
  <c r="H45" i="20"/>
  <c r="H44" i="20"/>
  <c r="BJ76" i="24"/>
  <c r="BI77" i="24"/>
  <c r="G41" i="32"/>
  <c r="H40" i="32"/>
  <c r="G38" i="34"/>
  <c r="E48" i="32"/>
  <c r="B49" i="32"/>
  <c r="F46" i="20"/>
  <c r="B49" i="20"/>
  <c r="E49" i="20" s="1"/>
  <c r="L12" i="16"/>
  <c r="R13" i="16"/>
  <c r="P14" i="16"/>
  <c r="N13" i="16"/>
  <c r="B48" i="34" l="1"/>
  <c r="E47" i="34"/>
  <c r="BI78" i="24"/>
  <c r="BJ77" i="24"/>
  <c r="G42" i="32"/>
  <c r="H41" i="32"/>
  <c r="G39" i="34"/>
  <c r="H39" i="34" s="1"/>
  <c r="H38" i="34"/>
  <c r="B50" i="32"/>
  <c r="E49" i="32"/>
  <c r="F47" i="20"/>
  <c r="G46" i="20"/>
  <c r="G47" i="20" s="1"/>
  <c r="B50" i="20"/>
  <c r="E50" i="20" s="1"/>
  <c r="L13" i="16"/>
  <c r="R14" i="16"/>
  <c r="P15" i="16"/>
  <c r="N14" i="16"/>
  <c r="B49" i="34" l="1"/>
  <c r="E48" i="34"/>
  <c r="H47" i="20"/>
  <c r="H46" i="20"/>
  <c r="BJ78" i="24"/>
  <c r="BI79" i="24"/>
  <c r="G43" i="32"/>
  <c r="H42" i="32"/>
  <c r="G40" i="34"/>
  <c r="B51" i="32"/>
  <c r="E50" i="32"/>
  <c r="F48" i="20"/>
  <c r="B51" i="20"/>
  <c r="E51" i="20" s="1"/>
  <c r="L14" i="16"/>
  <c r="R15" i="16"/>
  <c r="P16" i="16"/>
  <c r="N15" i="16"/>
  <c r="B50" i="34" l="1"/>
  <c r="E49" i="34"/>
  <c r="BI80" i="24"/>
  <c r="BJ79" i="24"/>
  <c r="G44" i="32"/>
  <c r="H43" i="32"/>
  <c r="G41" i="34"/>
  <c r="H41" i="34" s="1"/>
  <c r="H40" i="34"/>
  <c r="B52" i="32"/>
  <c r="E51" i="32"/>
  <c r="F49" i="20"/>
  <c r="G48" i="20"/>
  <c r="G49" i="20" s="1"/>
  <c r="B52" i="20"/>
  <c r="E52" i="20" s="1"/>
  <c r="L15" i="16"/>
  <c r="R16" i="16"/>
  <c r="P17" i="16"/>
  <c r="N16" i="16"/>
  <c r="B51" i="34" l="1"/>
  <c r="E50" i="34"/>
  <c r="H49" i="20"/>
  <c r="H48" i="20"/>
  <c r="BI81" i="24"/>
  <c r="BJ80" i="24"/>
  <c r="G45" i="32"/>
  <c r="H44" i="32"/>
  <c r="G42" i="34"/>
  <c r="B53" i="32"/>
  <c r="E52" i="32"/>
  <c r="F50" i="20"/>
  <c r="B53" i="20"/>
  <c r="E53" i="20" s="1"/>
  <c r="L16" i="16"/>
  <c r="R17" i="16"/>
  <c r="P18" i="16"/>
  <c r="N17" i="16"/>
  <c r="B52" i="34" l="1"/>
  <c r="E51" i="34"/>
  <c r="BI82" i="24"/>
  <c r="BJ81" i="24"/>
  <c r="H45" i="32"/>
  <c r="G46" i="32"/>
  <c r="G43" i="34"/>
  <c r="H43" i="34" s="1"/>
  <c r="H42" i="34"/>
  <c r="B54" i="32"/>
  <c r="E53" i="32"/>
  <c r="F51" i="20"/>
  <c r="G50" i="20"/>
  <c r="G51" i="20" s="1"/>
  <c r="B54" i="20"/>
  <c r="E54" i="20" s="1"/>
  <c r="L17" i="16"/>
  <c r="R18" i="16"/>
  <c r="P19" i="16"/>
  <c r="N18" i="16"/>
  <c r="E52" i="34" l="1"/>
  <c r="B53" i="34"/>
  <c r="H51" i="20"/>
  <c r="H50" i="20"/>
  <c r="BI83" i="24"/>
  <c r="BJ82" i="24"/>
  <c r="G47" i="32"/>
  <c r="H46" i="32"/>
  <c r="G44" i="34"/>
  <c r="E54" i="32"/>
  <c r="B55" i="32"/>
  <c r="F52" i="20"/>
  <c r="B55" i="20"/>
  <c r="E55" i="20" s="1"/>
  <c r="L18" i="16"/>
  <c r="R19" i="16"/>
  <c r="P20" i="16"/>
  <c r="N19" i="16"/>
  <c r="B54" i="34" l="1"/>
  <c r="E53" i="34"/>
  <c r="BJ83" i="24"/>
  <c r="BI84" i="24"/>
  <c r="G48" i="32"/>
  <c r="H47" i="32"/>
  <c r="G45" i="34"/>
  <c r="H45" i="34" s="1"/>
  <c r="H44" i="34"/>
  <c r="E55" i="32"/>
  <c r="B56" i="32"/>
  <c r="F53" i="20"/>
  <c r="G52" i="20"/>
  <c r="G53" i="20" s="1"/>
  <c r="B56" i="20"/>
  <c r="E56" i="20" s="1"/>
  <c r="L19" i="16"/>
  <c r="R20" i="16"/>
  <c r="P21" i="16"/>
  <c r="N20" i="16"/>
  <c r="B55" i="34" l="1"/>
  <c r="E54" i="34"/>
  <c r="H53" i="20"/>
  <c r="H52" i="20"/>
  <c r="BJ84" i="24"/>
  <c r="BI85" i="24"/>
  <c r="G49" i="32"/>
  <c r="H48" i="32"/>
  <c r="G46" i="34"/>
  <c r="B57" i="32"/>
  <c r="E56" i="32"/>
  <c r="F54" i="20"/>
  <c r="B57" i="20"/>
  <c r="E57" i="20" s="1"/>
  <c r="L20" i="16"/>
  <c r="R21" i="16"/>
  <c r="P22" i="16"/>
  <c r="N21" i="16"/>
  <c r="E55" i="34" l="1"/>
  <c r="B56" i="34"/>
  <c r="BJ85" i="24"/>
  <c r="BI86" i="24"/>
  <c r="H49" i="32"/>
  <c r="G50" i="32"/>
  <c r="G47" i="34"/>
  <c r="H47" i="34" s="1"/>
  <c r="H46" i="34"/>
  <c r="E57" i="32"/>
  <c r="B58" i="32"/>
  <c r="F55" i="20"/>
  <c r="G54" i="20"/>
  <c r="G55" i="20" s="1"/>
  <c r="B58" i="20"/>
  <c r="E58" i="20" s="1"/>
  <c r="L21" i="16"/>
  <c r="R22" i="16"/>
  <c r="P23" i="16"/>
  <c r="N22" i="16"/>
  <c r="B57" i="34" l="1"/>
  <c r="E56" i="34"/>
  <c r="H55" i="20"/>
  <c r="H54" i="20"/>
  <c r="BJ86" i="24"/>
  <c r="BI87" i="24"/>
  <c r="H50" i="32"/>
  <c r="G51" i="32"/>
  <c r="G48" i="34"/>
  <c r="E58" i="32"/>
  <c r="B59" i="32"/>
  <c r="F56" i="20"/>
  <c r="B59" i="20"/>
  <c r="E59" i="20" s="1"/>
  <c r="L22" i="16"/>
  <c r="R23" i="16"/>
  <c r="P24" i="16"/>
  <c r="N23" i="16"/>
  <c r="E57" i="34" l="1"/>
  <c r="B58" i="34"/>
  <c r="BJ87" i="24"/>
  <c r="BI88" i="24"/>
  <c r="H51" i="32"/>
  <c r="G52" i="32"/>
  <c r="G49" i="34"/>
  <c r="H49" i="34" s="1"/>
  <c r="H48" i="34"/>
  <c r="B60" i="32"/>
  <c r="E59" i="32"/>
  <c r="F57" i="20"/>
  <c r="G56" i="20"/>
  <c r="G57" i="20" s="1"/>
  <c r="B60" i="20"/>
  <c r="E60" i="20" s="1"/>
  <c r="L23" i="16"/>
  <c r="R24" i="16"/>
  <c r="P25" i="16"/>
  <c r="N24" i="16"/>
  <c r="E58" i="34" l="1"/>
  <c r="B59" i="34"/>
  <c r="H57" i="20"/>
  <c r="H56" i="20"/>
  <c r="BJ88" i="24"/>
  <c r="BI89" i="24"/>
  <c r="H52" i="32"/>
  <c r="G53" i="32"/>
  <c r="G50" i="34"/>
  <c r="B61" i="32"/>
  <c r="E60" i="32"/>
  <c r="F58" i="20"/>
  <c r="B61" i="20"/>
  <c r="E61" i="20" s="1"/>
  <c r="L24" i="16"/>
  <c r="R25" i="16"/>
  <c r="P26" i="16"/>
  <c r="N25" i="16"/>
  <c r="E59" i="34" l="1"/>
  <c r="B60" i="34"/>
  <c r="BI90" i="24"/>
  <c r="BJ89" i="24"/>
  <c r="G54" i="32"/>
  <c r="H53" i="32"/>
  <c r="G51" i="34"/>
  <c r="H51" i="34" s="1"/>
  <c r="H50" i="34"/>
  <c r="B62" i="32"/>
  <c r="E61" i="32"/>
  <c r="F59" i="20"/>
  <c r="G58" i="20"/>
  <c r="B62" i="20"/>
  <c r="E62" i="20" s="1"/>
  <c r="L25" i="16"/>
  <c r="R26" i="16"/>
  <c r="P27" i="16"/>
  <c r="N26" i="16"/>
  <c r="B61" i="34" l="1"/>
  <c r="E60" i="34"/>
  <c r="G59" i="20"/>
  <c r="H59" i="20" s="1"/>
  <c r="H58" i="20"/>
  <c r="BI91" i="24"/>
  <c r="BJ90" i="24"/>
  <c r="G55" i="32"/>
  <c r="H54" i="32"/>
  <c r="G52" i="34"/>
  <c r="B63" i="32"/>
  <c r="E62" i="32"/>
  <c r="F60" i="20"/>
  <c r="B63" i="20"/>
  <c r="E63" i="20" s="1"/>
  <c r="L26" i="16"/>
  <c r="R27" i="16"/>
  <c r="P28" i="16"/>
  <c r="N27" i="16"/>
  <c r="E61" i="34" l="1"/>
  <c r="B62" i="34"/>
  <c r="BI92" i="24"/>
  <c r="BJ91" i="24"/>
  <c r="G53" i="34"/>
  <c r="H53" i="34" s="1"/>
  <c r="H55" i="32"/>
  <c r="G56" i="32"/>
  <c r="H52" i="34"/>
  <c r="B64" i="32"/>
  <c r="E63" i="32"/>
  <c r="F61" i="20"/>
  <c r="G60" i="20"/>
  <c r="H60" i="20" s="1"/>
  <c r="B64" i="20"/>
  <c r="E64" i="20" s="1"/>
  <c r="L27" i="16"/>
  <c r="R28" i="16"/>
  <c r="P29" i="16"/>
  <c r="N28" i="16"/>
  <c r="E62" i="34" l="1"/>
  <c r="B63" i="34"/>
  <c r="BI93" i="24"/>
  <c r="BJ92" i="24"/>
  <c r="H56" i="32"/>
  <c r="G57" i="32"/>
  <c r="G54" i="34"/>
  <c r="E64" i="32"/>
  <c r="B65" i="32"/>
  <c r="G61" i="20"/>
  <c r="H61" i="20" s="1"/>
  <c r="F62" i="20"/>
  <c r="B65" i="20"/>
  <c r="E65" i="20" s="1"/>
  <c r="L28" i="16"/>
  <c r="R29" i="16"/>
  <c r="P30" i="16"/>
  <c r="N29" i="16"/>
  <c r="B64" i="34" l="1"/>
  <c r="E63" i="34"/>
  <c r="BI94" i="24"/>
  <c r="BJ93" i="24"/>
  <c r="H57" i="32"/>
  <c r="G58" i="32"/>
  <c r="G55" i="34"/>
  <c r="H55" i="34" s="1"/>
  <c r="H54" i="34"/>
  <c r="E65" i="32"/>
  <c r="B66" i="32"/>
  <c r="F63" i="20"/>
  <c r="G62" i="20"/>
  <c r="G63" i="20" s="1"/>
  <c r="B66" i="20"/>
  <c r="E66" i="20" s="1"/>
  <c r="L29" i="16"/>
  <c r="R30" i="16"/>
  <c r="P31" i="16"/>
  <c r="N30" i="16"/>
  <c r="E64" i="34" l="1"/>
  <c r="B65" i="34"/>
  <c r="H63" i="20"/>
  <c r="H62" i="20"/>
  <c r="BJ94" i="24"/>
  <c r="BI95" i="24"/>
  <c r="G56" i="34"/>
  <c r="H56" i="34" s="1"/>
  <c r="H58" i="32"/>
  <c r="G59" i="32"/>
  <c r="B67" i="32"/>
  <c r="E66" i="32"/>
  <c r="F64" i="20"/>
  <c r="B67" i="20"/>
  <c r="E67" i="20" s="1"/>
  <c r="L30" i="16"/>
  <c r="R31" i="16"/>
  <c r="P32" i="16"/>
  <c r="N31" i="16"/>
  <c r="B66" i="34" l="1"/>
  <c r="E65" i="34"/>
  <c r="BJ95" i="24"/>
  <c r="BI96" i="24"/>
  <c r="G60" i="32"/>
  <c r="H59" i="32"/>
  <c r="G57" i="34"/>
  <c r="E67" i="32"/>
  <c r="B68" i="32"/>
  <c r="F65" i="20"/>
  <c r="G64" i="20"/>
  <c r="G65" i="20" s="1"/>
  <c r="B68" i="20"/>
  <c r="E68" i="20" s="1"/>
  <c r="L31" i="16"/>
  <c r="R32" i="16"/>
  <c r="P33" i="16"/>
  <c r="N32" i="16"/>
  <c r="B67" i="34" l="1"/>
  <c r="E66" i="34"/>
  <c r="H65" i="20"/>
  <c r="H64" i="20"/>
  <c r="BJ96" i="24"/>
  <c r="BI97" i="24"/>
  <c r="G58" i="34"/>
  <c r="H58" i="34" s="1"/>
  <c r="G61" i="32"/>
  <c r="H60" i="32"/>
  <c r="H57" i="34"/>
  <c r="E68" i="32"/>
  <c r="B69" i="32"/>
  <c r="F66" i="20"/>
  <c r="B69" i="20"/>
  <c r="E69" i="20" s="1"/>
  <c r="L32" i="16"/>
  <c r="R33" i="16"/>
  <c r="P34" i="16"/>
  <c r="N33" i="16"/>
  <c r="B68" i="34" l="1"/>
  <c r="E67" i="34"/>
  <c r="BJ97" i="24"/>
  <c r="BI98" i="24"/>
  <c r="G62" i="32"/>
  <c r="H61" i="32"/>
  <c r="G59" i="34"/>
  <c r="B70" i="32"/>
  <c r="E69" i="32"/>
  <c r="F67" i="20"/>
  <c r="G66" i="20"/>
  <c r="B70" i="20"/>
  <c r="E70" i="20" s="1"/>
  <c r="L33" i="16"/>
  <c r="R34" i="16"/>
  <c r="P35" i="16"/>
  <c r="N34" i="16"/>
  <c r="G67" i="20" l="1"/>
  <c r="E68" i="34"/>
  <c r="B69" i="34"/>
  <c r="H67" i="20"/>
  <c r="H66" i="20"/>
  <c r="BJ98" i="24"/>
  <c r="BI99" i="24"/>
  <c r="G60" i="34"/>
  <c r="H60" i="34" s="1"/>
  <c r="G63" i="32"/>
  <c r="H62" i="32"/>
  <c r="H59" i="34"/>
  <c r="B71" i="32"/>
  <c r="E70" i="32"/>
  <c r="F68" i="20"/>
  <c r="B71" i="20"/>
  <c r="E71" i="20" s="1"/>
  <c r="L34" i="16"/>
  <c r="R35" i="16"/>
  <c r="P36" i="16"/>
  <c r="N35" i="16"/>
  <c r="E69" i="34" l="1"/>
  <c r="B70" i="34"/>
  <c r="BI100" i="24"/>
  <c r="BJ99" i="24"/>
  <c r="G64" i="32"/>
  <c r="H63" i="32"/>
  <c r="G61" i="34"/>
  <c r="B72" i="32"/>
  <c r="E71" i="32"/>
  <c r="F69" i="20"/>
  <c r="G68" i="20"/>
  <c r="H68" i="20" s="1"/>
  <c r="B72" i="20"/>
  <c r="E72" i="20" s="1"/>
  <c r="L35" i="16"/>
  <c r="R36" i="16"/>
  <c r="P37" i="16"/>
  <c r="N36" i="16"/>
  <c r="B71" i="34" l="1"/>
  <c r="E70" i="34"/>
  <c r="G69" i="20"/>
  <c r="H69" i="20" s="1"/>
  <c r="BI101" i="24"/>
  <c r="BJ100" i="24"/>
  <c r="H64" i="32"/>
  <c r="G65" i="32"/>
  <c r="G62" i="34"/>
  <c r="H62" i="34" s="1"/>
  <c r="H61" i="34"/>
  <c r="E72" i="32"/>
  <c r="B73" i="32"/>
  <c r="F70" i="20"/>
  <c r="B73" i="20"/>
  <c r="E73" i="20" s="1"/>
  <c r="L36" i="16"/>
  <c r="R37" i="16"/>
  <c r="P38" i="16"/>
  <c r="N37" i="16"/>
  <c r="B72" i="34" l="1"/>
  <c r="E71" i="34"/>
  <c r="BI102" i="24"/>
  <c r="BJ101" i="24"/>
  <c r="H65" i="32"/>
  <c r="G66" i="32"/>
  <c r="G63" i="34"/>
  <c r="B74" i="32"/>
  <c r="E73" i="32"/>
  <c r="F71" i="20"/>
  <c r="G70" i="20"/>
  <c r="G71" i="20" s="1"/>
  <c r="B74" i="20"/>
  <c r="E74" i="20" s="1"/>
  <c r="L37" i="16"/>
  <c r="R38" i="16"/>
  <c r="P39" i="16"/>
  <c r="N38" i="16"/>
  <c r="B73" i="34" l="1"/>
  <c r="E72" i="34"/>
  <c r="H71" i="20"/>
  <c r="H70" i="20"/>
  <c r="BI103" i="24"/>
  <c r="BJ102" i="24"/>
  <c r="G64" i="34"/>
  <c r="H64" i="34" s="1"/>
  <c r="G67" i="32"/>
  <c r="H66" i="32"/>
  <c r="H63" i="34"/>
  <c r="E74" i="32"/>
  <c r="B75" i="32"/>
  <c r="F72" i="20"/>
  <c r="B75" i="20"/>
  <c r="E75" i="20" s="1"/>
  <c r="L38" i="16"/>
  <c r="R39" i="16"/>
  <c r="P40" i="16"/>
  <c r="N39" i="16"/>
  <c r="E73" i="34" l="1"/>
  <c r="B74" i="34"/>
  <c r="G72" i="20"/>
  <c r="H72" i="20"/>
  <c r="BJ103" i="24"/>
  <c r="BI104" i="24"/>
  <c r="G68" i="32"/>
  <c r="H67" i="32"/>
  <c r="G65" i="34"/>
  <c r="E75" i="32"/>
  <c r="B76" i="32"/>
  <c r="F73" i="20"/>
  <c r="B76" i="20"/>
  <c r="E76" i="20" s="1"/>
  <c r="L39" i="16"/>
  <c r="R40" i="16"/>
  <c r="P41" i="16"/>
  <c r="N40" i="16"/>
  <c r="E74" i="34" l="1"/>
  <c r="B75" i="34"/>
  <c r="F74" i="20"/>
  <c r="BJ104" i="24"/>
  <c r="BI105" i="24"/>
  <c r="G66" i="34"/>
  <c r="H66" i="34" s="1"/>
  <c r="H68" i="32"/>
  <c r="G69" i="32"/>
  <c r="H65" i="34"/>
  <c r="B77" i="32"/>
  <c r="E76" i="32"/>
  <c r="G73" i="20"/>
  <c r="G74" i="20" s="1"/>
  <c r="B77" i="20"/>
  <c r="E77" i="20" s="1"/>
  <c r="L40" i="16"/>
  <c r="R41" i="16"/>
  <c r="P42" i="16"/>
  <c r="N41" i="16"/>
  <c r="B76" i="34" l="1"/>
  <c r="E75" i="34"/>
  <c r="H73" i="20"/>
  <c r="H74" i="20"/>
  <c r="BJ105" i="24"/>
  <c r="BI106" i="24"/>
  <c r="H69" i="32"/>
  <c r="G70" i="32"/>
  <c r="G67" i="34"/>
  <c r="E77" i="32"/>
  <c r="B78" i="32"/>
  <c r="F75" i="20"/>
  <c r="B78" i="20"/>
  <c r="E78" i="20" s="1"/>
  <c r="L41" i="16"/>
  <c r="R42" i="16"/>
  <c r="P43" i="16"/>
  <c r="N42" i="16"/>
  <c r="B77" i="34" l="1"/>
  <c r="E76" i="34"/>
  <c r="BJ106" i="24"/>
  <c r="BI107" i="24"/>
  <c r="G68" i="34"/>
  <c r="H68" i="34" s="1"/>
  <c r="H70" i="32"/>
  <c r="G71" i="32"/>
  <c r="H67" i="34"/>
  <c r="E78" i="32"/>
  <c r="B79" i="32"/>
  <c r="F76" i="20"/>
  <c r="G75" i="20"/>
  <c r="G76" i="20" s="1"/>
  <c r="B79" i="20"/>
  <c r="E79" i="20" s="1"/>
  <c r="L42" i="16"/>
  <c r="R43" i="16"/>
  <c r="P44" i="16"/>
  <c r="N43" i="16"/>
  <c r="E77" i="34" l="1"/>
  <c r="B78" i="34"/>
  <c r="H76" i="20"/>
  <c r="H75" i="20"/>
  <c r="BI108" i="24"/>
  <c r="BJ107" i="24"/>
  <c r="H71" i="32"/>
  <c r="G72" i="32"/>
  <c r="G69" i="34"/>
  <c r="B80" i="32"/>
  <c r="E79" i="32"/>
  <c r="F77" i="20"/>
  <c r="B80" i="20"/>
  <c r="E80" i="20" s="1"/>
  <c r="L43" i="16"/>
  <c r="R44" i="16"/>
  <c r="P45" i="16"/>
  <c r="N44" i="16"/>
  <c r="B79" i="34" l="1"/>
  <c r="E78" i="34"/>
  <c r="BJ108" i="24"/>
  <c r="BI109" i="24"/>
  <c r="G73" i="32"/>
  <c r="H72" i="32"/>
  <c r="G70" i="34"/>
  <c r="H70" i="34" s="1"/>
  <c r="H69" i="34"/>
  <c r="B81" i="32"/>
  <c r="E80" i="32"/>
  <c r="F78" i="20"/>
  <c r="G77" i="20"/>
  <c r="G78" i="20" s="1"/>
  <c r="B81" i="20"/>
  <c r="E81" i="20" s="1"/>
  <c r="L44" i="16"/>
  <c r="R45" i="16"/>
  <c r="P46" i="16"/>
  <c r="N45" i="16"/>
  <c r="B80" i="34" l="1"/>
  <c r="E79" i="34"/>
  <c r="H78" i="20"/>
  <c r="H77" i="20"/>
  <c r="BI110" i="24"/>
  <c r="BJ109" i="24"/>
  <c r="G74" i="32"/>
  <c r="H73" i="32"/>
  <c r="G71" i="34"/>
  <c r="B82" i="32"/>
  <c r="E81" i="32"/>
  <c r="F79" i="20"/>
  <c r="B82" i="20"/>
  <c r="E82" i="20" s="1"/>
  <c r="L45" i="16"/>
  <c r="R46" i="16"/>
  <c r="P47" i="16"/>
  <c r="N46" i="16"/>
  <c r="E80" i="34" l="1"/>
  <c r="B81" i="34"/>
  <c r="BI111" i="24"/>
  <c r="BJ110" i="24"/>
  <c r="G72" i="34"/>
  <c r="H72" i="34" s="1"/>
  <c r="G75" i="32"/>
  <c r="H74" i="32"/>
  <c r="H71" i="34"/>
  <c r="B83" i="32"/>
  <c r="E82" i="32"/>
  <c r="F80" i="20"/>
  <c r="G79" i="20"/>
  <c r="G80" i="20" s="1"/>
  <c r="B83" i="20"/>
  <c r="E83" i="20" s="1"/>
  <c r="L46" i="16"/>
  <c r="R47" i="16"/>
  <c r="P48" i="16"/>
  <c r="N47" i="16"/>
  <c r="H79" i="20" l="1"/>
  <c r="B82" i="34"/>
  <c r="E81" i="34"/>
  <c r="H80" i="20"/>
  <c r="BI112" i="24"/>
  <c r="BJ111" i="24"/>
  <c r="G73" i="34"/>
  <c r="H73" i="34" s="1"/>
  <c r="G76" i="32"/>
  <c r="H75" i="32"/>
  <c r="B84" i="32"/>
  <c r="E83" i="32"/>
  <c r="F81" i="20"/>
  <c r="B84" i="20"/>
  <c r="E84" i="20" s="1"/>
  <c r="L47" i="16"/>
  <c r="R48" i="16"/>
  <c r="P49" i="16"/>
  <c r="N48" i="16"/>
  <c r="B83" i="34" l="1"/>
  <c r="E82" i="34"/>
  <c r="BI113" i="24"/>
  <c r="BJ112" i="24"/>
  <c r="G74" i="34"/>
  <c r="H74" i="34" s="1"/>
  <c r="G77" i="32"/>
  <c r="H76" i="32"/>
  <c r="E84" i="32"/>
  <c r="B85" i="32"/>
  <c r="F82" i="20"/>
  <c r="G81" i="20"/>
  <c r="H81" i="20" s="1"/>
  <c r="B85" i="20"/>
  <c r="E85" i="20" s="1"/>
  <c r="L48" i="16"/>
  <c r="R49" i="16"/>
  <c r="P50" i="16"/>
  <c r="N49" i="16"/>
  <c r="E83" i="34" l="1"/>
  <c r="B84" i="34"/>
  <c r="BI114" i="24"/>
  <c r="BJ113" i="24"/>
  <c r="G78" i="32"/>
  <c r="H77" i="32"/>
  <c r="G75" i="34"/>
  <c r="E85" i="32"/>
  <c r="B86" i="32"/>
  <c r="G82" i="20"/>
  <c r="H82" i="20" s="1"/>
  <c r="F83" i="20"/>
  <c r="B86" i="20"/>
  <c r="E86" i="20" s="1"/>
  <c r="L49" i="16"/>
  <c r="R50" i="16"/>
  <c r="P51" i="16"/>
  <c r="N50" i="16"/>
  <c r="B85" i="34" l="1"/>
  <c r="E84" i="34"/>
  <c r="BJ114" i="24"/>
  <c r="BI115" i="24"/>
  <c r="G76" i="34"/>
  <c r="H76" i="34" s="1"/>
  <c r="G79" i="32"/>
  <c r="H78" i="32"/>
  <c r="H75" i="34"/>
  <c r="B87" i="32"/>
  <c r="E86" i="32"/>
  <c r="F84" i="20"/>
  <c r="G83" i="20"/>
  <c r="B87" i="20"/>
  <c r="E87" i="20" s="1"/>
  <c r="L50" i="16"/>
  <c r="R51" i="16"/>
  <c r="P52" i="16"/>
  <c r="N51" i="16"/>
  <c r="B86" i="34" l="1"/>
  <c r="E85" i="34"/>
  <c r="G84" i="20"/>
  <c r="H84" i="20" s="1"/>
  <c r="H83" i="20"/>
  <c r="BJ115" i="24"/>
  <c r="BI116" i="24"/>
  <c r="G80" i="32"/>
  <c r="H79" i="32"/>
  <c r="G77" i="34"/>
  <c r="E87" i="32"/>
  <c r="B88" i="32"/>
  <c r="F85" i="20"/>
  <c r="B88" i="20"/>
  <c r="E88" i="20" s="1"/>
  <c r="L51" i="16"/>
  <c r="R52" i="16"/>
  <c r="P53" i="16"/>
  <c r="N52" i="16"/>
  <c r="B87" i="34" l="1"/>
  <c r="E86" i="34"/>
  <c r="BJ116" i="24"/>
  <c r="BI117" i="24"/>
  <c r="G78" i="34"/>
  <c r="H78" i="34" s="1"/>
  <c r="G81" i="32"/>
  <c r="H80" i="32"/>
  <c r="H77" i="34"/>
  <c r="E88" i="32"/>
  <c r="B89" i="32"/>
  <c r="F86" i="20"/>
  <c r="G85" i="20"/>
  <c r="G86" i="20" s="1"/>
  <c r="B89" i="20"/>
  <c r="E89" i="20" s="1"/>
  <c r="L52" i="16"/>
  <c r="R53" i="16"/>
  <c r="P54" i="16"/>
  <c r="N53" i="16"/>
  <c r="E87" i="34" l="1"/>
  <c r="B88" i="34"/>
  <c r="H86" i="20"/>
  <c r="H85" i="20"/>
  <c r="BJ117" i="24"/>
  <c r="BI118" i="24"/>
  <c r="G82" i="32"/>
  <c r="H81" i="32"/>
  <c r="G79" i="34"/>
  <c r="B90" i="32"/>
  <c r="E89" i="32"/>
  <c r="F87" i="20"/>
  <c r="B90" i="20"/>
  <c r="E90" i="20" s="1"/>
  <c r="L53" i="16"/>
  <c r="R54" i="16"/>
  <c r="P55" i="16"/>
  <c r="N54" i="16"/>
  <c r="E88" i="34" l="1"/>
  <c r="B89" i="34"/>
  <c r="BJ118" i="24"/>
  <c r="BI119" i="24"/>
  <c r="G83" i="32"/>
  <c r="H82" i="32"/>
  <c r="G80" i="34"/>
  <c r="H79" i="34"/>
  <c r="B91" i="32"/>
  <c r="E90" i="32"/>
  <c r="F88" i="20"/>
  <c r="G87" i="20"/>
  <c r="G88" i="20" s="1"/>
  <c r="B91" i="20"/>
  <c r="E91" i="20" s="1"/>
  <c r="L54" i="16"/>
  <c r="R55" i="16"/>
  <c r="P56" i="16"/>
  <c r="N55" i="16"/>
  <c r="B90" i="34" l="1"/>
  <c r="E89" i="34"/>
  <c r="H88" i="20"/>
  <c r="H87" i="20"/>
  <c r="BI120" i="24"/>
  <c r="BJ119" i="24"/>
  <c r="G81" i="34"/>
  <c r="H81" i="34" s="1"/>
  <c r="G84" i="32"/>
  <c r="H83" i="32"/>
  <c r="H80" i="34"/>
  <c r="B92" i="32"/>
  <c r="E91" i="32"/>
  <c r="F89" i="20"/>
  <c r="B92" i="20"/>
  <c r="E92" i="20" s="1"/>
  <c r="L55" i="16"/>
  <c r="R56" i="16"/>
  <c r="P57" i="16"/>
  <c r="N56" i="16"/>
  <c r="B91" i="34" l="1"/>
  <c r="E90" i="34"/>
  <c r="BI121" i="24"/>
  <c r="BJ120" i="24"/>
  <c r="H84" i="32"/>
  <c r="G85" i="32"/>
  <c r="G82" i="34"/>
  <c r="E92" i="32"/>
  <c r="B93" i="32"/>
  <c r="F90" i="20"/>
  <c r="G89" i="20"/>
  <c r="G90" i="20" s="1"/>
  <c r="B93" i="20"/>
  <c r="E93" i="20" s="1"/>
  <c r="L56" i="16"/>
  <c r="R57" i="16"/>
  <c r="P58" i="16"/>
  <c r="N57" i="16"/>
  <c r="E91" i="34" l="1"/>
  <c r="B92" i="34"/>
  <c r="H90" i="20"/>
  <c r="H89" i="20"/>
  <c r="BI122" i="24"/>
  <c r="BJ122" i="24" s="1"/>
  <c r="BJ121" i="24"/>
  <c r="G83" i="34"/>
  <c r="H83" i="34" s="1"/>
  <c r="G86" i="32"/>
  <c r="H85" i="32"/>
  <c r="H82" i="34"/>
  <c r="B94" i="32"/>
  <c r="E93" i="32"/>
  <c r="F91" i="20"/>
  <c r="B94" i="20"/>
  <c r="E94" i="20" s="1"/>
  <c r="L57" i="16"/>
  <c r="R58" i="16"/>
  <c r="P59" i="16"/>
  <c r="N58" i="16"/>
  <c r="BO20" i="24" l="1"/>
  <c r="BO25" i="24" a="1"/>
  <c r="BO25" i="24" s="1"/>
  <c r="BO26" i="24" s="1" a="1"/>
  <c r="BO26" i="24" s="1"/>
  <c r="B93" i="34"/>
  <c r="E92" i="34"/>
  <c r="G87" i="32"/>
  <c r="H86" i="32"/>
  <c r="G84" i="34"/>
  <c r="E94" i="32"/>
  <c r="B95" i="32"/>
  <c r="F92" i="20"/>
  <c r="G91" i="20"/>
  <c r="G92" i="20" s="1"/>
  <c r="B95" i="20"/>
  <c r="E95" i="20" s="1"/>
  <c r="L58" i="16"/>
  <c r="R59" i="16"/>
  <c r="P60" i="16"/>
  <c r="N59" i="16"/>
  <c r="B94" i="34" l="1"/>
  <c r="E93" i="34"/>
  <c r="H92" i="20"/>
  <c r="H91" i="20"/>
  <c r="G85" i="34"/>
  <c r="H85" i="34" s="1"/>
  <c r="G88" i="32"/>
  <c r="H87" i="32"/>
  <c r="H84" i="34"/>
  <c r="E95" i="32"/>
  <c r="B96" i="32"/>
  <c r="F93" i="20"/>
  <c r="B96" i="20"/>
  <c r="E96" i="20" s="1"/>
  <c r="L59" i="16"/>
  <c r="R60" i="16"/>
  <c r="P61" i="16"/>
  <c r="N60" i="16"/>
  <c r="B95" i="34" l="1"/>
  <c r="E94" i="34"/>
  <c r="G89" i="32"/>
  <c r="H88" i="32"/>
  <c r="G86" i="34"/>
  <c r="B97" i="32"/>
  <c r="E96" i="32"/>
  <c r="F94" i="20"/>
  <c r="G93" i="20"/>
  <c r="G94" i="20" s="1"/>
  <c r="B97" i="20"/>
  <c r="E97" i="20" s="1"/>
  <c r="L60" i="16"/>
  <c r="R61" i="16"/>
  <c r="P62" i="16"/>
  <c r="N61" i="16"/>
  <c r="E95" i="34" l="1"/>
  <c r="B96" i="34"/>
  <c r="H94" i="20"/>
  <c r="H93" i="20"/>
  <c r="G87" i="34"/>
  <c r="H87" i="34" s="1"/>
  <c r="H89" i="32"/>
  <c r="G90" i="32"/>
  <c r="H86" i="34"/>
  <c r="E97" i="32"/>
  <c r="B98" i="32"/>
  <c r="F95" i="20"/>
  <c r="B98" i="20"/>
  <c r="E98" i="20" s="1"/>
  <c r="L61" i="16"/>
  <c r="R62" i="16"/>
  <c r="P63" i="16"/>
  <c r="N62" i="16"/>
  <c r="B97" i="34" l="1"/>
  <c r="E96" i="34"/>
  <c r="G91" i="32"/>
  <c r="H90" i="32"/>
  <c r="G88" i="34"/>
  <c r="E98" i="32"/>
  <c r="B99" i="32"/>
  <c r="F96" i="20"/>
  <c r="G95" i="20"/>
  <c r="G96" i="20" s="1"/>
  <c r="B99" i="20"/>
  <c r="E99" i="20" s="1"/>
  <c r="L62" i="16"/>
  <c r="R63" i="16"/>
  <c r="P64" i="16"/>
  <c r="N63" i="16"/>
  <c r="E97" i="34" l="1"/>
  <c r="B98" i="34"/>
  <c r="H96" i="20"/>
  <c r="H95" i="20"/>
  <c r="G89" i="34"/>
  <c r="H89" i="34" s="1"/>
  <c r="H91" i="32"/>
  <c r="G92" i="32"/>
  <c r="H88" i="34"/>
  <c r="B100" i="32"/>
  <c r="E99" i="32"/>
  <c r="F97" i="20"/>
  <c r="B100" i="20"/>
  <c r="E100" i="20" s="1"/>
  <c r="L63" i="16"/>
  <c r="R64" i="16"/>
  <c r="P65" i="16"/>
  <c r="N64" i="16"/>
  <c r="B99" i="34" l="1"/>
  <c r="E98" i="34"/>
  <c r="G90" i="34"/>
  <c r="H90" i="34" s="1"/>
  <c r="G93" i="32"/>
  <c r="H92" i="32"/>
  <c r="B101" i="32"/>
  <c r="E100" i="32"/>
  <c r="F98" i="20"/>
  <c r="G97" i="20"/>
  <c r="H97" i="20" s="1"/>
  <c r="B101" i="20"/>
  <c r="E101" i="20" s="1"/>
  <c r="L64" i="16"/>
  <c r="R65" i="16"/>
  <c r="P66" i="16"/>
  <c r="N65" i="16"/>
  <c r="B100" i="34" l="1"/>
  <c r="E99" i="34"/>
  <c r="G94" i="32"/>
  <c r="H93" i="32"/>
  <c r="G91" i="34"/>
  <c r="B102" i="32"/>
  <c r="E101" i="32"/>
  <c r="G98" i="20"/>
  <c r="H98" i="20" s="1"/>
  <c r="F99" i="20"/>
  <c r="B102" i="20"/>
  <c r="E102" i="20" s="1"/>
  <c r="L65" i="16"/>
  <c r="R66" i="16"/>
  <c r="P67" i="16"/>
  <c r="N66" i="16"/>
  <c r="E100" i="34" l="1"/>
  <c r="B101" i="34"/>
  <c r="G92" i="34"/>
  <c r="H92" i="34" s="1"/>
  <c r="G95" i="32"/>
  <c r="H94" i="32"/>
  <c r="H91" i="34"/>
  <c r="B103" i="32"/>
  <c r="E102" i="32"/>
  <c r="F100" i="20"/>
  <c r="G99" i="20"/>
  <c r="B103" i="20"/>
  <c r="E103" i="20" s="1"/>
  <c r="L66" i="16"/>
  <c r="R67" i="16"/>
  <c r="P68" i="16"/>
  <c r="N67" i="16"/>
  <c r="G100" i="20" l="1"/>
  <c r="B102" i="34"/>
  <c r="E101" i="34"/>
  <c r="H100" i="20"/>
  <c r="H99" i="20"/>
  <c r="G93" i="34"/>
  <c r="H93" i="34" s="1"/>
  <c r="G96" i="32"/>
  <c r="H95" i="32"/>
  <c r="B104" i="32"/>
  <c r="E103" i="32"/>
  <c r="F101" i="20"/>
  <c r="B104" i="20"/>
  <c r="E104" i="20" s="1"/>
  <c r="L67" i="16"/>
  <c r="R68" i="16"/>
  <c r="P69" i="16"/>
  <c r="N68" i="16"/>
  <c r="E102" i="34" l="1"/>
  <c r="B103" i="34"/>
  <c r="G94" i="34"/>
  <c r="H94" i="34" s="1"/>
  <c r="G97" i="32"/>
  <c r="H96" i="32"/>
  <c r="E104" i="32"/>
  <c r="B105" i="32"/>
  <c r="F102" i="20"/>
  <c r="G101" i="20"/>
  <c r="G102" i="20" s="1"/>
  <c r="B105" i="20"/>
  <c r="E105" i="20" s="1"/>
  <c r="L68" i="16"/>
  <c r="R69" i="16"/>
  <c r="P70" i="16"/>
  <c r="N69" i="16"/>
  <c r="E103" i="34" l="1"/>
  <c r="B104" i="34"/>
  <c r="H102" i="20"/>
  <c r="H101" i="20"/>
  <c r="G98" i="32"/>
  <c r="H97" i="32"/>
  <c r="G95" i="34"/>
  <c r="E105" i="32"/>
  <c r="B106" i="32"/>
  <c r="F103" i="20"/>
  <c r="B106" i="20"/>
  <c r="E106" i="20" s="1"/>
  <c r="L69" i="16"/>
  <c r="R70" i="16"/>
  <c r="P71" i="16"/>
  <c r="N70" i="16"/>
  <c r="B105" i="34" l="1"/>
  <c r="E104" i="34"/>
  <c r="G96" i="34"/>
  <c r="H96" i="34" s="1"/>
  <c r="G99" i="32"/>
  <c r="H98" i="32"/>
  <c r="H95" i="34"/>
  <c r="B107" i="32"/>
  <c r="E106" i="32"/>
  <c r="F104" i="20"/>
  <c r="G103" i="20"/>
  <c r="G104" i="20" s="1"/>
  <c r="B107" i="20"/>
  <c r="E107" i="20" s="1"/>
  <c r="L70" i="16"/>
  <c r="R71" i="16"/>
  <c r="P72" i="16"/>
  <c r="N71" i="16"/>
  <c r="B106" i="34" l="1"/>
  <c r="E105" i="34"/>
  <c r="H104" i="20"/>
  <c r="H103" i="20"/>
  <c r="G100" i="32"/>
  <c r="H99" i="32"/>
  <c r="G97" i="34"/>
  <c r="E107" i="32"/>
  <c r="B108" i="32"/>
  <c r="F105" i="20"/>
  <c r="B108" i="20"/>
  <c r="E108" i="20" s="1"/>
  <c r="L71" i="16"/>
  <c r="R72" i="16"/>
  <c r="P73" i="16"/>
  <c r="N72" i="16"/>
  <c r="B107" i="34" l="1"/>
  <c r="E106" i="34"/>
  <c r="G98" i="34"/>
  <c r="H98" i="34" s="1"/>
  <c r="H100" i="32"/>
  <c r="G101" i="32"/>
  <c r="H97" i="34"/>
  <c r="E108" i="32"/>
  <c r="B109" i="32"/>
  <c r="F106" i="20"/>
  <c r="G105" i="20"/>
  <c r="B109" i="20"/>
  <c r="E109" i="20" s="1"/>
  <c r="L72" i="16"/>
  <c r="R73" i="16"/>
  <c r="P74" i="16"/>
  <c r="N73" i="16"/>
  <c r="G106" i="20" l="1"/>
  <c r="E107" i="34"/>
  <c r="B108" i="34"/>
  <c r="H106" i="20"/>
  <c r="H105" i="20"/>
  <c r="G99" i="34"/>
  <c r="H99" i="34" s="1"/>
  <c r="G102" i="32"/>
  <c r="H101" i="32"/>
  <c r="B110" i="32"/>
  <c r="E109" i="32"/>
  <c r="F107" i="20"/>
  <c r="G107" i="20"/>
  <c r="B110" i="20"/>
  <c r="E110" i="20" s="1"/>
  <c r="L73" i="16"/>
  <c r="R74" i="16"/>
  <c r="P75" i="16"/>
  <c r="N74" i="16"/>
  <c r="B109" i="34" l="1"/>
  <c r="E108" i="34"/>
  <c r="H107" i="20"/>
  <c r="G103" i="32"/>
  <c r="H102" i="32"/>
  <c r="G100" i="34"/>
  <c r="B111" i="32"/>
  <c r="E110" i="32"/>
  <c r="F108" i="20"/>
  <c r="B111" i="20"/>
  <c r="E111" i="20" s="1"/>
  <c r="L74" i="16"/>
  <c r="R75" i="16"/>
  <c r="P76" i="16"/>
  <c r="N75" i="16"/>
  <c r="E109" i="34" l="1"/>
  <c r="B110" i="34"/>
  <c r="G101" i="34"/>
  <c r="H101" i="34" s="1"/>
  <c r="G104" i="32"/>
  <c r="H103" i="32"/>
  <c r="H100" i="34"/>
  <c r="B112" i="32"/>
  <c r="E111" i="32"/>
  <c r="F109" i="20"/>
  <c r="G108" i="20"/>
  <c r="B112" i="20"/>
  <c r="E112" i="20" s="1"/>
  <c r="L75" i="16"/>
  <c r="R76" i="16"/>
  <c r="P77" i="16"/>
  <c r="N76" i="16"/>
  <c r="G109" i="20" l="1"/>
  <c r="H109" i="20" s="1"/>
  <c r="E110" i="34"/>
  <c r="B111" i="34"/>
  <c r="H108" i="20"/>
  <c r="G105" i="32"/>
  <c r="H104" i="32"/>
  <c r="G102" i="34"/>
  <c r="B113" i="32"/>
  <c r="E112" i="32"/>
  <c r="F110" i="20"/>
  <c r="B113" i="20"/>
  <c r="E113" i="20" s="1"/>
  <c r="L76" i="16"/>
  <c r="R77" i="16"/>
  <c r="P78" i="16"/>
  <c r="N77" i="16"/>
  <c r="B112" i="34" l="1"/>
  <c r="E111" i="34"/>
  <c r="G103" i="34"/>
  <c r="H103" i="34" s="1"/>
  <c r="G106" i="32"/>
  <c r="H105" i="32"/>
  <c r="H102" i="34"/>
  <c r="B114" i="32"/>
  <c r="E113" i="32"/>
  <c r="F111" i="20"/>
  <c r="G110" i="20"/>
  <c r="H110" i="20" s="1"/>
  <c r="B114" i="20"/>
  <c r="E114" i="20" s="1"/>
  <c r="L77" i="16"/>
  <c r="R78" i="16"/>
  <c r="P79" i="16"/>
  <c r="N78" i="16"/>
  <c r="G111" i="20" l="1"/>
  <c r="B113" i="34"/>
  <c r="E112" i="34"/>
  <c r="H111" i="20"/>
  <c r="G107" i="32"/>
  <c r="H106" i="32"/>
  <c r="G104" i="34"/>
  <c r="E114" i="32"/>
  <c r="B115" i="32"/>
  <c r="F112" i="20"/>
  <c r="B115" i="20"/>
  <c r="E115" i="20" s="1"/>
  <c r="L78" i="16"/>
  <c r="R79" i="16"/>
  <c r="P80" i="16"/>
  <c r="N79" i="16"/>
  <c r="E113" i="34" l="1"/>
  <c r="B114" i="34"/>
  <c r="H112" i="20"/>
  <c r="G105" i="34"/>
  <c r="H105" i="34" s="1"/>
  <c r="G108" i="32"/>
  <c r="H107" i="32"/>
  <c r="H104" i="34"/>
  <c r="E115" i="32"/>
  <c r="B116" i="32"/>
  <c r="F113" i="20"/>
  <c r="G112" i="20"/>
  <c r="B116" i="20"/>
  <c r="E116" i="20" s="1"/>
  <c r="L79" i="16"/>
  <c r="R80" i="16"/>
  <c r="P81" i="16"/>
  <c r="N80" i="16"/>
  <c r="G113" i="20" l="1"/>
  <c r="E114" i="34"/>
  <c r="B115" i="34"/>
  <c r="H113" i="20"/>
  <c r="G109" i="32"/>
  <c r="H108" i="32"/>
  <c r="G106" i="34"/>
  <c r="B117" i="32"/>
  <c r="E116" i="32"/>
  <c r="F114" i="20"/>
  <c r="B117" i="20"/>
  <c r="E117" i="20" s="1"/>
  <c r="L80" i="16"/>
  <c r="R81" i="16"/>
  <c r="P82" i="16"/>
  <c r="N81" i="16"/>
  <c r="B116" i="34" l="1"/>
  <c r="E115" i="34"/>
  <c r="H114" i="20"/>
  <c r="G107" i="34"/>
  <c r="H107" i="34" s="1"/>
  <c r="G110" i="32"/>
  <c r="H109" i="32"/>
  <c r="H106" i="34"/>
  <c r="E117" i="32"/>
  <c r="B118" i="32"/>
  <c r="F115" i="20"/>
  <c r="G114" i="20"/>
  <c r="B118" i="20"/>
  <c r="E118" i="20" s="1"/>
  <c r="L81" i="16"/>
  <c r="R82" i="16"/>
  <c r="P83" i="16"/>
  <c r="N82" i="16"/>
  <c r="G115" i="20" l="1"/>
  <c r="H115" i="20" s="1"/>
  <c r="E116" i="34"/>
  <c r="B117" i="34"/>
  <c r="G111" i="32"/>
  <c r="H110" i="32"/>
  <c r="G108" i="34"/>
  <c r="B119" i="32"/>
  <c r="E118" i="32"/>
  <c r="F116" i="20"/>
  <c r="B119" i="20"/>
  <c r="E119" i="20" s="1"/>
  <c r="L82" i="16"/>
  <c r="R83" i="16"/>
  <c r="P84" i="16"/>
  <c r="N83" i="16"/>
  <c r="E117" i="34" l="1"/>
  <c r="B118" i="34"/>
  <c r="G109" i="34"/>
  <c r="H109" i="34" s="1"/>
  <c r="G112" i="32"/>
  <c r="H111" i="32"/>
  <c r="H108" i="34"/>
  <c r="B120" i="32"/>
  <c r="E119" i="32"/>
  <c r="F117" i="20"/>
  <c r="G116" i="20"/>
  <c r="G117" i="20" s="1"/>
  <c r="B120" i="20"/>
  <c r="E120" i="20" s="1"/>
  <c r="L83" i="16"/>
  <c r="R84" i="16"/>
  <c r="P85" i="16"/>
  <c r="N84" i="16"/>
  <c r="B119" i="34" l="1"/>
  <c r="E118" i="34"/>
  <c r="H117" i="20"/>
  <c r="H116" i="20"/>
  <c r="G110" i="34"/>
  <c r="H110" i="34" s="1"/>
  <c r="G113" i="32"/>
  <c r="H112" i="32"/>
  <c r="B121" i="32"/>
  <c r="E120" i="32"/>
  <c r="F118" i="20"/>
  <c r="B121" i="20"/>
  <c r="E121" i="20" s="1"/>
  <c r="L84" i="16"/>
  <c r="R85" i="16"/>
  <c r="P86" i="16"/>
  <c r="N85" i="16"/>
  <c r="B120" i="34" l="1"/>
  <c r="E119" i="34"/>
  <c r="G114" i="32"/>
  <c r="H113" i="32"/>
  <c r="G111" i="34"/>
  <c r="B122" i="32"/>
  <c r="E121" i="32"/>
  <c r="F119" i="20"/>
  <c r="G118" i="20"/>
  <c r="G119" i="20" s="1"/>
  <c r="B122" i="20"/>
  <c r="E122" i="20" s="1"/>
  <c r="L85" i="16"/>
  <c r="R86" i="16"/>
  <c r="P87" i="16"/>
  <c r="N86" i="16"/>
  <c r="E120" i="34" l="1"/>
  <c r="B121" i="34"/>
  <c r="H119" i="20"/>
  <c r="H118" i="20"/>
  <c r="G112" i="34"/>
  <c r="H112" i="34" s="1"/>
  <c r="G115" i="32"/>
  <c r="H114" i="32"/>
  <c r="H111" i="34"/>
  <c r="E122" i="32"/>
  <c r="B123" i="32"/>
  <c r="F120" i="20"/>
  <c r="B123" i="20"/>
  <c r="E123" i="20" s="1"/>
  <c r="L86" i="16"/>
  <c r="R87" i="16"/>
  <c r="P88" i="16"/>
  <c r="N87" i="16"/>
  <c r="B122" i="34" l="1"/>
  <c r="E121" i="34"/>
  <c r="H120" i="20"/>
  <c r="H115" i="32"/>
  <c r="G116" i="32"/>
  <c r="G113" i="34"/>
  <c r="B124" i="32"/>
  <c r="E123" i="32"/>
  <c r="F121" i="20"/>
  <c r="G120" i="20"/>
  <c r="B124" i="20"/>
  <c r="E124" i="20" s="1"/>
  <c r="L87" i="16"/>
  <c r="R88" i="16"/>
  <c r="P89" i="16"/>
  <c r="N88" i="16"/>
  <c r="E122" i="34" l="1"/>
  <c r="B123" i="34"/>
  <c r="G114" i="34"/>
  <c r="H114" i="34" s="1"/>
  <c r="G117" i="32"/>
  <c r="H116" i="32"/>
  <c r="H113" i="34"/>
  <c r="E124" i="32"/>
  <c r="B125" i="32"/>
  <c r="G121" i="20"/>
  <c r="H121" i="20" s="1"/>
  <c r="F122" i="20"/>
  <c r="B125" i="20"/>
  <c r="E125" i="20" s="1"/>
  <c r="L88" i="16"/>
  <c r="R89" i="16"/>
  <c r="P90" i="16"/>
  <c r="N89" i="16"/>
  <c r="B124" i="34" l="1"/>
  <c r="E123" i="34"/>
  <c r="G118" i="32"/>
  <c r="H117" i="32"/>
  <c r="G115" i="34"/>
  <c r="E125" i="32"/>
  <c r="B126" i="32"/>
  <c r="F123" i="20"/>
  <c r="G122" i="20"/>
  <c r="H122" i="20" s="1"/>
  <c r="B126" i="20"/>
  <c r="E126" i="20" s="1"/>
  <c r="L89" i="16"/>
  <c r="R90" i="16"/>
  <c r="P91" i="16"/>
  <c r="N90" i="16"/>
  <c r="B125" i="34" l="1"/>
  <c r="E124" i="34"/>
  <c r="G123" i="20"/>
  <c r="H123" i="20" s="1"/>
  <c r="G116" i="34"/>
  <c r="H116" i="34" s="1"/>
  <c r="G119" i="32"/>
  <c r="H118" i="32"/>
  <c r="H115" i="34"/>
  <c r="B127" i="32"/>
  <c r="E126" i="32"/>
  <c r="F124" i="20"/>
  <c r="B127" i="20"/>
  <c r="E127" i="20" s="1"/>
  <c r="L90" i="16"/>
  <c r="R91" i="16"/>
  <c r="P92" i="16"/>
  <c r="N91" i="16"/>
  <c r="B126" i="34" l="1"/>
  <c r="E125" i="34"/>
  <c r="G120" i="32"/>
  <c r="H119" i="32"/>
  <c r="G117" i="34"/>
  <c r="E127" i="32"/>
  <c r="B128" i="32"/>
  <c r="F125" i="20"/>
  <c r="G124" i="20"/>
  <c r="G125" i="20" s="1"/>
  <c r="B128" i="20"/>
  <c r="E128" i="20" s="1"/>
  <c r="L91" i="16"/>
  <c r="R92" i="16"/>
  <c r="P93" i="16"/>
  <c r="N92" i="16"/>
  <c r="B127" i="34" l="1"/>
  <c r="E126" i="34"/>
  <c r="H125" i="20"/>
  <c r="H124" i="20"/>
  <c r="G118" i="34"/>
  <c r="H118" i="34" s="1"/>
  <c r="G121" i="32"/>
  <c r="H120" i="32"/>
  <c r="H117" i="34"/>
  <c r="B129" i="32"/>
  <c r="E128" i="32"/>
  <c r="F126" i="20"/>
  <c r="B129" i="20"/>
  <c r="E129" i="20" s="1"/>
  <c r="L92" i="16"/>
  <c r="R93" i="16"/>
  <c r="P94" i="16"/>
  <c r="N93" i="16"/>
  <c r="E127" i="34" l="1"/>
  <c r="B128" i="34"/>
  <c r="G122" i="32"/>
  <c r="H121" i="32"/>
  <c r="G119" i="34"/>
  <c r="B130" i="32"/>
  <c r="E129" i="32"/>
  <c r="F127" i="20"/>
  <c r="G126" i="20"/>
  <c r="G127" i="20" s="1"/>
  <c r="B130" i="20"/>
  <c r="E130" i="20" s="1"/>
  <c r="L93" i="16"/>
  <c r="R94" i="16"/>
  <c r="P95" i="16"/>
  <c r="N94" i="16"/>
  <c r="B129" i="34" l="1"/>
  <c r="E128" i="34"/>
  <c r="H127" i="20"/>
  <c r="H126" i="20"/>
  <c r="G120" i="34"/>
  <c r="H120" i="34" s="1"/>
  <c r="H122" i="32"/>
  <c r="G123" i="32"/>
  <c r="H119" i="34"/>
  <c r="B131" i="32"/>
  <c r="E130" i="32"/>
  <c r="F128" i="20"/>
  <c r="B131" i="20"/>
  <c r="E131" i="20" s="1"/>
  <c r="L94" i="16"/>
  <c r="R95" i="16"/>
  <c r="P96" i="16"/>
  <c r="N95" i="16"/>
  <c r="E129" i="34" l="1"/>
  <c r="B130" i="34"/>
  <c r="G124" i="32"/>
  <c r="H123" i="32"/>
  <c r="G121" i="34"/>
  <c r="B132" i="32"/>
  <c r="E131" i="32"/>
  <c r="F129" i="20"/>
  <c r="G128" i="20"/>
  <c r="G129" i="20" s="1"/>
  <c r="B132" i="20"/>
  <c r="E132" i="20" s="1"/>
  <c r="L95" i="16"/>
  <c r="R96" i="16"/>
  <c r="P97" i="16"/>
  <c r="N96" i="16"/>
  <c r="E130" i="34" l="1"/>
  <c r="B131" i="34"/>
  <c r="H129" i="20"/>
  <c r="H128" i="20"/>
  <c r="G122" i="34"/>
  <c r="H122" i="34" s="1"/>
  <c r="G125" i="32"/>
  <c r="H124" i="32"/>
  <c r="H121" i="34"/>
  <c r="B133" i="32"/>
  <c r="E132" i="32"/>
  <c r="F130" i="20"/>
  <c r="L96" i="16"/>
  <c r="R97" i="16"/>
  <c r="P98" i="16"/>
  <c r="N97" i="16"/>
  <c r="B132" i="34" l="1"/>
  <c r="E132" i="34" s="1"/>
  <c r="E131" i="34"/>
  <c r="G126" i="32"/>
  <c r="H125" i="32"/>
  <c r="G123" i="34"/>
  <c r="B134" i="32"/>
  <c r="E134" i="32" s="1"/>
  <c r="E133" i="32"/>
  <c r="F131" i="20"/>
  <c r="G130" i="20"/>
  <c r="G131" i="20" s="1"/>
  <c r="L97" i="16"/>
  <c r="R98" i="16"/>
  <c r="P99" i="16"/>
  <c r="N98" i="16"/>
  <c r="H131" i="20" l="1"/>
  <c r="H130" i="20"/>
  <c r="G124" i="34"/>
  <c r="H124" i="34" s="1"/>
  <c r="G127" i="32"/>
  <c r="H126" i="32"/>
  <c r="H123" i="34"/>
  <c r="F132" i="20"/>
  <c r="L98" i="16"/>
  <c r="R99" i="16"/>
  <c r="P100" i="16"/>
  <c r="N99" i="16"/>
  <c r="H132" i="20" l="1"/>
  <c r="C137" i="20"/>
  <c r="H127" i="32"/>
  <c r="G128" i="32"/>
  <c r="G125" i="34"/>
  <c r="C140" i="32"/>
  <c r="C138" i="32"/>
  <c r="C139" i="32"/>
  <c r="C136" i="20"/>
  <c r="G132" i="20"/>
  <c r="L99" i="16"/>
  <c r="R100" i="16"/>
  <c r="P101" i="16"/>
  <c r="N100" i="16"/>
  <c r="G126" i="34" l="1"/>
  <c r="H126" i="34" s="1"/>
  <c r="G129" i="32"/>
  <c r="H128" i="32"/>
  <c r="H125" i="34"/>
  <c r="L100" i="16"/>
  <c r="R101" i="16"/>
  <c r="P102" i="16"/>
  <c r="N101" i="16"/>
  <c r="G130" i="32" l="1"/>
  <c r="H129" i="32"/>
  <c r="G127" i="34"/>
  <c r="L101" i="16"/>
  <c r="R102" i="16"/>
  <c r="P103" i="16"/>
  <c r="N102" i="16"/>
  <c r="G128" i="34" l="1"/>
  <c r="H128" i="34" s="1"/>
  <c r="H130" i="32"/>
  <c r="G131" i="32"/>
  <c r="H127" i="34"/>
  <c r="L102" i="16"/>
  <c r="R103" i="16"/>
  <c r="P104" i="16"/>
  <c r="N103" i="16"/>
  <c r="G132" i="32" l="1"/>
  <c r="H131" i="32"/>
  <c r="G129" i="34"/>
  <c r="L103" i="16"/>
  <c r="R104" i="16"/>
  <c r="P105" i="16"/>
  <c r="N104" i="16"/>
  <c r="G130" i="34" l="1"/>
  <c r="H130" i="34" s="1"/>
  <c r="G133" i="32"/>
  <c r="H132" i="32"/>
  <c r="H129" i="34"/>
  <c r="L104" i="16"/>
  <c r="R105" i="16"/>
  <c r="P106" i="16"/>
  <c r="N105" i="16"/>
  <c r="G134" i="32" l="1"/>
  <c r="H134" i="32" s="1"/>
  <c r="H133" i="32"/>
  <c r="G131" i="34"/>
  <c r="L105" i="16"/>
  <c r="R106" i="16"/>
  <c r="P107" i="16"/>
  <c r="N106" i="16"/>
  <c r="C151" i="32" l="1" a="1"/>
  <c r="C151" i="32" s="1"/>
  <c r="C152" i="32" s="1" a="1"/>
  <c r="C152" i="32" s="1"/>
  <c r="I148" i="34" s="1"/>
  <c r="C147" i="32"/>
  <c r="G132" i="34"/>
  <c r="H132" i="34" s="1"/>
  <c r="C136" i="34"/>
  <c r="C137" i="34"/>
  <c r="H131" i="34"/>
  <c r="L106" i="16"/>
  <c r="R107" i="16"/>
  <c r="P108" i="16"/>
  <c r="N107" i="16"/>
  <c r="C149" i="34" l="1" a="1"/>
  <c r="C149" i="34" s="1"/>
  <c r="C150" i="34" s="1" a="1"/>
  <c r="C150" i="34" s="1"/>
  <c r="C145" i="34"/>
  <c r="L107" i="16"/>
  <c r="R108" i="16"/>
  <c r="P109" i="16"/>
  <c r="N108" i="16"/>
  <c r="L108" i="16" l="1"/>
  <c r="R109" i="16"/>
  <c r="P110" i="16"/>
  <c r="N109" i="16"/>
  <c r="L109" i="16" l="1"/>
  <c r="R110" i="16"/>
  <c r="P111" i="16"/>
  <c r="N110" i="16"/>
  <c r="L110" i="16" l="1"/>
  <c r="R111" i="16"/>
  <c r="P112" i="16"/>
  <c r="N111" i="16"/>
  <c r="L111" i="16" l="1"/>
  <c r="R112" i="16"/>
  <c r="P113" i="16"/>
  <c r="N112" i="16"/>
  <c r="L112" i="16" l="1"/>
  <c r="R113" i="16"/>
  <c r="P114" i="16"/>
  <c r="N113" i="16"/>
  <c r="L113" i="16" l="1"/>
  <c r="R114" i="16"/>
  <c r="P115" i="16"/>
  <c r="N114" i="16"/>
  <c r="L114" i="16" l="1"/>
  <c r="R115" i="16"/>
  <c r="P116" i="16"/>
  <c r="N115" i="16"/>
  <c r="L115" i="16" l="1"/>
  <c r="R116" i="16"/>
  <c r="P117" i="16"/>
  <c r="N116" i="16"/>
  <c r="L116" i="16" l="1"/>
  <c r="R117" i="16"/>
  <c r="P118" i="16"/>
  <c r="N117" i="16"/>
  <c r="L117" i="16" l="1"/>
  <c r="R118" i="16"/>
  <c r="P119" i="16"/>
  <c r="N118" i="16"/>
  <c r="L118" i="16" l="1"/>
  <c r="R119" i="16"/>
  <c r="P121" i="16"/>
  <c r="P120" i="16"/>
  <c r="N119" i="16"/>
  <c r="E19" i="16" l="1"/>
  <c r="L119" i="16"/>
  <c r="R121" i="16"/>
  <c r="F19" i="16" s="1"/>
  <c r="R120" i="16"/>
  <c r="N120" i="16"/>
  <c r="N121" i="16"/>
  <c r="D19" i="16" s="1"/>
  <c r="L120" i="16" l="1"/>
  <c r="L121" i="16"/>
  <c r="C19" i="16" s="1"/>
  <c r="C145" i="20" l="1"/>
  <c r="AD28" i="25"/>
  <c r="AD38" i="25" s="1"/>
  <c r="AF26" i="25"/>
  <c r="AF36" i="25" s="1"/>
  <c r="AG26" i="25"/>
  <c r="AG36" i="25" s="1"/>
  <c r="AG29" i="25"/>
  <c r="AG39" i="25" s="1"/>
  <c r="AD29" i="25"/>
  <c r="AD39" i="25" s="1"/>
  <c r="AF27" i="25"/>
  <c r="AF37" i="25" s="1"/>
  <c r="AD27" i="25"/>
  <c r="AD37" i="25" s="1"/>
  <c r="AF28" i="25"/>
  <c r="AF38" i="25" s="1"/>
  <c r="AE27" i="25"/>
  <c r="AE37" i="25" s="1"/>
  <c r="AE26" i="25"/>
  <c r="AE36" i="25" s="1"/>
  <c r="AE28" i="25"/>
  <c r="AE38" i="25" s="1"/>
  <c r="AG28" i="25"/>
  <c r="AG38" i="25" s="1"/>
  <c r="AF29" i="25"/>
  <c r="AF39" i="25" s="1"/>
  <c r="AG27" i="25"/>
  <c r="AG37" i="25" s="1"/>
  <c r="AD26" i="25"/>
  <c r="AE29" i="25"/>
  <c r="AE39" i="25" s="1"/>
  <c r="AE31" i="25" l="1"/>
  <c r="AE32" i="25" s="1"/>
  <c r="AE41" i="25"/>
  <c r="AG41" i="25"/>
  <c r="AF41" i="25"/>
  <c r="AD36" i="25"/>
  <c r="AD41" i="25" l="1"/>
  <c r="AH39" i="25"/>
  <c r="AG42" i="25" s="1"/>
  <c r="AF42" i="25"/>
  <c r="AE42" i="25" l="1"/>
  <c r="AD42" i="25"/>
  <c r="AH42" i="2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<sst xmlns="http://schemas.openxmlformats.org/spreadsheetml/2006/main" count="2282" uniqueCount="333">
  <si>
    <t>Asset 1</t>
  </si>
  <si>
    <t>Asset 2</t>
  </si>
  <si>
    <t>Asset3</t>
  </si>
  <si>
    <t>Asset 4</t>
  </si>
  <si>
    <t>Asset 5</t>
  </si>
  <si>
    <t>US Muni</t>
  </si>
  <si>
    <t>US Tbill 1-3yr</t>
  </si>
  <si>
    <t>US AGG</t>
  </si>
  <si>
    <t>Global AGG</t>
  </si>
  <si>
    <t>US Dollar</t>
  </si>
  <si>
    <t>Commodities</t>
  </si>
  <si>
    <t>Long Short HF</t>
  </si>
  <si>
    <t>Event Driven HF</t>
  </si>
  <si>
    <t>HF FOF Div</t>
  </si>
  <si>
    <t>Relative Value HF</t>
  </si>
  <si>
    <t>EM Bond</t>
  </si>
  <si>
    <t>TIPs</t>
  </si>
  <si>
    <t>High Yield</t>
  </si>
  <si>
    <t>MSCI World</t>
  </si>
  <si>
    <t>MSCI Canada</t>
  </si>
  <si>
    <t>MSCI EAFE</t>
  </si>
  <si>
    <t>MSCI EM Equity</t>
  </si>
  <si>
    <t>MSCI Europe</t>
  </si>
  <si>
    <t>MSCI Japan</t>
  </si>
  <si>
    <t>MSCI Asia ex-J</t>
  </si>
  <si>
    <t>US Growth</t>
  </si>
  <si>
    <t>US Value</t>
  </si>
  <si>
    <t>US Small Cap</t>
  </si>
  <si>
    <t>US Mid Cap</t>
  </si>
  <si>
    <t>Gold</t>
  </si>
  <si>
    <t>S&amp;P500</t>
  </si>
  <si>
    <t>Cash</t>
  </si>
  <si>
    <t>LM17TR</t>
  </si>
  <si>
    <t>LT01TRUU</t>
  </si>
  <si>
    <t>LBUSTRUU</t>
  </si>
  <si>
    <t>LEGATRUU</t>
  </si>
  <si>
    <t>USTW$</t>
  </si>
  <si>
    <t>BCOMTR</t>
  </si>
  <si>
    <t>HFRIEHI</t>
  </si>
  <si>
    <t>HFRIEDI</t>
  </si>
  <si>
    <t>HFRIFOFD</t>
  </si>
  <si>
    <t>HFRIRVA</t>
  </si>
  <si>
    <t>JPEIGLBL</t>
  </si>
  <si>
    <t>SPBDU1ST</t>
  </si>
  <si>
    <t>H0A0</t>
  </si>
  <si>
    <t>NDDUWI</t>
  </si>
  <si>
    <t>NDDUCA</t>
  </si>
  <si>
    <t>NDDUEAFE</t>
  </si>
  <si>
    <t>NDUEEGF</t>
  </si>
  <si>
    <t>NDDUE15</t>
  </si>
  <si>
    <t>NDDUJN</t>
  </si>
  <si>
    <t>NDUECAXJ</t>
  </si>
  <si>
    <t>RU10GRTR</t>
  </si>
  <si>
    <t>RU10VATR</t>
  </si>
  <si>
    <t>RU20INTR</t>
  </si>
  <si>
    <t>RUMCINTR</t>
  </si>
  <si>
    <t>GOLDS</t>
  </si>
  <si>
    <t>SPTR</t>
  </si>
  <si>
    <t>LD12TRUU</t>
  </si>
  <si>
    <t>Factor</t>
  </si>
  <si>
    <t>A1</t>
  </si>
  <si>
    <t>A2</t>
  </si>
  <si>
    <t>A3</t>
  </si>
  <si>
    <t>A4</t>
  </si>
  <si>
    <t>A5</t>
  </si>
  <si>
    <t>Date</t>
  </si>
  <si>
    <t>Cumulative Return A1</t>
  </si>
  <si>
    <t>Drawdown A1</t>
  </si>
  <si>
    <t>Cumulative Return A2</t>
  </si>
  <si>
    <t>Drawdown A2</t>
  </si>
  <si>
    <t>Cumulative Return A3</t>
  </si>
  <si>
    <t>Drawdown A3</t>
  </si>
  <si>
    <t>Cumulative Return A4</t>
  </si>
  <si>
    <t>Drawdown A4</t>
  </si>
  <si>
    <t>Cumulative Return A5</t>
  </si>
  <si>
    <t>Drawdown A5</t>
  </si>
  <si>
    <t>Mean (Monthly)</t>
  </si>
  <si>
    <t>Mean (Annualized)</t>
  </si>
  <si>
    <t>Std Dev Monthly (sample)</t>
  </si>
  <si>
    <t>Std Dev Annualized</t>
  </si>
  <si>
    <t>Worst Month</t>
  </si>
  <si>
    <t>Best Month</t>
  </si>
  <si>
    <t>Skewness</t>
  </si>
  <si>
    <t>Excess kurtosis</t>
  </si>
  <si>
    <t>Jarque-Bera stat</t>
  </si>
  <si>
    <t>(n / 6) * (S^2 + K^2 / 4)</t>
  </si>
  <si>
    <t>JB p-value</t>
  </si>
  <si>
    <t>Normality</t>
  </si>
  <si>
    <t>95% historical VaR</t>
  </si>
  <si>
    <t>95% historical CVaR</t>
  </si>
  <si>
    <t>Sharpe (monthly)</t>
  </si>
  <si>
    <t>Sharpe (annualized)</t>
  </si>
  <si>
    <t>Max Drawdown</t>
  </si>
  <si>
    <t>A1 Histogram</t>
  </si>
  <si>
    <t>Bin Upper</t>
  </si>
  <si>
    <t>Frequency</t>
  </si>
  <si>
    <t>Normal PDF</t>
  </si>
  <si>
    <t>A2 Histogram</t>
  </si>
  <si>
    <t>A3 Histogram</t>
  </si>
  <si>
    <t>A4 Histogram</t>
  </si>
  <si>
    <t>A5 Histogram</t>
  </si>
  <si>
    <t>xAsset1</t>
  </si>
  <si>
    <t>HY-GAGG</t>
  </si>
  <si>
    <t>RollPred</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</si>
  <si>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</si>
  <si>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</si>
  <si>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</si>
  <si>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</si>
  <si>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</si>
  <si>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</si>
  <si>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</si>
  <si>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</si>
  <si>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</si>
  <si>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</si>
  <si>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</si>
  <si>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</si>
  <si>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</si>
  <si>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</si>
  <si>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</si>
  <si>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</si>
  <si>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</si>
  <si>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</si>
  <si>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</si>
  <si>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</si>
  <si>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</si>
  <si>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</si>
  <si>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</si>
  <si>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</si>
  <si>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Credit Spread</t>
  </si>
  <si>
    <t>Predicted</t>
  </si>
  <si>
    <t>Resid_ex0809</t>
  </si>
  <si>
    <t>xAsset_ex0809</t>
  </si>
  <si>
    <t>R^2 aux</t>
  </si>
  <si>
    <t>VIF</t>
  </si>
  <si>
    <t>corr(US AGG, US Tbill) = 0.6011</t>
  </si>
  <si>
    <t>drop tbill</t>
  </si>
  <si>
    <t>OOS R Square</t>
  </si>
  <si>
    <t>OOS RMSE</t>
  </si>
  <si>
    <t>ex0809 OOS R^2</t>
  </si>
  <si>
    <t>36 Month Rolling</t>
  </si>
  <si>
    <t>Beta US AGG</t>
  </si>
  <si>
    <t>Beta EM Bond</t>
  </si>
  <si>
    <t>Beta Credit Spread</t>
  </si>
  <si>
    <t>Beta Intercept</t>
  </si>
  <si>
    <t>xAsset2</t>
  </si>
  <si>
    <t>Growth - Value</t>
  </si>
  <si>
    <t>Small - S&amp;P500</t>
  </si>
  <si>
    <t>Growth-Value</t>
  </si>
  <si>
    <t>Small-S&amp;P500</t>
  </si>
  <si>
    <t>xAsset3</t>
  </si>
  <si>
    <t>Factors</t>
  </si>
  <si>
    <t>Commodoties</t>
  </si>
  <si>
    <t>xAsset4</t>
  </si>
  <si>
    <t>HF FOF Div - Relative Value HF</t>
  </si>
  <si>
    <t>Long Short HF - S&amp;P500</t>
  </si>
  <si>
    <t>High Yield - US AGG</t>
  </si>
  <si>
    <t>xAsset5</t>
  </si>
  <si>
    <t>RelativeValueHF</t>
  </si>
  <si>
    <t>Asset 3</t>
  </si>
  <si>
    <t>Salary</t>
  </si>
  <si>
    <t>Inputs:</t>
  </si>
  <si>
    <t>Initial Wealth</t>
  </si>
  <si>
    <t>99% historical VaR</t>
  </si>
  <si>
    <t>99% historical CVaR</t>
  </si>
  <si>
    <t>Returns</t>
  </si>
  <si>
    <t>Correlation Matrix</t>
  </si>
  <si>
    <t>Weighting</t>
  </si>
  <si>
    <t>VaR-Covar</t>
  </si>
  <si>
    <t>Total Variance</t>
  </si>
  <si>
    <t>Standard Deviation</t>
  </si>
  <si>
    <t>TRC</t>
  </si>
  <si>
    <t>wvar</t>
  </si>
  <si>
    <t>wcovar</t>
  </si>
  <si>
    <t>TRCi</t>
  </si>
  <si>
    <t>TRCi %</t>
  </si>
  <si>
    <t>Error</t>
  </si>
  <si>
    <t>Total Variance:</t>
  </si>
  <si>
    <t>Total Standard Deviation:</t>
  </si>
  <si>
    <t>Asset 1 Factors</t>
  </si>
  <si>
    <t>Asset 2 Factors</t>
  </si>
  <si>
    <t>Asset 3 Factors</t>
  </si>
  <si>
    <t>Asset 4 Factors</t>
  </si>
  <si>
    <t>Asset 5 Factors</t>
  </si>
  <si>
    <t>Yearly Return</t>
  </si>
  <si>
    <t>This mean return is geometric mean of the monthy return of equal weighted protfolio.</t>
  </si>
  <si>
    <t>Yearly Spending</t>
  </si>
  <si>
    <t>Equal-Weighting Assets Port. Return</t>
  </si>
  <si>
    <t>Weighted Yearly Mean Return</t>
  </si>
  <si>
    <t>Sharpe</t>
  </si>
  <si>
    <t>Asset Var-Covar</t>
  </si>
  <si>
    <t>Marginal Loadings</t>
  </si>
  <si>
    <t>Stock</t>
  </si>
  <si>
    <t>WEIGHT</t>
  </si>
  <si>
    <t>RISK CON</t>
  </si>
  <si>
    <t>TOTAL</t>
  </si>
  <si>
    <t>Risk Contribution</t>
  </si>
  <si>
    <t>Constraints</t>
  </si>
  <si>
    <t>RC MAX</t>
  </si>
  <si>
    <t>W MIN</t>
  </si>
  <si>
    <t>Factor Var-Covar</t>
  </si>
  <si>
    <t>Factor Contribution to Risk</t>
  </si>
  <si>
    <t>MIN</t>
  </si>
  <si>
    <t>MAX</t>
  </si>
  <si>
    <t>Pred Vol</t>
  </si>
  <si>
    <t>Actual Vol</t>
  </si>
  <si>
    <t>Actual Ret</t>
  </si>
  <si>
    <t>Unexpl</t>
  </si>
  <si>
    <t>Portfolio</t>
  </si>
  <si>
    <t>Column 1</t>
  </si>
  <si>
    <t>Column 2</t>
  </si>
  <si>
    <t>Column 3</t>
  </si>
  <si>
    <t>Column 4</t>
  </si>
  <si>
    <t>Column 5</t>
  </si>
  <si>
    <t>Column 6</t>
  </si>
  <si>
    <t>Column 7</t>
  </si>
  <si>
    <t>Column 8</t>
  </si>
  <si>
    <t>Column 9</t>
  </si>
  <si>
    <t>Column 10</t>
  </si>
  <si>
    <t>Column 11</t>
  </si>
  <si>
    <t>Column 12</t>
  </si>
  <si>
    <t>Column 13</t>
  </si>
  <si>
    <t>Column 14</t>
  </si>
  <si>
    <t>Column 15</t>
  </si>
  <si>
    <t>X Variable 1</t>
  </si>
  <si>
    <t>X Variable 2</t>
  </si>
  <si>
    <t>X Variable 3</t>
  </si>
  <si>
    <t>X Variable 4</t>
  </si>
  <si>
    <t>X Variable 5</t>
  </si>
  <si>
    <t>X Variable 6</t>
  </si>
  <si>
    <t>X Variable 7</t>
  </si>
  <si>
    <t>X Variable 8</t>
  </si>
  <si>
    <t>X Variable 9</t>
  </si>
  <si>
    <t>X Variable 10</t>
  </si>
  <si>
    <t>X Variable 11</t>
  </si>
  <si>
    <t>X Variable 12</t>
  </si>
  <si>
    <t>X Variable 13</t>
  </si>
  <si>
    <t>X Variable 14</t>
  </si>
  <si>
    <t>X Variable 15</t>
  </si>
  <si>
    <t>Data Box</t>
  </si>
  <si>
    <t>In-Sample Var-Covar</t>
  </si>
  <si>
    <t>RESULTS</t>
  </si>
  <si>
    <t>Vol RP</t>
  </si>
  <si>
    <t>Covar RP</t>
  </si>
  <si>
    <t>MDP</t>
  </si>
  <si>
    <t>60/40</t>
  </si>
  <si>
    <t>Vol RP TR</t>
  </si>
  <si>
    <t>Covar RP TR</t>
  </si>
  <si>
    <t>MDP TR</t>
  </si>
  <si>
    <t>60/40 TR</t>
  </si>
  <si>
    <t>STDEV</t>
  </si>
  <si>
    <t>COVAR VOL</t>
  </si>
  <si>
    <t>MDP VOL</t>
  </si>
  <si>
    <t>Risk Parity Set-up</t>
  </si>
  <si>
    <t>K</t>
  </si>
  <si>
    <t>Sum of Deviations</t>
  </si>
  <si>
    <t>Dev from 20%</t>
  </si>
  <si>
    <t>SUM COVAR</t>
  </si>
  <si>
    <t>DR</t>
  </si>
  <si>
    <t>SUM MDP</t>
  </si>
  <si>
    <t>Weights</t>
  </si>
  <si>
    <t>1/Sigma</t>
  </si>
  <si>
    <t>Covar</t>
  </si>
  <si>
    <t>Cumulative Return Vol RP</t>
  </si>
  <si>
    <t>Cumulative Return Covar RP</t>
  </si>
  <si>
    <t>Cumulative Return MDP</t>
  </si>
  <si>
    <t>Drawdown MDP</t>
  </si>
  <si>
    <t>Drawdown Covar RP</t>
  </si>
  <si>
    <t>Drawdown Vol RP</t>
  </si>
  <si>
    <t>Asset 1 has the highest Sharpe ratio in the universe (1.12 annualized), the lowest max drawdown (-3%), and loads primarily on investment grade fixed income factors. For a client 5 years from retirement who cannot afford a 15% drawdown, having at least 35% in the highest risk-adjusted, lowest drawdown asset is a fiduciary necessity. This also anchors the portfolio's total volatility — without this floor the optimizer would reduce A1 to free up risk budget for higher-returning assets, which is inappropriate given the client's time horizon and risk aversion. Given A1's extremely low volatility (2.65% annualized), even at 35% weight it naturally contributes only ~3% to portfolio risk as we saw in the solution. The 10% ceiling is therefore non-binding in practice but acts as a safety valve — if correlations spike during a crisis and A1 suddenly starts contributing more risk than expected, the constraint prevents the optimizer from over-relying on A1 as a risk absorber. Economically this reflects the reality that investment grade bonds can experience correlated drawdowns with equities during liquidity crises as seen in 2022.</t>
  </si>
  <si>
    <t>Despite its high volatility (18.6% annualized), Asset 2 is the primary equity growth engine in this portfolio, generating 8.4% annualized return. Without at least 15% in A2 the portfolio cannot realistically generate the ~6.2% blended return needed to reach $23mm in 5 years, particularly given that spending 2% of wealth annually creates a meaningful return hurdle just to stay flat in real terms. The floor at 15% rather than higher reflects the client's drawdown aversion — any more and A2's 49.8% risk contribution becomes unmanageable. This is the most important and most difficult RC constraint. Asset 2's volatility of 18.6% annualized means it will mathematically consume approximately 45-55% of portfolio risk at any weight between 15-25%. Setting the ceiling at 60% reflects an honest acknowledgment of this mathematical reality while still preventing A2 from completely dominating the risk budget. The economic justification is that A2 loads at 1.10x on US Growth — essentially leveraged equity exposure — and no single factor should consume more than 60% of the risk budget for a capital preservation-oriented client.</t>
  </si>
  <si>
    <t>Asset 3 loads heavily on Commodities (beta 0.69) and Event Driven HF (beta 1.34), providing genuine diversification from the fixed income and equity factors dominating A1 and A2. A 5% floor is justified because commodities historically provide inflation protection during periods of rising real rates — a genuine risk for a client who will spend approximately $360,000-$460,000 annually in retirement. Without any A3 allocation the portfolio has no real asset exposure beyond A5's TIPs loading, leaving it vulnerable to commodity-driven inflation surprises. Asset 3's max drawdown of -62% and 99% CVaR of -23% make it the most dangerous asset in the universe for this client. However its Commodities and Event Driven HF factor loadings provide genuine diversification. The 35% RC MAX allows meaningful diversification benefit while preventing A3 from becoming a tail risk time bomb. Economically this reflects the fact that Event Driven HF strategies can experience sudden sharp drawdowns during merger failures or market dislocations — precisely the wrong time for a near-retirement client.</t>
  </si>
  <si>
    <t>Asset 4 has the second highest Sharpe ratio (0.553 annualized), the second lowest max drawdown (-8%), passes the normality test (the only asset that does), and has positive skewness (0.24) — meaning its return distribution is tilted toward positive surprises rather than negative ones. More importantly it loads on completely different factors than A1 (Gold, HF FOF Div, Relative Value) providing genuine factor diversification that the optimizer initially missed by setting it to zero. The 10% floor forces inclusion of this tail risk hedge which is particularly valuable for a client with a hard drawdown limit. At 10% weight with 4.86% annualized volatility, A4 should naturally consume only 3-5% of portfolio risk as confirmed by our solution. The 12% ceiling provides generous headroom above the natural level while preventing any scenario where correlation changes push A4's risk contribution unexpectedly higher. Economically this constraint recognizes that Gold and HF FOF Div factors can become correlated with broader markets during extreme stress events, so we want a ceiling that catches any unexpected risk contribution increase before it becomes material.</t>
  </si>
  <si>
    <t>Asset 5 is essentially a TIPs proxy (beta 0.884 on TIPs factor) with 5.44% annualized return and only 7.13% annualized volatility. For a 57-year-old woman who will spend wealth for potentially 30+ years post retirement, inflation protection is not optional — it is a core requirement. The 15% floor ensures the portfolio maintains meaningful real return protection. Without this floor the optimizer would reduce A5 in favor of higher nominal return assets, leaving the client exposed to purchasing power erosion over her retirement horizon. Asset 5 at 25% weight with 7.13% annualized volatility naturally contributes around 15% of portfolio risk — well within the 35% ceiling. The ceiling is set generously because A5's TIPs-like nature means its risk contribution is actually desirable — it represents real return protection rather than speculative risk. However we cap at 35% because at very high weights A5's Relative Value HF factor loading (-1.882) creates negative carry risk if real rates spike sharply, which could hurt the portfolio precisely when inflation protection is most needed.</t>
  </si>
  <si>
    <t>The US Aggregate Bond index factor captures broad investment grade duration and credit risk. In the current portfolio this factor contributes approximately 0% to risk because A1's fixed income exposure is being captured through the Credit Spread and EM Bond factors instead. Allowing a small negative floor (-5%) recognizes that rising rate environments can create negative contribution from this factor, while the 10% ceiling prevents excessive duration concentration. For a client 5 years from retirement, large duration bets in either direction are inappropriate — hence the tight symmetric band around zero.</t>
  </si>
  <si>
    <t>Emerging market bond exposure provides yield pickup and geographic diversification but introduces currency risk, political risk, and liquidity risk that can be severe during global risk-off episodes. The current contribution of 5% is appropriate — meaningful but not dominant. The 0% floor prevents the optimizer from using EM Bond as a hedge vehicle (negative contribution would imply a short EM bond position which is inappropriate for this client), while the 15% ceiling ensures EM credit risk never becomes a primary portfolio driver for someone with a hard drawdown constraint.</t>
  </si>
  <si>
    <r>
      <t xml:space="preserve">This is the single most important factor constraint in the entire model and the one that caused all our feasibility failures when we got it wrong. The negative credit spread exposure means the portfolio benefits when credit spreads tighten and is hurt when they widen. However in this portfolio context the negative loading is acting as a </t>
    </r>
    <r>
      <rPr>
        <b/>
        <sz val="11"/>
        <color theme="1"/>
        <rFont val="Aptos Narrow"/>
        <family val="2"/>
        <scheme val="minor"/>
      </rPr>
      <t>natural hedge against the positive High Yield and EM Bond exposures</t>
    </r>
    <r>
      <rPr>
        <sz val="11"/>
        <color theme="1"/>
        <rFont val="Aptos Narrow"/>
        <family val="2"/>
        <scheme val="minor"/>
      </rPr>
      <t xml:space="preserve"> — it is not a speculative short credit position. The current contribution of -22% must be preserved. Setting MAX at -10% ensures this hedge is never fully eliminated, while MIN at -35% prevents it from becoming so large that a credit tightening cycle creates unexpected positive risk contribution. For this client specifically, credit spread widening typically coincides with equity drawdowns — precisely when A2 is also losing money — so maintaining this hedge is critical for the 15% drawdown constraint.</t>
    </r>
  </si>
  <si>
    <t>US Growth is the single largest factor risk contributor at 38%, driven primarily by A2's 1.10x loading. This factor represents broad large cap equity market risk — the primary engine of return but also the primary source of drawdown risk. The 25% floor ensures the portfolio always maintains meaningful equity market participation necessary to reach $23mm, while the 50% ceiling prevents equity concentration from becoming so dominant that a 2008-style drawdown of 38% in US Growth stocks could breach the client's 15% drawdown limit. At 50% factor risk contribution with A2 losing 30%+ in a crisis, the portfolio-level loss could approach 15% — so this ceiling is directly calibrated to the client's hard drawdown constraint.</t>
  </si>
  <si>
    <t>The Growth minus Value factor captures style rotation risk — the tendency for growth stocks to outperform value in low rate environments and underperform when rates rise. The current 2% contribution is appropriately small. The tight band of -5% to 10% reflects the fact that style rotation, while real, is a secondary risk factor for this portfolio — we care about it only insofar as it affects A2's return distribution. A near-retirement client should not have meaningful style bets in either direction as these tend to be prolonged multi-year cycles that can hurt performance precisely when the client needs stability.</t>
  </si>
  <si>
    <t>Small cap premium exposure is minimal in this portfolio at 1% risk contribution, reflecting A2's predominantly large cap growth character. The tight band is appropriate because small cap stocks have higher volatility, lower liquidity, and larger drawdowns than large caps — all undesirable properties for this client. The slight negative floor allows for small cap underperformance periods to create a minor hedge, while the 8% ceiling prevents any drift toward small cap concentration that would increase tail risk.</t>
  </si>
  <si>
    <t>Commodities currently contribute 12% of portfolio risk through A3's 0.687 loading. This is economically justified for three reasons specific to this client. First, commodities provide inflation protection complementary to A5's TIPs exposure but through a different mechanism — supply-driven inflation rather than demand-driven. Second, commodities have low long-run correlation with financial assets, providing genuine diversification. Third, the client will spend wealth for 30+ years post retirement, making purchasing power protection a primary concern. The 5% floor ensures commodities always provide some inflation hedge, while the 20% ceiling prevents commodity volatility — which can be extreme — from contributing disproportionate drawdown risk.</t>
  </si>
  <si>
    <t>Event Driven HF is the second largest factor risk contributor at 29%, driven entirely by A3's 1.339 loading. This factor captures merger arbitrage, special situations, and corporate event risk. The economic justification for maintaining this exposure is that event driven strategies have low market beta — they generate returns from idiosyncratic corporate events rather than market direction, providing genuine diversification from A2's equity beta. However the 40% ceiling is critical — event driven strategies can experience sudden sharp drawdowns when deal flow freezes during market crises (as in 2008 and briefly in 2020), and we cannot allow this factor to dominate the risk budget for a client with a hard drawdown limit. The 20% floor prevents the optimizer from eliminating this diversification source entirely.</t>
  </si>
  <si>
    <t>Gold contributes approximately 3% of portfolio risk through A4's loading. Gold serves a specific role for this client — it is a safe haven asset that tends to appreciate during equity market crises, dollar weakness, and geopolitical stress. All three scenarios are plausible during the client's 5-year pre-retirement horizon. The 0% floor (rather than a positive floor) reflects that gold's contribution can legitimately approach zero when other hedges are working effectively, while the 10% ceiling prevents gold from becoming a speculative position — gold generates no income and its long-run real return is approximately zero, so large gold positions are inappropriate for a return-seeking pre-retirement portfolio.</t>
  </si>
  <si>
    <t>Diversified Fund of Hedge Funds exposure is essentially zero in the current portfolio, reflecting A4's near-zero HF FOF Div loading after controlling for other factors. The symmetric band around zero reflects the reality that this factor, after accounting for fees and illiquidity premium, adds minimal net economic value in a well-diversified portfolio. For a client with a 5-year horizon approaching liquidity needs at retirement, maintaining near-zero exposure to a factor associated with illiquid, fee-heavy vehicles is appropriate.</t>
  </si>
  <si>
    <t>This factor captures the spread between diversified HF returns and relative value HF returns. The current near-zero contribution reflects that A4's exposures to these two HF styles largely offset each other. The slight negative floor allowance recognizes that relative value strategies occasionally outperform diversified HF strategies, creating a small natural hedge, while the 5% ceiling prevents any unintended directional bet on HF style performance. This is a second-order factor for this client and the tight band reflects its secondary importance.</t>
  </si>
  <si>
    <t>The Long Short HF minus S&amp;P500 factor captures the alpha generated by long-short equity hedge funds above and below the market return. The current 6% contribution is modest and appropriate. The 0% floor prevents the optimizer from using this as a hedge vehicle — a short HF minus S&amp;P position would effectively mean betting on hedge fund underperformance, which is speculative and inappropriate. The 15% ceiling prevents excessive reliance on hedge fund alpha as a return source for a client who needs predictable wealth accumulation, recognizing that hedge fund alpha has been eroding industry-wide over the past decade.</t>
  </si>
  <si>
    <t>TIPs factor exposure is currently 12% and this is the most economically critical floor constraint for this specific client. A 57-year-old woman with a 30+ year expected retirement horizon faces substantial inflation risk — even 3% annual inflation erodes purchasing power by 60% over 30 years. The 5% floor is the absolute minimum acceptable TIPs exposure for any near-retirement portfolio. The current 12% contribution through A5's 0.884 TIPs beta is appropriate and should be maintained. The 20% ceiling prevents over-concentration in real rate risk — TIPs can lose value in real terms during deflationary periods or when real rates rise sharply, so unconstrained TIPs maximization is not appropriate even for inflation-sensitive clients.</t>
  </si>
  <si>
    <t>Along with Credit Spread, this is the most important negative exposure to preserve. The current -15% risk contribution reflects A5's -1.882 loading on the Relative Value HF factor, which is acting as a significant portfolio hedge. Economically this means the portfolio is positioned to benefit when relative value strategies underperform — which typically happens when fixed income markets are dislocated and credit spreads are widening. This is exactly when the rest of the portfolio (particularly A2) is also under stress, making this a genuine crisis hedge. The MAX of -5% ensures this hedge is never fully eliminated, while the MIN of -25% prevents the hedge from becoming so large that a relative value rally (when credit markets normalize) creates unexpected losses through this factor channel.</t>
  </si>
  <si>
    <t>High Yield currently contributes 28% of portfolio risk, driven by A5's credit exposure and A2's sensitivity to credit conditions. High yield bonds occupy a middle ground between equity and investment grade fixed income — they provide meaningful income and return but with equity-like drawdown risk during credit events. The 15% floor reflects the economic reality that some high yield exposure is necessary to generate the ~6.2% blended return needed for the $23mm target — without credit risk premium the portfolio cannot hit the return hurdle. The 40% ceiling is calibrated to the client's drawdown constraint: high yield spreads widened by 1500-2000 basis points in 2008, and excessive high yield factor exposure would likely breach the 15% drawdown limit in a similar scenario.</t>
  </si>
  <si>
    <t>Constraint Explanations</t>
  </si>
  <si>
    <t>Break</t>
  </si>
  <si>
    <t>MVO  Assets Port. Return</t>
  </si>
  <si>
    <t>RP Assets Port. Return</t>
  </si>
  <si>
    <t>Cumulative Return MVO</t>
  </si>
  <si>
    <t>Drawdown MVO</t>
  </si>
  <si>
    <t>MVO</t>
  </si>
  <si>
    <t>Historical Simulation (2004–2013, Monthly Rebalancing)</t>
  </si>
  <si>
    <t>Month</t>
  </si>
  <si>
    <t>Monthly Return</t>
  </si>
  <si>
    <t>Wealth (End of Month)</t>
  </si>
  <si>
    <t>Start</t>
  </si>
  <si>
    <t>Annual Salary</t>
  </si>
  <si>
    <t>Paid for first 5 years (months 1-60), then $0</t>
  </si>
  <si>
    <t>Retirement Month</t>
  </si>
  <si>
    <t>Month salary stops (after month C7, salary = 0)</t>
  </si>
  <si>
    <t>Simulation Summary</t>
  </si>
  <si>
    <t>Starting Wealth</t>
  </si>
  <si>
    <t>Ending Wealth (Dec-13)</t>
  </si>
  <si>
    <t>Total Return (cumulative)</t>
  </si>
  <si>
    <t>Annualized Return (CAGR)</t>
  </si>
  <si>
    <t>Geometric Mean Monthly Return</t>
  </si>
  <si>
    <t>Annualized Geo Mean (from monthly)</t>
  </si>
  <si>
    <t>Monthly Return Std Dev</t>
  </si>
  <si>
    <t>Annualized Volatility</t>
  </si>
  <si>
    <t>Min Monthly Return</t>
  </si>
  <si>
    <t>Max Monthly Return</t>
  </si>
  <si>
    <t>Running Peak</t>
  </si>
  <si>
    <t>Drawdown</t>
  </si>
  <si>
    <t>Downside Deviation (monthly, annualised)</t>
  </si>
  <si>
    <t>Sortino Ratio</t>
  </si>
  <si>
    <t>Omega Ratio (threshold = 6.02% p.a.)</t>
  </si>
  <si>
    <t>Ulcer Index</t>
  </si>
  <si>
    <t>Ulcer Performance Index (Rf = cash)</t>
  </si>
  <si>
    <t>Omega</t>
  </si>
  <si>
    <t>UPI</t>
  </si>
  <si>
    <t>Sharpe Ratio (monthly)</t>
  </si>
  <si>
    <t>Sharpe Ratio (annualized)</t>
  </si>
  <si>
    <t>DD</t>
  </si>
  <si>
    <t>Tracking Error vs EW (annualized)</t>
  </si>
  <si>
    <t>Monthly Interest Expense</t>
  </si>
  <si>
    <t>interest rate</t>
  </si>
  <si>
    <t>leverage</t>
  </si>
  <si>
    <t>Levered</t>
  </si>
  <si>
    <t>Unlevered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</si>
</sst>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0.00_);_(&quot;$&quot;* \(#,##0.00\);_(&quot;$&quot;* &quot;-&quot;??_);_(@_)"/>
    <numFmt numFmtId="164" formatCode="[$-409]mmm\-yy;@"/>
    <numFmt numFmtId="165" formatCode="0.0000%"/>
    <numFmt numFmtId="166" formatCode="0.000%"/>
    <numFmt numFmtId="167" formatCode="0.000000"/>
    <numFmt numFmtId="168" formatCode="0.00000%"/>
    <numFmt numFmtId="169" formatCode="0.000"/>
    <numFmt numFmtId="170" formatCode="0.0%"/>
    <numFmt numFmtId="171" formatCode="0.00000"/>
    <numFmt numFmtId="172" formatCode="0.0000000"/>
    <numFmt numFmtId="173" formatCode="_(&quot;$&quot;* #,##0_);_(&quot;$&quot;* \(#,##0\);_(&quot;$&quot;* &quot;-&quot;??_);_(@_)"/>
    <numFmt numFmtId="174" formatCode="0.00000000000000000%"/>
  </numFmts>
  <fonts count="23" x14ac:knownFonts="1">
    <font>
      <sz val="11"/>
      <color theme="1"/>
      <name val="Aptos Narrow"/>
      <family val="2"/>
      <scheme val="minor"/>
    </font>
    <font>
      <sz val="11"/>
      <color rgb="FFFF0000"/>
      <name val="Aptos Narrow"/>
      <family val="2"/>
      <scheme val="minor"/>
    </font>
    <font>
      <sz val="10"/>
      <color theme="0"/>
      <name val="Arial"/>
      <family val="2"/>
    </font>
    <font>
      <i/>
      <sz val="11"/>
      <color theme="1"/>
      <name val="Aptos Narrow"/>
      <family val="2"/>
      <scheme val="minor"/>
    </font>
    <font>
      <sz val="11"/>
      <color rgb="FF00B050"/>
      <name val="Aptos Narrow"/>
      <family val="2"/>
      <scheme val="minor"/>
    </font>
    <font>
      <sz val="11"/>
      <color rgb="FFFFC000"/>
      <name val="Aptos Narrow"/>
      <family val="2"/>
      <scheme val="minor"/>
    </font>
    <font>
      <sz val="11"/>
      <color theme="1"/>
      <name val="Aptos Narrow"/>
      <family val="2"/>
      <scheme val="minor"/>
    </font>
    <font>
      <b/>
      <sz val="11"/>
      <color theme="1"/>
      <name val="Aptos Narrow"/>
      <scheme val="minor"/>
    </font>
    <font>
      <sz val="8"/>
      <name val="Aptos Narrow"/>
      <family val="2"/>
      <scheme val="minor"/>
    </font>
    <font>
      <sz val="11"/>
      <color theme="3" tint="0.499984740745262"/>
      <name val="Aptos Narrow"/>
      <family val="2"/>
      <scheme val="minor"/>
    </font>
    <font>
      <b/>
      <sz val="11"/>
      <color theme="1"/>
      <name val="Aptos Narrow"/>
      <family val="2"/>
      <scheme val="minor"/>
    </font>
    <font>
      <i/>
      <sz val="10"/>
      <color theme="1"/>
      <name val="Arial"/>
      <family val="2"/>
    </font>
    <font>
      <sz val="10"/>
      <color theme="0"/>
      <name val="Arial"/>
      <family val="2"/>
      <charset val="1"/>
    </font>
    <font>
      <i/>
      <sz val="11"/>
      <color theme="1"/>
      <name val="Aptos Narrow"/>
      <family val="2"/>
      <charset val="1"/>
    </font>
    <font>
      <b/>
      <u/>
      <sz val="14"/>
      <color theme="1"/>
      <name val="Arial"/>
      <family val="2"/>
    </font>
    <font>
      <b/>
      <sz val="10"/>
      <color theme="1"/>
      <name val="Arial"/>
      <family val="2"/>
    </font>
    <font>
      <sz val="10"/>
      <color theme="1"/>
      <name val="Arial"/>
      <family val="2"/>
    </font>
    <font>
      <b/>
      <sz val="10"/>
      <color theme="0"/>
      <name val="Arial"/>
      <family val="2"/>
    </font>
    <font>
      <sz val="11"/>
      <color theme="1"/>
      <name val="Aptos Narrow"/>
      <scheme val="minor"/>
    </font>
    <font>
      <sz val="11"/>
      <color rgb="FF4D93D9"/>
      <name val="Aptos Narrow"/>
      <scheme val="minor"/>
    </font>
    <font>
      <b/>
      <sz val="11"/>
      <color rgb="FFA0A0A0"/>
      <name val="Aptos Narrow"/>
      <scheme val="minor"/>
    </font>
    <font>
      <sz val="11"/>
      <color rgb="FFA0A0A0"/>
      <name val="Aptos Narrow"/>
      <family val="2"/>
      <scheme val="minor"/>
    </font>
    <font>
      <sz val="11"/>
      <color theme="0" tint="-0.34998626667073579"/>
      <name val="Aptos Narrow"/>
      <family val="2"/>
      <scheme val="minor"/>
    </font>
  </fonts>
  <fills count="21">
    <fill>
      <patternFill patternType="none"/>
    </fill>
    <fill>
      <patternFill patternType="gray125"/>
    </fill>
    <fill>
      <patternFill patternType="solid">
        <fgColor theme="7" tint="-0.249977111117893"/>
        <bgColor indexed="64"/>
      </patternFill>
    </fill>
    <fill>
      <patternFill patternType="solid">
        <fgColor theme="5" tint="0.79998168889431442"/>
        <bgColor indexed="64"/>
      </patternFill>
    </fill>
    <fill>
      <patternFill patternType="solid">
        <fgColor rgb="FFFFFF00"/>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theme="8" tint="0.79998168889431442"/>
        <bgColor indexed="64"/>
      </patternFill>
    </fill>
    <fill>
      <patternFill patternType="solid">
        <fgColor rgb="FFFCAEA8"/>
        <bgColor indexed="64"/>
      </patternFill>
    </fill>
    <fill>
      <patternFill patternType="solid">
        <fgColor theme="6" tint="0.79998168889431442"/>
        <bgColor indexed="64"/>
      </patternFill>
    </fill>
    <fill>
      <patternFill patternType="solid">
        <fgColor theme="8" tint="0.79989013336588644"/>
        <bgColor rgb="FFD9D9D9"/>
      </patternFill>
    </fill>
    <fill>
      <patternFill patternType="solid">
        <fgColor theme="9" tint="-0.499984740745262"/>
        <bgColor rgb="FF196B24"/>
      </patternFill>
    </fill>
    <fill>
      <patternFill patternType="solid">
        <fgColor theme="9" tint="0.59987182226020086"/>
        <bgColor rgb="FFC2F1C8"/>
      </patternFill>
    </fill>
    <fill>
      <patternFill patternType="solid">
        <fgColor theme="9" tint="-0.249977111117893"/>
        <bgColor indexed="64"/>
      </patternFill>
    </fill>
    <fill>
      <patternFill patternType="solid">
        <fgColor theme="3" tint="-0.499984740745262"/>
        <bgColor indexed="64"/>
      </patternFill>
    </fill>
    <fill>
      <patternFill patternType="solid">
        <fgColor theme="3" tint="0.79998168889431442"/>
        <bgColor indexed="64"/>
      </patternFill>
    </fill>
    <fill>
      <patternFill patternType="solid">
        <fgColor theme="7"/>
        <bgColor indexed="64"/>
      </patternFill>
    </fill>
    <fill>
      <patternFill patternType="solid">
        <fgColor theme="9" tint="0.59999389629810485"/>
        <bgColor indexed="64"/>
      </patternFill>
    </fill>
    <fill>
      <patternFill patternType="solid">
        <fgColor theme="3" tint="-0.249977111117893"/>
        <bgColor indexed="64"/>
      </patternFill>
    </fill>
    <fill>
      <patternFill patternType="solid">
        <fgColor theme="9"/>
        <bgColor indexed="64"/>
      </patternFill>
    </fill>
    <fill>
      <patternFill patternType="solid">
        <fgColor theme="5"/>
        <bgColor indexed="64"/>
      </patternFill>
    </fill>
  </fills>
  <borders count="15">
    <border>
      <left/>
      <right/>
      <top/>
      <bottom/>
      <diagonal/>
    </border>
    <border>
      <left/>
      <right/>
      <top/>
      <bottom style="thin">
        <color indexed="64"/>
      </bottom>
      <diagonal/>
    </border>
    <border>
      <left/>
      <right/>
      <top/>
      <bottom style="medium">
        <color indexed="64"/>
      </bottom>
      <diagonal/>
    </border>
    <border>
      <left/>
      <right/>
      <top style="medium">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4" fontId="6" fillId="0" borderId="0" applyFont="0" applyFill="0" applyBorder="0" applyAlignment="0" applyProtection="0"/>
    <xf numFmtId="9" fontId="6" fillId="0" borderId="0" applyFont="0" applyFill="0" applyBorder="0" applyAlignment="0" applyProtection="0"/>
  </cellStyleXfs>
  <cellXfs count="159">
    <xf numFmtId="0" fontId="0" fillId="0" borderId="0" xfId="0"/>
    <xf numFmtId="164" fontId="2" fillId="2" borderId="0" xfId="0" applyNumberFormat="1" applyFont="1" applyFill="1" applyAlignment="1">
      <alignment horizontal="center"/>
    </xf>
    <xf numFmtId="0" fontId="0" fillId="0" borderId="0" xfId="0" applyAlignment="1">
      <alignment horizontal="center"/>
    </xf>
    <xf numFmtId="164" fontId="0" fillId="0" borderId="0" xfId="0" applyNumberFormat="1"/>
    <xf numFmtId="0" fontId="0" fillId="0" borderId="2" xfId="0" applyBorder="1"/>
    <xf numFmtId="0" fontId="3" fillId="0" borderId="3" xfId="0" applyFont="1" applyBorder="1" applyAlignment="1">
      <alignment horizontal="center"/>
    </xf>
    <xf numFmtId="0" fontId="3" fillId="0" borderId="3" xfId="0" applyFont="1" applyBorder="1" applyAlignment="1">
      <alignment horizontal="centerContinuous"/>
    </xf>
    <xf numFmtId="0" fontId="0" fillId="3" borderId="0" xfId="0" applyFill="1"/>
    <xf numFmtId="0" fontId="0" fillId="0" borderId="0" xfId="0" applyAlignment="1">
      <alignment horizontal="right"/>
    </xf>
    <xf numFmtId="0" fontId="1" fillId="0" borderId="0" xfId="0" applyFont="1"/>
    <xf numFmtId="0" fontId="4" fillId="0" borderId="0" xfId="0" applyFont="1"/>
    <xf numFmtId="0" fontId="5" fillId="0" borderId="0" xfId="0" applyFont="1"/>
    <xf numFmtId="0" fontId="4" fillId="0" borderId="2" xfId="0" applyFont="1" applyBorder="1"/>
    <xf numFmtId="0" fontId="0" fillId="7" borderId="0" xfId="0" applyFill="1"/>
    <xf numFmtId="0" fontId="0" fillId="6" borderId="0" xfId="0" applyFill="1"/>
    <xf numFmtId="0" fontId="0" fillId="7" borderId="0" xfId="0" applyFill="1" applyAlignment="1">
      <alignment horizontal="center"/>
    </xf>
    <xf numFmtId="0" fontId="0" fillId="4" borderId="0" xfId="0" applyFill="1" applyAlignment="1">
      <alignment horizontal="center"/>
    </xf>
    <xf numFmtId="0" fontId="1" fillId="0" borderId="2" xfId="0" applyFont="1" applyBorder="1"/>
    <xf numFmtId="0" fontId="0" fillId="0" borderId="5" xfId="0" applyBorder="1"/>
    <xf numFmtId="0" fontId="0" fillId="9" borderId="0" xfId="0" applyFill="1"/>
    <xf numFmtId="9" fontId="0" fillId="0" borderId="1" xfId="0" applyNumberFormat="1" applyBorder="1"/>
    <xf numFmtId="9" fontId="0" fillId="0" borderId="4" xfId="0" applyNumberFormat="1" applyBorder="1"/>
    <xf numFmtId="9" fontId="0" fillId="0" borderId="5" xfId="0" applyNumberFormat="1" applyBorder="1"/>
    <xf numFmtId="0" fontId="0" fillId="6" borderId="0" xfId="0" applyFill="1" applyAlignment="1">
      <alignment horizontal="left"/>
    </xf>
    <xf numFmtId="0" fontId="7" fillId="0" borderId="0" xfId="0" applyFont="1"/>
    <xf numFmtId="0" fontId="7" fillId="0" borderId="0" xfId="0" applyFont="1" applyAlignment="1">
      <alignment horizontal="center"/>
    </xf>
    <xf numFmtId="44" fontId="0" fillId="0" borderId="0" xfId="0" applyNumberFormat="1"/>
    <xf numFmtId="44" fontId="9" fillId="0" borderId="0" xfId="1" applyFont="1"/>
    <xf numFmtId="0" fontId="0" fillId="0" borderId="6" xfId="0" applyBorder="1"/>
    <xf numFmtId="0" fontId="0" fillId="5" borderId="7" xfId="0" applyFill="1" applyBorder="1"/>
    <xf numFmtId="0" fontId="0" fillId="5" borderId="8" xfId="0" applyFill="1" applyBorder="1"/>
    <xf numFmtId="0" fontId="0" fillId="5" borderId="9" xfId="0" applyFill="1" applyBorder="1"/>
    <xf numFmtId="9" fontId="0" fillId="0" borderId="0" xfId="0" applyNumberFormat="1"/>
    <xf numFmtId="0" fontId="0" fillId="9" borderId="10" xfId="0" applyFill="1" applyBorder="1"/>
    <xf numFmtId="9" fontId="0" fillId="3" borderId="0" xfId="0" applyNumberFormat="1" applyFill="1"/>
    <xf numFmtId="9" fontId="0" fillId="3" borderId="5" xfId="0" applyNumberFormat="1" applyFill="1" applyBorder="1"/>
    <xf numFmtId="9" fontId="0" fillId="3" borderId="0" xfId="2" applyFont="1" applyFill="1" applyBorder="1"/>
    <xf numFmtId="9" fontId="0" fillId="3" borderId="5" xfId="2" applyFont="1" applyFill="1" applyBorder="1"/>
    <xf numFmtId="165" fontId="0" fillId="0" borderId="0" xfId="2" applyNumberFormat="1" applyFont="1"/>
    <xf numFmtId="10" fontId="0" fillId="0" borderId="0" xfId="0" applyNumberFormat="1"/>
    <xf numFmtId="10" fontId="0" fillId="0" borderId="5" xfId="0" applyNumberFormat="1" applyBorder="1"/>
    <xf numFmtId="0" fontId="10" fillId="0" borderId="0" xfId="0" applyFont="1"/>
    <xf numFmtId="9" fontId="9" fillId="0" borderId="0" xfId="0" applyNumberFormat="1" applyFont="1"/>
    <xf numFmtId="9" fontId="0" fillId="0" borderId="0" xfId="2" applyFont="1"/>
    <xf numFmtId="166" fontId="0" fillId="0" borderId="0" xfId="2" applyNumberFormat="1" applyFont="1"/>
    <xf numFmtId="0" fontId="11" fillId="0" borderId="11" xfId="0" applyFont="1" applyBorder="1" applyAlignment="1">
      <alignment horizontal="center"/>
    </xf>
    <xf numFmtId="0" fontId="0" fillId="0" borderId="11" xfId="0" applyBorder="1"/>
    <xf numFmtId="167" fontId="0" fillId="0" borderId="0" xfId="0" applyNumberFormat="1"/>
    <xf numFmtId="0" fontId="0" fillId="0" borderId="11" xfId="0" applyBorder="1" applyAlignment="1">
      <alignment horizontal="center"/>
    </xf>
    <xf numFmtId="167" fontId="0" fillId="0" borderId="11" xfId="0" applyNumberFormat="1" applyBorder="1"/>
    <xf numFmtId="0" fontId="10" fillId="7" borderId="11" xfId="0" applyFont="1" applyFill="1" applyBorder="1"/>
    <xf numFmtId="0" fontId="0" fillId="7" borderId="11" xfId="0" applyFill="1" applyBorder="1"/>
    <xf numFmtId="165" fontId="0" fillId="0" borderId="11" xfId="2" applyNumberFormat="1" applyFont="1" applyBorder="1"/>
    <xf numFmtId="10" fontId="0" fillId="0" borderId="11" xfId="2" applyNumberFormat="1" applyFont="1" applyBorder="1"/>
    <xf numFmtId="168" fontId="0" fillId="0" borderId="0" xfId="2" applyNumberFormat="1" applyFont="1"/>
    <xf numFmtId="166" fontId="0" fillId="0" borderId="0" xfId="0" applyNumberFormat="1"/>
    <xf numFmtId="165" fontId="0" fillId="0" borderId="0" xfId="0" applyNumberFormat="1"/>
    <xf numFmtId="0" fontId="0" fillId="10" borderId="0" xfId="0" applyFill="1"/>
    <xf numFmtId="0" fontId="12" fillId="11" borderId="0" xfId="0" applyFont="1" applyFill="1" applyAlignment="1">
      <alignment horizontal="center"/>
    </xf>
    <xf numFmtId="0" fontId="0" fillId="10" borderId="0" xfId="0" applyFill="1" applyAlignment="1">
      <alignment horizontal="center"/>
    </xf>
    <xf numFmtId="165" fontId="6" fillId="0" borderId="0" xfId="2" applyNumberFormat="1"/>
    <xf numFmtId="0" fontId="13" fillId="0" borderId="3" xfId="0" applyFont="1" applyBorder="1" applyAlignment="1">
      <alignment horizontal="center"/>
    </xf>
    <xf numFmtId="165" fontId="6" fillId="12" borderId="0" xfId="2" applyNumberFormat="1" applyFill="1" applyAlignment="1">
      <alignment horizontal="center"/>
    </xf>
    <xf numFmtId="10" fontId="6" fillId="0" borderId="0" xfId="2" applyNumberFormat="1"/>
    <xf numFmtId="166" fontId="9" fillId="0" borderId="0" xfId="0" applyNumberFormat="1" applyFont="1"/>
    <xf numFmtId="0" fontId="0" fillId="0" borderId="0" xfId="0" applyAlignment="1">
      <alignment vertical="center"/>
    </xf>
    <xf numFmtId="0" fontId="14" fillId="0" borderId="0" xfId="0" applyFont="1" applyAlignment="1">
      <alignment vertical="center"/>
    </xf>
    <xf numFmtId="0" fontId="15" fillId="0" borderId="0" xfId="0" applyFont="1" applyAlignment="1">
      <alignment vertical="center"/>
    </xf>
    <xf numFmtId="9" fontId="0" fillId="0" borderId="0" xfId="0" applyNumberFormat="1" applyAlignment="1">
      <alignment horizontal="center" vertical="center"/>
    </xf>
    <xf numFmtId="0" fontId="15" fillId="0" borderId="0" xfId="0" applyFont="1" applyAlignment="1">
      <alignment horizontal="center" vertical="center"/>
    </xf>
    <xf numFmtId="0" fontId="2" fillId="13" borderId="0" xfId="0" applyFont="1" applyFill="1" applyAlignment="1">
      <alignment horizontal="center"/>
    </xf>
    <xf numFmtId="0" fontId="2" fillId="2" borderId="0" xfId="0" applyFont="1" applyFill="1" applyAlignment="1">
      <alignment horizontal="center" vertical="center"/>
    </xf>
    <xf numFmtId="0" fontId="2" fillId="14" borderId="0" xfId="0" applyFont="1" applyFill="1" applyAlignment="1">
      <alignment horizontal="center" vertical="center"/>
    </xf>
    <xf numFmtId="0" fontId="2" fillId="14" borderId="0" xfId="0" applyFont="1" applyFill="1" applyAlignment="1">
      <alignment horizontal="center"/>
    </xf>
    <xf numFmtId="169" fontId="0" fillId="0" borderId="0" xfId="0" applyNumberFormat="1" applyAlignment="1">
      <alignment horizontal="center" vertical="center"/>
    </xf>
    <xf numFmtId="9" fontId="16" fillId="0" borderId="5" xfId="2" applyFont="1" applyBorder="1" applyAlignment="1">
      <alignment horizontal="center" vertical="center"/>
    </xf>
    <xf numFmtId="171" fontId="0" fillId="0" borderId="0" xfId="0" applyNumberFormat="1" applyAlignment="1">
      <alignment horizontal="center" vertical="center"/>
    </xf>
    <xf numFmtId="171" fontId="0" fillId="0" borderId="0" xfId="0" applyNumberFormat="1" applyAlignment="1">
      <alignment vertical="center"/>
    </xf>
    <xf numFmtId="169" fontId="15" fillId="15" borderId="0" xfId="0" applyNumberFormat="1" applyFont="1" applyFill="1" applyAlignment="1">
      <alignment horizontal="center" vertical="center"/>
    </xf>
    <xf numFmtId="9" fontId="15" fillId="15" borderId="0" xfId="0" applyNumberFormat="1" applyFont="1" applyFill="1" applyAlignment="1">
      <alignment horizontal="center" vertical="center"/>
    </xf>
    <xf numFmtId="9" fontId="17" fillId="16" borderId="0" xfId="0" applyNumberFormat="1" applyFont="1" applyFill="1" applyAlignment="1">
      <alignment horizontal="center" vertical="center"/>
    </xf>
    <xf numFmtId="171" fontId="0" fillId="17" borderId="0" xfId="0" applyNumberFormat="1" applyFill="1" applyAlignment="1">
      <alignment vertical="center"/>
    </xf>
    <xf numFmtId="170" fontId="16" fillId="17" borderId="0" xfId="2" applyNumberFormat="1" applyFont="1" applyFill="1" applyAlignment="1">
      <alignment horizontal="center" vertical="center"/>
    </xf>
    <xf numFmtId="9" fontId="16" fillId="0" borderId="0" xfId="2" applyFont="1" applyAlignment="1">
      <alignment horizontal="center" vertical="center"/>
    </xf>
    <xf numFmtId="0" fontId="0" fillId="0" borderId="0" xfId="0" applyAlignment="1">
      <alignment horizontal="center" vertical="center"/>
    </xf>
    <xf numFmtId="10" fontId="15" fillId="17" borderId="0" xfId="2" applyNumberFormat="1" applyFont="1" applyFill="1" applyAlignment="1">
      <alignment horizontal="center" vertical="center"/>
    </xf>
    <xf numFmtId="9" fontId="15" fillId="17" borderId="0" xfId="2" applyFont="1" applyFill="1" applyAlignment="1">
      <alignment horizontal="center" vertical="center"/>
    </xf>
    <xf numFmtId="170" fontId="0" fillId="0" borderId="0" xfId="0" applyNumberFormat="1" applyAlignment="1">
      <alignment vertical="center"/>
    </xf>
    <xf numFmtId="0" fontId="15" fillId="17" borderId="0" xfId="2" applyNumberFormat="1" applyFont="1" applyFill="1" applyAlignment="1">
      <alignment horizontal="center" vertical="center"/>
    </xf>
    <xf numFmtId="9" fontId="0" fillId="0" borderId="0" xfId="0" applyNumberFormat="1" applyAlignment="1">
      <alignment vertical="center"/>
    </xf>
    <xf numFmtId="169" fontId="0" fillId="0" borderId="0" xfId="0" applyNumberFormat="1"/>
    <xf numFmtId="0" fontId="0" fillId="0" borderId="0" xfId="0" applyAlignment="1">
      <alignment horizontal="center" vertical="center" wrapText="1"/>
    </xf>
    <xf numFmtId="0" fontId="2" fillId="18" borderId="0" xfId="0" applyFont="1" applyFill="1" applyAlignment="1">
      <alignment horizontal="center"/>
    </xf>
    <xf numFmtId="0" fontId="2" fillId="18" borderId="6" xfId="0" applyFont="1" applyFill="1" applyBorder="1" applyAlignment="1">
      <alignment horizontal="center"/>
    </xf>
    <xf numFmtId="0" fontId="2" fillId="18" borderId="7" xfId="0" applyFont="1" applyFill="1" applyBorder="1" applyAlignment="1">
      <alignment horizontal="center"/>
    </xf>
    <xf numFmtId="0" fontId="2" fillId="18" borderId="8" xfId="0" applyFont="1" applyFill="1" applyBorder="1" applyAlignment="1">
      <alignment horizontal="center"/>
    </xf>
    <xf numFmtId="0" fontId="2" fillId="19" borderId="0" xfId="0" applyFont="1" applyFill="1" applyAlignment="1">
      <alignment horizontal="center"/>
    </xf>
    <xf numFmtId="10" fontId="0" fillId="0" borderId="0" xfId="2" applyNumberFormat="1" applyFont="1" applyAlignment="1">
      <alignment horizontal="center"/>
    </xf>
    <xf numFmtId="10" fontId="0" fillId="0" borderId="9" xfId="2" applyNumberFormat="1" applyFont="1" applyBorder="1" applyAlignment="1">
      <alignment horizontal="center"/>
    </xf>
    <xf numFmtId="10" fontId="0" fillId="0" borderId="0" xfId="2" applyNumberFormat="1" applyFont="1" applyBorder="1" applyAlignment="1">
      <alignment horizontal="center"/>
    </xf>
    <xf numFmtId="10" fontId="0" fillId="0" borderId="5" xfId="2" applyNumberFormat="1" applyFont="1" applyBorder="1" applyAlignment="1">
      <alignment horizontal="center"/>
    </xf>
    <xf numFmtId="0" fontId="11" fillId="0" borderId="3" xfId="0" applyFont="1" applyBorder="1" applyAlignment="1">
      <alignment horizontal="center"/>
    </xf>
    <xf numFmtId="2" fontId="0" fillId="0" borderId="0" xfId="2" applyNumberFormat="1" applyFont="1" applyAlignment="1">
      <alignment horizontal="center"/>
    </xf>
    <xf numFmtId="10" fontId="0" fillId="0" borderId="0" xfId="0" applyNumberFormat="1" applyAlignment="1">
      <alignment horizontal="center"/>
    </xf>
    <xf numFmtId="171" fontId="0" fillId="0" borderId="0" xfId="0" applyNumberFormat="1" applyAlignment="1">
      <alignment horizontal="center"/>
    </xf>
    <xf numFmtId="171" fontId="0" fillId="0" borderId="2" xfId="0" applyNumberFormat="1" applyBorder="1" applyAlignment="1">
      <alignment horizontal="center"/>
    </xf>
    <xf numFmtId="10" fontId="0" fillId="0" borderId="11" xfId="2" applyNumberFormat="1" applyFont="1" applyBorder="1" applyAlignment="1">
      <alignment horizontal="center"/>
    </xf>
    <xf numFmtId="172" fontId="0" fillId="0" borderId="11" xfId="0" applyNumberFormat="1" applyBorder="1" applyAlignment="1">
      <alignment horizontal="center"/>
    </xf>
    <xf numFmtId="0" fontId="2" fillId="20" borderId="7" xfId="0" applyFont="1" applyFill="1" applyBorder="1" applyAlignment="1">
      <alignment horizontal="center"/>
    </xf>
    <xf numFmtId="9" fontId="0" fillId="0" borderId="11" xfId="0" applyNumberFormat="1" applyBorder="1" applyAlignment="1">
      <alignment horizontal="center"/>
    </xf>
    <xf numFmtId="171" fontId="0" fillId="0" borderId="6" xfId="0" applyNumberFormat="1" applyBorder="1" applyAlignment="1">
      <alignment horizontal="center" vertical="center"/>
    </xf>
    <xf numFmtId="171" fontId="0" fillId="0" borderId="7" xfId="0" applyNumberFormat="1" applyBorder="1" applyAlignment="1">
      <alignment horizontal="center" vertical="center"/>
    </xf>
    <xf numFmtId="171" fontId="0" fillId="0" borderId="8" xfId="0" applyNumberFormat="1" applyBorder="1" applyAlignment="1">
      <alignment horizontal="center" vertical="center"/>
    </xf>
    <xf numFmtId="10" fontId="0" fillId="0" borderId="0" xfId="2" applyNumberFormat="1" applyFont="1" applyAlignment="1">
      <alignment horizontal="center" vertical="center"/>
    </xf>
    <xf numFmtId="9" fontId="0" fillId="0" borderId="0" xfId="2" applyFont="1" applyFill="1" applyBorder="1" applyAlignment="1">
      <alignment horizontal="center" vertical="center"/>
    </xf>
    <xf numFmtId="171" fontId="0" fillId="0" borderId="9" xfId="0" applyNumberFormat="1" applyBorder="1" applyAlignment="1">
      <alignment horizontal="center" vertical="center"/>
    </xf>
    <xf numFmtId="171" fontId="0" fillId="0" borderId="5" xfId="0" applyNumberFormat="1" applyBorder="1" applyAlignment="1">
      <alignment horizontal="center" vertical="center"/>
    </xf>
    <xf numFmtId="171" fontId="0" fillId="0" borderId="10" xfId="0" applyNumberFormat="1" applyBorder="1" applyAlignment="1">
      <alignment horizontal="center" vertical="center"/>
    </xf>
    <xf numFmtId="171" fontId="0" fillId="0" borderId="1" xfId="0" applyNumberFormat="1" applyBorder="1" applyAlignment="1">
      <alignment horizontal="center" vertical="center"/>
    </xf>
    <xf numFmtId="171" fontId="0" fillId="0" borderId="4" xfId="0" applyNumberFormat="1" applyBorder="1" applyAlignment="1">
      <alignment horizontal="center" vertical="center"/>
    </xf>
    <xf numFmtId="10" fontId="0" fillId="0" borderId="10" xfId="2" applyNumberFormat="1" applyFont="1" applyBorder="1" applyAlignment="1">
      <alignment horizontal="center"/>
    </xf>
    <xf numFmtId="10" fontId="0" fillId="0" borderId="1" xfId="2" applyNumberFormat="1" applyFont="1" applyBorder="1" applyAlignment="1">
      <alignment horizontal="center"/>
    </xf>
    <xf numFmtId="10" fontId="0" fillId="0" borderId="4" xfId="2" applyNumberFormat="1" applyFont="1" applyBorder="1" applyAlignment="1">
      <alignment horizontal="center"/>
    </xf>
    <xf numFmtId="0" fontId="15" fillId="0" borderId="0" xfId="0" applyFont="1"/>
    <xf numFmtId="10" fontId="0" fillId="0" borderId="7" xfId="2" applyNumberFormat="1" applyFont="1" applyBorder="1" applyAlignment="1">
      <alignment horizontal="center"/>
    </xf>
    <xf numFmtId="0" fontId="15" fillId="0" borderId="0" xfId="0" applyFont="1" applyAlignment="1">
      <alignment horizontal="center"/>
    </xf>
    <xf numFmtId="10" fontId="0" fillId="0" borderId="13" xfId="2" applyNumberFormat="1" applyFont="1" applyBorder="1" applyAlignment="1">
      <alignment horizontal="center"/>
    </xf>
    <xf numFmtId="10" fontId="0" fillId="0" borderId="12" xfId="2" applyNumberFormat="1" applyFont="1" applyBorder="1" applyAlignment="1">
      <alignment horizontal="center"/>
    </xf>
    <xf numFmtId="10" fontId="0" fillId="0" borderId="14" xfId="2" applyNumberFormat="1" applyFont="1" applyBorder="1" applyAlignment="1">
      <alignment horizontal="center"/>
    </xf>
    <xf numFmtId="0" fontId="18" fillId="0" borderId="0" xfId="0" applyFont="1"/>
    <xf numFmtId="44" fontId="18" fillId="0" borderId="0" xfId="0" applyNumberFormat="1" applyFont="1"/>
    <xf numFmtId="165" fontId="18" fillId="0" borderId="0" xfId="0" applyNumberFormat="1" applyFont="1"/>
    <xf numFmtId="0" fontId="19" fillId="0" borderId="0" xfId="0" applyFont="1"/>
    <xf numFmtId="44" fontId="19" fillId="0" borderId="0" xfId="0" applyNumberFormat="1" applyFont="1"/>
    <xf numFmtId="10" fontId="18" fillId="0" borderId="0" xfId="0" applyNumberFormat="1" applyFont="1"/>
    <xf numFmtId="0" fontId="18" fillId="0" borderId="0" xfId="0" applyFont="1" applyAlignment="1">
      <alignment horizontal="right"/>
    </xf>
    <xf numFmtId="164" fontId="18" fillId="0" borderId="0" xfId="0" applyNumberFormat="1" applyFont="1" applyAlignment="1">
      <alignment horizontal="right"/>
    </xf>
    <xf numFmtId="0" fontId="20" fillId="0" borderId="0" xfId="0" applyFont="1" applyAlignment="1">
      <alignment horizontal="center"/>
    </xf>
    <xf numFmtId="10" fontId="21" fillId="0" borderId="0" xfId="0" applyNumberFormat="1" applyFont="1"/>
    <xf numFmtId="173" fontId="21" fillId="0" borderId="0" xfId="0" applyNumberFormat="1" applyFont="1"/>
    <xf numFmtId="10" fontId="22" fillId="0" borderId="0" xfId="0" applyNumberFormat="1" applyFont="1"/>
    <xf numFmtId="9" fontId="16" fillId="0" borderId="0" xfId="2" applyFont="1" applyBorder="1" applyAlignment="1">
      <alignment horizontal="center" vertical="center"/>
    </xf>
    <xf numFmtId="166" fontId="0" fillId="0" borderId="0" xfId="2" applyNumberFormat="1" applyFont="1" applyBorder="1"/>
    <xf numFmtId="165" fontId="0" fillId="0" borderId="0" xfId="2" applyNumberFormat="1" applyFont="1" applyBorder="1"/>
    <xf numFmtId="10" fontId="0" fillId="0" borderId="4" xfId="0" applyNumberFormat="1" applyBorder="1"/>
    <xf numFmtId="10" fontId="0" fillId="0" borderId="0" xfId="2" applyNumberFormat="1" applyFont="1"/>
    <xf numFmtId="10" fontId="16" fillId="0" borderId="5" xfId="2" applyNumberFormat="1" applyFont="1" applyBorder="1" applyAlignment="1">
      <alignment horizontal="center" vertical="center"/>
    </xf>
    <xf numFmtId="0" fontId="0" fillId="3" borderId="0" xfId="0" applyFill="1" applyAlignment="1">
      <alignment horizontal="center"/>
    </xf>
    <xf numFmtId="0" fontId="0" fillId="8" borderId="0" xfId="0" applyFill="1" applyAlignment="1">
      <alignment horizontal="center"/>
    </xf>
    <xf numFmtId="0" fontId="13" fillId="0" borderId="3" xfId="0" applyFont="1" applyBorder="1" applyAlignment="1">
      <alignment horizontal="center"/>
    </xf>
    <xf numFmtId="10" fontId="0" fillId="3" borderId="0" xfId="2" applyNumberFormat="1" applyFont="1" applyFill="1" applyBorder="1"/>
    <xf numFmtId="10" fontId="0" fillId="3" borderId="0" xfId="0" applyNumberFormat="1" applyFill="1"/>
    <xf numFmtId="10" fontId="0" fillId="3" borderId="5" xfId="2" applyNumberFormat="1" applyFont="1" applyFill="1" applyBorder="1"/>
    <xf numFmtId="10" fontId="0" fillId="3" borderId="5" xfId="0" applyNumberFormat="1" applyFill="1" applyBorder="1"/>
    <xf numFmtId="10" fontId="0" fillId="0" borderId="1" xfId="0" applyNumberFormat="1" applyBorder="1"/>
    <xf numFmtId="174" fontId="0" fillId="0" borderId="0" xfId="0" applyNumberFormat="1"/>
    <xf numFmtId="10" fontId="6" fillId="0" borderId="0" xfId="2" applyNumberFormat="1" applyFont="1"/>
    <xf numFmtId="0" fontId="0" fillId="0" borderId="0" xfId="0" applyNumberFormat="1"/>
    <xf numFmtId="2" fontId="0" fillId="0" borderId="0" xfId="0" applyNumberFormat="1"/>
  </cellXfs>
  <cellStyles count="3">
    <cellStyle name="Currency" xfId="1" builtinId="4"/>
    <cellStyle name="Normal" xfId="0" builtinId="0"/>
    <cellStyle name="Percent" xfId="2" builtinId="5"/>
  </cellStyles>
  <dxfs count="0"/>
  <tableStyles count="0" defaultTableStyle="TableStyleMedium2" defaultPivotStyle="PivotStyleLight16"/>
  <colors>
    <mruColors>
      <color rgb="FFFCAEA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A1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Histograms!$A$2</c:f>
              <c:strCache>
                <c:ptCount val="1"/>
                <c:pt idx="0">
                  <c:v>Bin Upper</c:v>
                </c:pt>
              </c:strCache>
            </c:strRef>
          </c:tx>
          <c:spPr>
            <a:solidFill>
              <a:schemeClr val="accent1"/>
            </a:solidFill>
            <a:ln>
              <a:noFill/>
            </a:ln>
            <a:effectLst/>
          </c:spPr>
          <c:invertIfNegative val="0"/>
          <c:val>
            <c:numRef>
              <c:f>Histograms!$A$3:$A$14</c:f>
              <c:numCache>
                <c:formatCode>General</c:formatCode>
                <c:ptCount val="12"/>
                <c:pt idx="0">
                  <c:v>-2.5000000000000001E-2</c:v>
                </c:pt>
                <c:pt idx="1">
                  <c:v>-0.02</c:v>
                </c:pt>
                <c:pt idx="2">
                  <c:v>-1.4999999999999999E-2</c:v>
                </c:pt>
                <c:pt idx="3">
                  <c:v>-9.9999999999999985E-3</c:v>
                </c:pt>
                <c:pt idx="4">
                  <c:v>-4.9999999999999984E-3</c:v>
                </c:pt>
                <c:pt idx="5">
                  <c:v>0</c:v>
                </c:pt>
                <c:pt idx="6">
                  <c:v>5.0000000000000001E-3</c:v>
                </c:pt>
                <c:pt idx="7">
                  <c:v>0.01</c:v>
                </c:pt>
                <c:pt idx="8">
                  <c:v>1.4999999999999999E-2</c:v>
                </c:pt>
                <c:pt idx="9">
                  <c:v>0.02</c:v>
                </c:pt>
                <c:pt idx="10">
                  <c:v>2.5000000000000001E-2</c:v>
                </c:pt>
                <c:pt idx="11">
                  <c:v>3.0000000000000002E-2</c:v>
                </c:pt>
              </c:numCache>
            </c:numRef>
          </c:val>
          <c:extLst>
            <c:ext xmlns:c16="http://schemas.microsoft.com/office/drawing/2014/chart" uri="{C3380CC4-5D6E-409C-BE32-E72D297353CC}">
              <c16:uniqueId val="{00000000-A40E-41DE-8962-B97EF18EF820}"/>
            </c:ext>
          </c:extLst>
        </c:ser>
        <c:ser>
          <c:idx val="1"/>
          <c:order val="1"/>
          <c:tx>
            <c:strRef>
              <c:f>Histograms!$B$2</c:f>
              <c:strCache>
                <c:ptCount val="1"/>
                <c:pt idx="0">
                  <c:v>Frequency</c:v>
                </c:pt>
              </c:strCache>
            </c:strRef>
          </c:tx>
          <c:spPr>
            <a:solidFill>
              <a:schemeClr val="accent2"/>
            </a:solidFill>
            <a:ln>
              <a:noFill/>
            </a:ln>
            <a:effectLst/>
          </c:spPr>
          <c:invertIfNegative val="0"/>
          <c:val>
            <c:numRef>
              <c:f>Histograms!$B$3:$B$14</c:f>
              <c:numCache>
                <c:formatCode>General</c:formatCode>
                <c:ptCount val="12"/>
                <c:pt idx="0">
                  <c:v>0</c:v>
                </c:pt>
                <c:pt idx="1">
                  <c:v>0</c:v>
                </c:pt>
                <c:pt idx="2">
                  <c:v>2</c:v>
                </c:pt>
                <c:pt idx="3">
                  <c:v>2</c:v>
                </c:pt>
                <c:pt idx="4">
                  <c:v>10</c:v>
                </c:pt>
                <c:pt idx="5">
                  <c:v>17</c:v>
                </c:pt>
                <c:pt idx="6">
                  <c:v>37</c:v>
                </c:pt>
                <c:pt idx="7">
                  <c:v>30</c:v>
                </c:pt>
                <c:pt idx="8">
                  <c:v>17</c:v>
                </c:pt>
                <c:pt idx="9">
                  <c:v>4</c:v>
                </c:pt>
                <c:pt idx="10">
                  <c:v>0</c:v>
                </c:pt>
                <c:pt idx="11">
                  <c:v>0</c:v>
                </c:pt>
              </c:numCache>
            </c:numRef>
          </c:val>
          <c:extLst>
            <c:ext xmlns:c16="http://schemas.microsoft.com/office/drawing/2014/chart" uri="{C3380CC4-5D6E-409C-BE32-E72D297353CC}">
              <c16:uniqueId val="{00000001-A40E-41DE-8962-B97EF18EF820}"/>
            </c:ext>
          </c:extLst>
        </c:ser>
        <c:dLbls>
          <c:showLegendKey val="0"/>
          <c:showVal val="0"/>
          <c:showCatName val="0"/>
          <c:showSerName val="0"/>
          <c:showPercent val="0"/>
          <c:showBubbleSize val="0"/>
        </c:dLbls>
        <c:gapWidth val="150"/>
        <c:axId val="528042800"/>
        <c:axId val="528032240"/>
      </c:barChart>
      <c:lineChart>
        <c:grouping val="standard"/>
        <c:varyColors val="0"/>
        <c:ser>
          <c:idx val="2"/>
          <c:order val="2"/>
          <c:tx>
            <c:strRef>
              <c:f>Histograms!$C$2</c:f>
              <c:strCache>
                <c:ptCount val="1"/>
                <c:pt idx="0">
                  <c:v>Normal PDF</c:v>
                </c:pt>
              </c:strCache>
            </c:strRef>
          </c:tx>
          <c:spPr>
            <a:ln w="28575" cap="rnd">
              <a:solidFill>
                <a:schemeClr val="accent3"/>
              </a:solidFill>
              <a:round/>
            </a:ln>
            <a:effectLst/>
          </c:spPr>
          <c:marker>
            <c:symbol val="none"/>
          </c:marker>
          <c:val>
            <c:numRef>
              <c:f>Histograms!$C$3:$C$14</c:f>
              <c:numCache>
                <c:formatCode>General</c:formatCode>
                <c:ptCount val="12"/>
                <c:pt idx="0">
                  <c:v>7.3744686062241615E-3</c:v>
                </c:pt>
                <c:pt idx="1">
                  <c:v>8.5955369903026754E-2</c:v>
                </c:pt>
                <c:pt idx="2">
                  <c:v>0.65404201131754702</c:v>
                </c:pt>
                <c:pt idx="3">
                  <c:v>3.2488422662224639</c:v>
                </c:pt>
                <c:pt idx="4">
                  <c:v>10.535179921379729</c:v>
                </c:pt>
                <c:pt idx="5">
                  <c:v>22.302093729057269</c:v>
                </c:pt>
                <c:pt idx="6">
                  <c:v>30.820498989576148</c:v>
                </c:pt>
                <c:pt idx="7">
                  <c:v>27.80507328777523</c:v>
                </c:pt>
                <c:pt idx="8">
                  <c:v>16.375658457684512</c:v>
                </c:pt>
                <c:pt idx="9">
                  <c:v>6.2959873794389605</c:v>
                </c:pt>
                <c:pt idx="10">
                  <c:v>1.5802262619239305</c:v>
                </c:pt>
                <c:pt idx="11">
                  <c:v>0.25891967351514078</c:v>
                </c:pt>
              </c:numCache>
            </c:numRef>
          </c:val>
          <c:smooth val="0"/>
          <c:extLst>
            <c:ext xmlns:c16="http://schemas.microsoft.com/office/drawing/2014/chart" uri="{C3380CC4-5D6E-409C-BE32-E72D297353CC}">
              <c16:uniqueId val="{00000002-A40E-41DE-8962-B97EF18EF820}"/>
            </c:ext>
          </c:extLst>
        </c:ser>
        <c:dLbls>
          <c:showLegendKey val="0"/>
          <c:showVal val="0"/>
          <c:showCatName val="0"/>
          <c:showSerName val="0"/>
          <c:showPercent val="0"/>
          <c:showBubbleSize val="0"/>
        </c:dLbls>
        <c:marker val="1"/>
        <c:smooth val="0"/>
        <c:axId val="528042800"/>
        <c:axId val="528032240"/>
      </c:lineChart>
      <c:catAx>
        <c:axId val="52804280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032240"/>
        <c:crosses val="autoZero"/>
        <c:auto val="1"/>
        <c:lblAlgn val="ctr"/>
        <c:lblOffset val="100"/>
        <c:noMultiLvlLbl val="0"/>
      </c:catAx>
      <c:valAx>
        <c:axId val="528032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0428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A2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Histograms!$A$17</c:f>
              <c:strCache>
                <c:ptCount val="1"/>
                <c:pt idx="0">
                  <c:v>Bin Upper</c:v>
                </c:pt>
              </c:strCache>
            </c:strRef>
          </c:tx>
          <c:spPr>
            <a:solidFill>
              <a:schemeClr val="accent1"/>
            </a:solidFill>
            <a:ln>
              <a:noFill/>
            </a:ln>
            <a:effectLst/>
          </c:spPr>
          <c:invertIfNegative val="0"/>
          <c:val>
            <c:numRef>
              <c:f>Histograms!$A$18:$A$27</c:f>
              <c:numCache>
                <c:formatCode>General</c:formatCode>
                <c:ptCount val="10"/>
                <c:pt idx="0">
                  <c:v>-0.22</c:v>
                </c:pt>
                <c:pt idx="1">
                  <c:v>-0.18</c:v>
                </c:pt>
                <c:pt idx="2">
                  <c:v>-0.13999999999999999</c:v>
                </c:pt>
                <c:pt idx="3">
                  <c:v>-9.9999999999999978E-2</c:v>
                </c:pt>
                <c:pt idx="4">
                  <c:v>-5.9999999999999977E-2</c:v>
                </c:pt>
                <c:pt idx="5">
                  <c:v>-1.9999999999999976E-2</c:v>
                </c:pt>
                <c:pt idx="6">
                  <c:v>2.0000000000000025E-2</c:v>
                </c:pt>
                <c:pt idx="7">
                  <c:v>6.0000000000000026E-2</c:v>
                </c:pt>
                <c:pt idx="8">
                  <c:v>0.10000000000000003</c:v>
                </c:pt>
                <c:pt idx="9">
                  <c:v>0.14000000000000004</c:v>
                </c:pt>
              </c:numCache>
            </c:numRef>
          </c:val>
          <c:extLst>
            <c:ext xmlns:c16="http://schemas.microsoft.com/office/drawing/2014/chart" uri="{C3380CC4-5D6E-409C-BE32-E72D297353CC}">
              <c16:uniqueId val="{00000000-9A59-4F7D-B19A-0793465F003F}"/>
            </c:ext>
          </c:extLst>
        </c:ser>
        <c:ser>
          <c:idx val="1"/>
          <c:order val="1"/>
          <c:tx>
            <c:strRef>
              <c:f>Histograms!$B$17</c:f>
              <c:strCache>
                <c:ptCount val="1"/>
                <c:pt idx="0">
                  <c:v>Frequency</c:v>
                </c:pt>
              </c:strCache>
            </c:strRef>
          </c:tx>
          <c:spPr>
            <a:solidFill>
              <a:schemeClr val="accent2"/>
            </a:solidFill>
            <a:ln>
              <a:noFill/>
            </a:ln>
            <a:effectLst/>
          </c:spPr>
          <c:invertIfNegative val="0"/>
          <c:val>
            <c:numRef>
              <c:f>Histograms!$B$18:$B$27</c:f>
              <c:numCache>
                <c:formatCode>General</c:formatCode>
                <c:ptCount val="10"/>
                <c:pt idx="0">
                  <c:v>0</c:v>
                </c:pt>
                <c:pt idx="1">
                  <c:v>0</c:v>
                </c:pt>
                <c:pt idx="2">
                  <c:v>1</c:v>
                </c:pt>
                <c:pt idx="3">
                  <c:v>3</c:v>
                </c:pt>
                <c:pt idx="4">
                  <c:v>11</c:v>
                </c:pt>
                <c:pt idx="5">
                  <c:v>17</c:v>
                </c:pt>
                <c:pt idx="6">
                  <c:v>34</c:v>
                </c:pt>
                <c:pt idx="7">
                  <c:v>37</c:v>
                </c:pt>
                <c:pt idx="8">
                  <c:v>11</c:v>
                </c:pt>
                <c:pt idx="9">
                  <c:v>4</c:v>
                </c:pt>
              </c:numCache>
            </c:numRef>
          </c:val>
          <c:extLst>
            <c:ext xmlns:c16="http://schemas.microsoft.com/office/drawing/2014/chart" uri="{C3380CC4-5D6E-409C-BE32-E72D297353CC}">
              <c16:uniqueId val="{00000001-9A59-4F7D-B19A-0793465F003F}"/>
            </c:ext>
          </c:extLst>
        </c:ser>
        <c:dLbls>
          <c:showLegendKey val="0"/>
          <c:showVal val="0"/>
          <c:showCatName val="0"/>
          <c:showSerName val="0"/>
          <c:showPercent val="0"/>
          <c:showBubbleSize val="0"/>
        </c:dLbls>
        <c:gapWidth val="150"/>
        <c:axId val="658023872"/>
        <c:axId val="658022432"/>
      </c:barChart>
      <c:lineChart>
        <c:grouping val="standard"/>
        <c:varyColors val="0"/>
        <c:ser>
          <c:idx val="2"/>
          <c:order val="2"/>
          <c:tx>
            <c:strRef>
              <c:f>Histograms!$C$17</c:f>
              <c:strCache>
                <c:ptCount val="1"/>
                <c:pt idx="0">
                  <c:v>Normal PDF</c:v>
                </c:pt>
              </c:strCache>
            </c:strRef>
          </c:tx>
          <c:spPr>
            <a:ln w="28575" cap="rnd">
              <a:solidFill>
                <a:schemeClr val="accent3"/>
              </a:solidFill>
              <a:round/>
            </a:ln>
            <a:effectLst/>
          </c:spPr>
          <c:marker>
            <c:symbol val="none"/>
          </c:marker>
          <c:val>
            <c:numRef>
              <c:f>Histograms!$C$18:$C$27</c:f>
              <c:numCache>
                <c:formatCode>General</c:formatCode>
                <c:ptCount val="10"/>
                <c:pt idx="0">
                  <c:v>3.943087545339158E-3</c:v>
                </c:pt>
                <c:pt idx="1">
                  <c:v>7.1545274727314839E-2</c:v>
                </c:pt>
                <c:pt idx="2">
                  <c:v>0.74643788369654518</c:v>
                </c:pt>
                <c:pt idx="3">
                  <c:v>4.4779018602722198</c:v>
                </c:pt>
                <c:pt idx="4">
                  <c:v>15.44627101148132</c:v>
                </c:pt>
                <c:pt idx="5">
                  <c:v>30.636624298869464</c:v>
                </c:pt>
                <c:pt idx="6">
                  <c:v>34.940277684308782</c:v>
                </c:pt>
                <c:pt idx="7">
                  <c:v>22.912895509948289</c:v>
                </c:pt>
                <c:pt idx="8">
                  <c:v>8.6397619788775888</c:v>
                </c:pt>
                <c:pt idx="9">
                  <c:v>1.8732328385727397</c:v>
                </c:pt>
              </c:numCache>
            </c:numRef>
          </c:val>
          <c:smooth val="0"/>
          <c:extLst>
            <c:ext xmlns:c16="http://schemas.microsoft.com/office/drawing/2014/chart" uri="{C3380CC4-5D6E-409C-BE32-E72D297353CC}">
              <c16:uniqueId val="{00000002-9A59-4F7D-B19A-0793465F003F}"/>
            </c:ext>
          </c:extLst>
        </c:ser>
        <c:dLbls>
          <c:showLegendKey val="0"/>
          <c:showVal val="0"/>
          <c:showCatName val="0"/>
          <c:showSerName val="0"/>
          <c:showPercent val="0"/>
          <c:showBubbleSize val="0"/>
        </c:dLbls>
        <c:marker val="1"/>
        <c:smooth val="0"/>
        <c:axId val="658023872"/>
        <c:axId val="658022432"/>
      </c:lineChart>
      <c:catAx>
        <c:axId val="65802387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022432"/>
        <c:crosses val="autoZero"/>
        <c:auto val="1"/>
        <c:lblAlgn val="ctr"/>
        <c:lblOffset val="100"/>
        <c:noMultiLvlLbl val="0"/>
      </c:catAx>
      <c:valAx>
        <c:axId val="658022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0238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A3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Histograms!$A$30</c:f>
              <c:strCache>
                <c:ptCount val="1"/>
                <c:pt idx="0">
                  <c:v>Bin Upper</c:v>
                </c:pt>
              </c:strCache>
            </c:strRef>
          </c:tx>
          <c:spPr>
            <a:solidFill>
              <a:schemeClr val="accent1"/>
            </a:solidFill>
            <a:ln>
              <a:noFill/>
            </a:ln>
            <a:effectLst/>
          </c:spPr>
          <c:invertIfNegative val="0"/>
          <c:val>
            <c:numRef>
              <c:f>Histograms!$A$31:$A$40</c:f>
              <c:numCache>
                <c:formatCode>General</c:formatCode>
                <c:ptCount val="10"/>
                <c:pt idx="0">
                  <c:v>-0.3</c:v>
                </c:pt>
                <c:pt idx="1">
                  <c:v>-0.24</c:v>
                </c:pt>
                <c:pt idx="2">
                  <c:v>-0.18</c:v>
                </c:pt>
                <c:pt idx="3">
                  <c:v>-0.12</c:v>
                </c:pt>
                <c:pt idx="4">
                  <c:v>-0.06</c:v>
                </c:pt>
                <c:pt idx="5">
                  <c:v>0</c:v>
                </c:pt>
                <c:pt idx="6">
                  <c:v>0.06</c:v>
                </c:pt>
                <c:pt idx="7">
                  <c:v>0.12</c:v>
                </c:pt>
                <c:pt idx="8">
                  <c:v>0.18</c:v>
                </c:pt>
                <c:pt idx="9">
                  <c:v>0.24</c:v>
                </c:pt>
              </c:numCache>
            </c:numRef>
          </c:val>
          <c:extLst>
            <c:ext xmlns:c16="http://schemas.microsoft.com/office/drawing/2014/chart" uri="{C3380CC4-5D6E-409C-BE32-E72D297353CC}">
              <c16:uniqueId val="{00000000-2571-46B9-92F6-571B170C1A02}"/>
            </c:ext>
          </c:extLst>
        </c:ser>
        <c:ser>
          <c:idx val="1"/>
          <c:order val="1"/>
          <c:tx>
            <c:strRef>
              <c:f>Histograms!$B$30</c:f>
              <c:strCache>
                <c:ptCount val="1"/>
                <c:pt idx="0">
                  <c:v>Frequency</c:v>
                </c:pt>
              </c:strCache>
            </c:strRef>
          </c:tx>
          <c:spPr>
            <a:solidFill>
              <a:schemeClr val="accent2"/>
            </a:solidFill>
            <a:ln>
              <a:noFill/>
            </a:ln>
            <a:effectLst/>
          </c:spPr>
          <c:invertIfNegative val="0"/>
          <c:val>
            <c:numRef>
              <c:f>Histograms!$B$31:$B$40</c:f>
              <c:numCache>
                <c:formatCode>General</c:formatCode>
                <c:ptCount val="10"/>
                <c:pt idx="0">
                  <c:v>0</c:v>
                </c:pt>
                <c:pt idx="1">
                  <c:v>1</c:v>
                </c:pt>
                <c:pt idx="2">
                  <c:v>1</c:v>
                </c:pt>
                <c:pt idx="3">
                  <c:v>1</c:v>
                </c:pt>
                <c:pt idx="4">
                  <c:v>13</c:v>
                </c:pt>
                <c:pt idx="5">
                  <c:v>39</c:v>
                </c:pt>
                <c:pt idx="6">
                  <c:v>37</c:v>
                </c:pt>
                <c:pt idx="7">
                  <c:v>21</c:v>
                </c:pt>
                <c:pt idx="8">
                  <c:v>4</c:v>
                </c:pt>
                <c:pt idx="9">
                  <c:v>1</c:v>
                </c:pt>
              </c:numCache>
            </c:numRef>
          </c:val>
          <c:extLst>
            <c:ext xmlns:c16="http://schemas.microsoft.com/office/drawing/2014/chart" uri="{C3380CC4-5D6E-409C-BE32-E72D297353CC}">
              <c16:uniqueId val="{00000001-2571-46B9-92F6-571B170C1A02}"/>
            </c:ext>
          </c:extLst>
        </c:ser>
        <c:dLbls>
          <c:showLegendKey val="0"/>
          <c:showVal val="0"/>
          <c:showCatName val="0"/>
          <c:showSerName val="0"/>
          <c:showPercent val="0"/>
          <c:showBubbleSize val="0"/>
        </c:dLbls>
        <c:gapWidth val="150"/>
        <c:axId val="658015232"/>
        <c:axId val="658012352"/>
      </c:barChart>
      <c:lineChart>
        <c:grouping val="standard"/>
        <c:varyColors val="0"/>
        <c:ser>
          <c:idx val="2"/>
          <c:order val="2"/>
          <c:tx>
            <c:strRef>
              <c:f>Histograms!$C$30</c:f>
              <c:strCache>
                <c:ptCount val="1"/>
                <c:pt idx="0">
                  <c:v>Normal PDF</c:v>
                </c:pt>
              </c:strCache>
            </c:strRef>
          </c:tx>
          <c:spPr>
            <a:ln w="28575" cap="rnd">
              <a:solidFill>
                <a:schemeClr val="accent3"/>
              </a:solidFill>
              <a:round/>
            </a:ln>
            <a:effectLst/>
          </c:spPr>
          <c:marker>
            <c:symbol val="none"/>
          </c:marker>
          <c:val>
            <c:numRef>
              <c:f>Histograms!$C$31:$C$40</c:f>
              <c:numCache>
                <c:formatCode>General</c:formatCode>
                <c:ptCount val="10"/>
                <c:pt idx="0">
                  <c:v>3.7524044938312198E-3</c:v>
                </c:pt>
                <c:pt idx="1">
                  <c:v>9.5703342687549459E-2</c:v>
                </c:pt>
                <c:pt idx="2">
                  <c:v>1.2201708245208311</c:v>
                </c:pt>
                <c:pt idx="3">
                  <c:v>7.7766085020302969</c:v>
                </c:pt>
                <c:pt idx="4">
                  <c:v>24.776268864630509</c:v>
                </c:pt>
                <c:pt idx="5">
                  <c:v>39.460051213638621</c:v>
                </c:pt>
                <c:pt idx="6">
                  <c:v>31.416330270644718</c:v>
                </c:pt>
                <c:pt idx="7">
                  <c:v>12.503434782636274</c:v>
                </c:pt>
                <c:pt idx="8">
                  <c:v>2.4875927501917316</c:v>
                </c:pt>
                <c:pt idx="9">
                  <c:v>0.24740319374059649</c:v>
                </c:pt>
              </c:numCache>
            </c:numRef>
          </c:val>
          <c:smooth val="0"/>
          <c:extLst>
            <c:ext xmlns:c16="http://schemas.microsoft.com/office/drawing/2014/chart" uri="{C3380CC4-5D6E-409C-BE32-E72D297353CC}">
              <c16:uniqueId val="{00000002-2571-46B9-92F6-571B170C1A02}"/>
            </c:ext>
          </c:extLst>
        </c:ser>
        <c:dLbls>
          <c:showLegendKey val="0"/>
          <c:showVal val="0"/>
          <c:showCatName val="0"/>
          <c:showSerName val="0"/>
          <c:showPercent val="0"/>
          <c:showBubbleSize val="0"/>
        </c:dLbls>
        <c:marker val="1"/>
        <c:smooth val="0"/>
        <c:axId val="658015232"/>
        <c:axId val="658012352"/>
      </c:lineChart>
      <c:catAx>
        <c:axId val="65801523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012352"/>
        <c:crosses val="autoZero"/>
        <c:auto val="1"/>
        <c:lblAlgn val="ctr"/>
        <c:lblOffset val="100"/>
        <c:noMultiLvlLbl val="0"/>
      </c:catAx>
      <c:valAx>
        <c:axId val="658012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0152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A4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Histograms!$A$45</c:f>
              <c:strCache>
                <c:ptCount val="1"/>
                <c:pt idx="0">
                  <c:v>Bin Upper</c:v>
                </c:pt>
              </c:strCache>
            </c:strRef>
          </c:tx>
          <c:spPr>
            <a:solidFill>
              <a:schemeClr val="accent1"/>
            </a:solidFill>
            <a:ln>
              <a:noFill/>
            </a:ln>
            <a:effectLst/>
          </c:spPr>
          <c:invertIfNegative val="0"/>
          <c:val>
            <c:numRef>
              <c:f>Histograms!$A$46:$A$62</c:f>
              <c:numCache>
                <c:formatCode>General</c:formatCode>
                <c:ptCount val="17"/>
                <c:pt idx="0">
                  <c:v>-0.03</c:v>
                </c:pt>
                <c:pt idx="1">
                  <c:v>-2.4999999999999998E-2</c:v>
                </c:pt>
                <c:pt idx="2">
                  <c:v>-1.9999999999999997E-2</c:v>
                </c:pt>
                <c:pt idx="3">
                  <c:v>-1.4999999999999996E-2</c:v>
                </c:pt>
                <c:pt idx="4">
                  <c:v>-9.999999999999995E-3</c:v>
                </c:pt>
                <c:pt idx="5">
                  <c:v>-4.9999999999999949E-3</c:v>
                </c:pt>
                <c:pt idx="6">
                  <c:v>0</c:v>
                </c:pt>
                <c:pt idx="7">
                  <c:v>5.0000000000000001E-3</c:v>
                </c:pt>
                <c:pt idx="8">
                  <c:v>0.01</c:v>
                </c:pt>
                <c:pt idx="9">
                  <c:v>1.4999999999999999E-2</c:v>
                </c:pt>
                <c:pt idx="10">
                  <c:v>0.02</c:v>
                </c:pt>
                <c:pt idx="11">
                  <c:v>2.5000000000000001E-2</c:v>
                </c:pt>
                <c:pt idx="12">
                  <c:v>3.0000000000000002E-2</c:v>
                </c:pt>
                <c:pt idx="13">
                  <c:v>3.5000000000000003E-2</c:v>
                </c:pt>
                <c:pt idx="14">
                  <c:v>0.04</c:v>
                </c:pt>
                <c:pt idx="15">
                  <c:v>4.4999999999999998E-2</c:v>
                </c:pt>
                <c:pt idx="16">
                  <c:v>4.9999999999999996E-2</c:v>
                </c:pt>
              </c:numCache>
            </c:numRef>
          </c:val>
          <c:extLst>
            <c:ext xmlns:c16="http://schemas.microsoft.com/office/drawing/2014/chart" uri="{C3380CC4-5D6E-409C-BE32-E72D297353CC}">
              <c16:uniqueId val="{00000000-6257-4771-95FF-1148478F0317}"/>
            </c:ext>
          </c:extLst>
        </c:ser>
        <c:ser>
          <c:idx val="1"/>
          <c:order val="1"/>
          <c:tx>
            <c:strRef>
              <c:f>Histograms!$B$45</c:f>
              <c:strCache>
                <c:ptCount val="1"/>
                <c:pt idx="0">
                  <c:v>Frequency</c:v>
                </c:pt>
              </c:strCache>
            </c:strRef>
          </c:tx>
          <c:spPr>
            <a:solidFill>
              <a:schemeClr val="accent2"/>
            </a:solidFill>
            <a:ln>
              <a:noFill/>
            </a:ln>
            <a:effectLst/>
          </c:spPr>
          <c:invertIfNegative val="0"/>
          <c:val>
            <c:numRef>
              <c:f>Histograms!$B$46:$B$62</c:f>
              <c:numCache>
                <c:formatCode>General</c:formatCode>
                <c:ptCount val="17"/>
                <c:pt idx="0">
                  <c:v>0</c:v>
                </c:pt>
                <c:pt idx="1">
                  <c:v>2</c:v>
                </c:pt>
                <c:pt idx="2">
                  <c:v>2</c:v>
                </c:pt>
                <c:pt idx="3">
                  <c:v>5</c:v>
                </c:pt>
                <c:pt idx="4">
                  <c:v>13</c:v>
                </c:pt>
                <c:pt idx="5">
                  <c:v>15</c:v>
                </c:pt>
                <c:pt idx="6">
                  <c:v>19</c:v>
                </c:pt>
                <c:pt idx="7">
                  <c:v>10</c:v>
                </c:pt>
                <c:pt idx="8">
                  <c:v>13</c:v>
                </c:pt>
                <c:pt idx="9">
                  <c:v>14</c:v>
                </c:pt>
                <c:pt idx="10">
                  <c:v>10</c:v>
                </c:pt>
                <c:pt idx="11">
                  <c:v>7</c:v>
                </c:pt>
                <c:pt idx="12">
                  <c:v>3</c:v>
                </c:pt>
                <c:pt idx="13">
                  <c:v>3</c:v>
                </c:pt>
                <c:pt idx="14">
                  <c:v>1</c:v>
                </c:pt>
                <c:pt idx="15">
                  <c:v>1</c:v>
                </c:pt>
                <c:pt idx="16">
                  <c:v>0</c:v>
                </c:pt>
              </c:numCache>
            </c:numRef>
          </c:val>
          <c:extLst>
            <c:ext xmlns:c16="http://schemas.microsoft.com/office/drawing/2014/chart" uri="{C3380CC4-5D6E-409C-BE32-E72D297353CC}">
              <c16:uniqueId val="{00000001-6257-4771-95FF-1148478F0317}"/>
            </c:ext>
          </c:extLst>
        </c:ser>
        <c:dLbls>
          <c:showLegendKey val="0"/>
          <c:showVal val="0"/>
          <c:showCatName val="0"/>
          <c:showSerName val="0"/>
          <c:showPercent val="0"/>
          <c:showBubbleSize val="0"/>
        </c:dLbls>
        <c:gapWidth val="150"/>
        <c:axId val="526985984"/>
        <c:axId val="526992224"/>
      </c:barChart>
      <c:lineChart>
        <c:grouping val="standard"/>
        <c:varyColors val="0"/>
        <c:ser>
          <c:idx val="2"/>
          <c:order val="2"/>
          <c:tx>
            <c:strRef>
              <c:f>Histograms!$C$45</c:f>
              <c:strCache>
                <c:ptCount val="1"/>
                <c:pt idx="0">
                  <c:v>Normal PDF</c:v>
                </c:pt>
              </c:strCache>
            </c:strRef>
          </c:tx>
          <c:spPr>
            <a:ln w="28575" cap="rnd">
              <a:solidFill>
                <a:schemeClr val="accent3"/>
              </a:solidFill>
              <a:round/>
            </a:ln>
            <a:effectLst/>
          </c:spPr>
          <c:marker>
            <c:symbol val="none"/>
          </c:marker>
          <c:val>
            <c:numRef>
              <c:f>Histograms!$C$46:$C$62</c:f>
              <c:numCache>
                <c:formatCode>General</c:formatCode>
                <c:ptCount val="17"/>
                <c:pt idx="0">
                  <c:v>0.62574339575870697</c:v>
                </c:pt>
                <c:pt idx="1">
                  <c:v>1.4690200427883882</c:v>
                </c:pt>
                <c:pt idx="2">
                  <c:v>3.0369105144131558</c:v>
                </c:pt>
                <c:pt idx="3">
                  <c:v>5.5285226938403769</c:v>
                </c:pt>
                <c:pt idx="4">
                  <c:v>8.8625566774847684</c:v>
                </c:pt>
                <c:pt idx="5">
                  <c:v>12.510704952418408</c:v>
                </c:pt>
                <c:pt idx="6">
                  <c:v>15.551681950004625</c:v>
                </c:pt>
                <c:pt idx="7">
                  <c:v>17.023379353050295</c:v>
                </c:pt>
                <c:pt idx="8">
                  <c:v>16.40918517462628</c:v>
                </c:pt>
                <c:pt idx="9">
                  <c:v>13.928395245413425</c:v>
                </c:pt>
                <c:pt idx="10">
                  <c:v>10.410892832572681</c:v>
                </c:pt>
                <c:pt idx="11">
                  <c:v>6.8524787457306839</c:v>
                </c:pt>
                <c:pt idx="12">
                  <c:v>3.9717348336217779</c:v>
                </c:pt>
                <c:pt idx="13">
                  <c:v>2.0271487688392584</c:v>
                </c:pt>
                <c:pt idx="14">
                  <c:v>0.91109534044291596</c:v>
                </c:pt>
                <c:pt idx="15">
                  <c:v>0.36059097813712654</c:v>
                </c:pt>
                <c:pt idx="16">
                  <c:v>0.12567205453554475</c:v>
                </c:pt>
              </c:numCache>
            </c:numRef>
          </c:val>
          <c:smooth val="0"/>
          <c:extLst>
            <c:ext xmlns:c16="http://schemas.microsoft.com/office/drawing/2014/chart" uri="{C3380CC4-5D6E-409C-BE32-E72D297353CC}">
              <c16:uniqueId val="{00000002-6257-4771-95FF-1148478F0317}"/>
            </c:ext>
          </c:extLst>
        </c:ser>
        <c:dLbls>
          <c:showLegendKey val="0"/>
          <c:showVal val="0"/>
          <c:showCatName val="0"/>
          <c:showSerName val="0"/>
          <c:showPercent val="0"/>
          <c:showBubbleSize val="0"/>
        </c:dLbls>
        <c:marker val="1"/>
        <c:smooth val="0"/>
        <c:axId val="526985984"/>
        <c:axId val="526992224"/>
      </c:lineChart>
      <c:catAx>
        <c:axId val="52698598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992224"/>
        <c:crosses val="autoZero"/>
        <c:auto val="1"/>
        <c:lblAlgn val="ctr"/>
        <c:lblOffset val="100"/>
        <c:noMultiLvlLbl val="0"/>
      </c:catAx>
      <c:valAx>
        <c:axId val="526992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985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A5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Histograms!$A$65</c:f>
              <c:strCache>
                <c:ptCount val="1"/>
                <c:pt idx="0">
                  <c:v>Bin Upper</c:v>
                </c:pt>
              </c:strCache>
            </c:strRef>
          </c:tx>
          <c:spPr>
            <a:solidFill>
              <a:schemeClr val="accent1"/>
            </a:solidFill>
            <a:ln>
              <a:noFill/>
            </a:ln>
            <a:effectLst/>
          </c:spPr>
          <c:invertIfNegative val="0"/>
          <c:val>
            <c:numRef>
              <c:f>Histograms!$A$66:$A$75</c:f>
              <c:numCache>
                <c:formatCode>General</c:formatCode>
                <c:ptCount val="10"/>
                <c:pt idx="0">
                  <c:v>-0.1</c:v>
                </c:pt>
                <c:pt idx="1">
                  <c:v>-0.08</c:v>
                </c:pt>
                <c:pt idx="2">
                  <c:v>-0.06</c:v>
                </c:pt>
                <c:pt idx="3">
                  <c:v>-3.9999999999999994E-2</c:v>
                </c:pt>
                <c:pt idx="4">
                  <c:v>-1.9999999999999993E-2</c:v>
                </c:pt>
                <c:pt idx="5">
                  <c:v>0</c:v>
                </c:pt>
                <c:pt idx="6">
                  <c:v>0.02</c:v>
                </c:pt>
                <c:pt idx="7">
                  <c:v>0.04</c:v>
                </c:pt>
                <c:pt idx="8">
                  <c:v>0.06</c:v>
                </c:pt>
                <c:pt idx="9">
                  <c:v>0.08</c:v>
                </c:pt>
              </c:numCache>
            </c:numRef>
          </c:val>
          <c:extLst>
            <c:ext xmlns:c16="http://schemas.microsoft.com/office/drawing/2014/chart" uri="{C3380CC4-5D6E-409C-BE32-E72D297353CC}">
              <c16:uniqueId val="{00000000-E5CF-493E-A5F0-CD9E36FF3078}"/>
            </c:ext>
          </c:extLst>
        </c:ser>
        <c:ser>
          <c:idx val="1"/>
          <c:order val="1"/>
          <c:tx>
            <c:strRef>
              <c:f>Histograms!$B$65</c:f>
              <c:strCache>
                <c:ptCount val="1"/>
                <c:pt idx="0">
                  <c:v>Frequency</c:v>
                </c:pt>
              </c:strCache>
            </c:strRef>
          </c:tx>
          <c:spPr>
            <a:solidFill>
              <a:schemeClr val="accent2"/>
            </a:solidFill>
            <a:ln>
              <a:noFill/>
            </a:ln>
            <a:effectLst/>
          </c:spPr>
          <c:invertIfNegative val="0"/>
          <c:val>
            <c:numRef>
              <c:f>Histograms!$B$66:$B$75</c:f>
              <c:numCache>
                <c:formatCode>General</c:formatCode>
                <c:ptCount val="10"/>
                <c:pt idx="0">
                  <c:v>0</c:v>
                </c:pt>
                <c:pt idx="1">
                  <c:v>1</c:v>
                </c:pt>
                <c:pt idx="2">
                  <c:v>0</c:v>
                </c:pt>
                <c:pt idx="3">
                  <c:v>4</c:v>
                </c:pt>
                <c:pt idx="4">
                  <c:v>5</c:v>
                </c:pt>
                <c:pt idx="5">
                  <c:v>28</c:v>
                </c:pt>
                <c:pt idx="6">
                  <c:v>63</c:v>
                </c:pt>
                <c:pt idx="7">
                  <c:v>12</c:v>
                </c:pt>
                <c:pt idx="8">
                  <c:v>3</c:v>
                </c:pt>
                <c:pt idx="9">
                  <c:v>2</c:v>
                </c:pt>
              </c:numCache>
            </c:numRef>
          </c:val>
          <c:extLst>
            <c:ext xmlns:c16="http://schemas.microsoft.com/office/drawing/2014/chart" uri="{C3380CC4-5D6E-409C-BE32-E72D297353CC}">
              <c16:uniqueId val="{00000001-E5CF-493E-A5F0-CD9E36FF3078}"/>
            </c:ext>
          </c:extLst>
        </c:ser>
        <c:dLbls>
          <c:showLegendKey val="0"/>
          <c:showVal val="0"/>
          <c:showCatName val="0"/>
          <c:showSerName val="0"/>
          <c:showPercent val="0"/>
          <c:showBubbleSize val="0"/>
        </c:dLbls>
        <c:gapWidth val="150"/>
        <c:axId val="672373472"/>
        <c:axId val="672367712"/>
      </c:barChart>
      <c:lineChart>
        <c:grouping val="standard"/>
        <c:varyColors val="0"/>
        <c:ser>
          <c:idx val="2"/>
          <c:order val="2"/>
          <c:tx>
            <c:strRef>
              <c:f>Histograms!$C$65</c:f>
              <c:strCache>
                <c:ptCount val="1"/>
                <c:pt idx="0">
                  <c:v>Normal PDF</c:v>
                </c:pt>
              </c:strCache>
            </c:strRef>
          </c:tx>
          <c:spPr>
            <a:ln w="28575" cap="rnd">
              <a:solidFill>
                <a:schemeClr val="accent3"/>
              </a:solidFill>
              <a:round/>
            </a:ln>
            <a:effectLst/>
          </c:spPr>
          <c:marker>
            <c:symbol val="none"/>
          </c:marker>
          <c:val>
            <c:numRef>
              <c:f>Histograms!$C$66:$C$75</c:f>
              <c:numCache>
                <c:formatCode>General</c:formatCode>
                <c:ptCount val="10"/>
                <c:pt idx="0">
                  <c:v>6.3230531745888942E-5</c:v>
                </c:pt>
                <c:pt idx="1">
                  <c:v>6.1449477145903864E-3</c:v>
                </c:pt>
                <c:pt idx="2">
                  <c:v>0.23250437960781412</c:v>
                </c:pt>
                <c:pt idx="3">
                  <c:v>3.425040191135476</c:v>
                </c:pt>
                <c:pt idx="4">
                  <c:v>19.643632216504482</c:v>
                </c:pt>
                <c:pt idx="5">
                  <c:v>43.863118458327442</c:v>
                </c:pt>
                <c:pt idx="6">
                  <c:v>38.132809443385213</c:v>
                </c:pt>
                <c:pt idx="7">
                  <c:v>12.906832970509937</c:v>
                </c:pt>
                <c:pt idx="8">
                  <c:v>1.7008349229081281</c:v>
                </c:pt>
                <c:pt idx="9">
                  <c:v>8.7262213958041235E-2</c:v>
                </c:pt>
              </c:numCache>
            </c:numRef>
          </c:val>
          <c:smooth val="0"/>
          <c:extLst>
            <c:ext xmlns:c16="http://schemas.microsoft.com/office/drawing/2014/chart" uri="{C3380CC4-5D6E-409C-BE32-E72D297353CC}">
              <c16:uniqueId val="{00000002-E5CF-493E-A5F0-CD9E36FF3078}"/>
            </c:ext>
          </c:extLst>
        </c:ser>
        <c:dLbls>
          <c:showLegendKey val="0"/>
          <c:showVal val="0"/>
          <c:showCatName val="0"/>
          <c:showSerName val="0"/>
          <c:showPercent val="0"/>
          <c:showBubbleSize val="0"/>
        </c:dLbls>
        <c:marker val="1"/>
        <c:smooth val="0"/>
        <c:axId val="672373472"/>
        <c:axId val="672367712"/>
      </c:lineChart>
      <c:catAx>
        <c:axId val="67237347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367712"/>
        <c:crosses val="autoZero"/>
        <c:auto val="1"/>
        <c:lblAlgn val="ctr"/>
        <c:lblOffset val="100"/>
        <c:noMultiLvlLbl val="0"/>
      </c:catAx>
      <c:valAx>
        <c:axId val="672367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373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'A1 Rolling Betas'!$B$1</c:f>
              <c:strCache>
                <c:ptCount val="1"/>
                <c:pt idx="0">
                  <c:v>Beta US AGG</c:v>
                </c:pt>
              </c:strCache>
            </c:strRef>
          </c:tx>
          <c:spPr>
            <a:ln w="28575" cap="rnd">
              <a:solidFill>
                <a:schemeClr val="accent1"/>
              </a:solidFill>
              <a:round/>
            </a:ln>
            <a:effectLst/>
          </c:spPr>
          <c:marker>
            <c:symbol val="none"/>
          </c:marker>
          <c:cat>
            <c:numRef>
              <c:f>'A1 Rolling Betas'!$A$38:$A$121</c:f>
              <c:numCache>
                <c:formatCode>[$-409]mmm\-yy;@</c:formatCode>
                <c:ptCount val="84"/>
                <c:pt idx="0">
                  <c:v>39113</c:v>
                </c:pt>
                <c:pt idx="1">
                  <c:v>39141</c:v>
                </c:pt>
                <c:pt idx="2">
                  <c:v>39171</c:v>
                </c:pt>
                <c:pt idx="3">
                  <c:v>39202</c:v>
                </c:pt>
                <c:pt idx="4">
                  <c:v>39233</c:v>
                </c:pt>
                <c:pt idx="5">
                  <c:v>39262</c:v>
                </c:pt>
                <c:pt idx="6">
                  <c:v>39294</c:v>
                </c:pt>
                <c:pt idx="7">
                  <c:v>39325</c:v>
                </c:pt>
                <c:pt idx="8">
                  <c:v>39353</c:v>
                </c:pt>
                <c:pt idx="9">
                  <c:v>39386</c:v>
                </c:pt>
                <c:pt idx="10">
                  <c:v>39416</c:v>
                </c:pt>
                <c:pt idx="11">
                  <c:v>39447</c:v>
                </c:pt>
                <c:pt idx="12">
                  <c:v>39478</c:v>
                </c:pt>
                <c:pt idx="13">
                  <c:v>39507</c:v>
                </c:pt>
                <c:pt idx="14">
                  <c:v>39538</c:v>
                </c:pt>
                <c:pt idx="15">
                  <c:v>39568</c:v>
                </c:pt>
                <c:pt idx="16">
                  <c:v>39598</c:v>
                </c:pt>
                <c:pt idx="17">
                  <c:v>39629</c:v>
                </c:pt>
                <c:pt idx="18">
                  <c:v>39660</c:v>
                </c:pt>
                <c:pt idx="19">
                  <c:v>39689</c:v>
                </c:pt>
                <c:pt idx="20">
                  <c:v>39721</c:v>
                </c:pt>
                <c:pt idx="21">
                  <c:v>39752</c:v>
                </c:pt>
                <c:pt idx="22">
                  <c:v>39780</c:v>
                </c:pt>
                <c:pt idx="23">
                  <c:v>39813</c:v>
                </c:pt>
                <c:pt idx="24">
                  <c:v>39843</c:v>
                </c:pt>
                <c:pt idx="25">
                  <c:v>39871</c:v>
                </c:pt>
                <c:pt idx="26">
                  <c:v>39903</c:v>
                </c:pt>
                <c:pt idx="27">
                  <c:v>39933</c:v>
                </c:pt>
                <c:pt idx="28">
                  <c:v>39962</c:v>
                </c:pt>
                <c:pt idx="29">
                  <c:v>39994</c:v>
                </c:pt>
                <c:pt idx="30">
                  <c:v>40025</c:v>
                </c:pt>
                <c:pt idx="31">
                  <c:v>40056</c:v>
                </c:pt>
                <c:pt idx="32">
                  <c:v>40086</c:v>
                </c:pt>
                <c:pt idx="33">
                  <c:v>40116</c:v>
                </c:pt>
                <c:pt idx="34">
                  <c:v>40147</c:v>
                </c:pt>
                <c:pt idx="35">
                  <c:v>40178</c:v>
                </c:pt>
                <c:pt idx="36">
                  <c:v>40207</c:v>
                </c:pt>
                <c:pt idx="37">
                  <c:v>40235</c:v>
                </c:pt>
                <c:pt idx="38">
                  <c:v>40268</c:v>
                </c:pt>
                <c:pt idx="39">
                  <c:v>40298</c:v>
                </c:pt>
                <c:pt idx="40">
                  <c:v>40329</c:v>
                </c:pt>
                <c:pt idx="41">
                  <c:v>40359</c:v>
                </c:pt>
                <c:pt idx="42">
                  <c:v>40389</c:v>
                </c:pt>
                <c:pt idx="43">
                  <c:v>40421</c:v>
                </c:pt>
                <c:pt idx="44">
                  <c:v>40451</c:v>
                </c:pt>
                <c:pt idx="45">
                  <c:v>40480</c:v>
                </c:pt>
                <c:pt idx="46">
                  <c:v>40512</c:v>
                </c:pt>
                <c:pt idx="47">
                  <c:v>40543</c:v>
                </c:pt>
                <c:pt idx="48">
                  <c:v>40574</c:v>
                </c:pt>
                <c:pt idx="49">
                  <c:v>40602</c:v>
                </c:pt>
                <c:pt idx="50">
                  <c:v>40633</c:v>
                </c:pt>
                <c:pt idx="51">
                  <c:v>40662</c:v>
                </c:pt>
                <c:pt idx="52">
                  <c:v>40694</c:v>
                </c:pt>
                <c:pt idx="53">
                  <c:v>40724</c:v>
                </c:pt>
                <c:pt idx="54">
                  <c:v>40753</c:v>
                </c:pt>
                <c:pt idx="55">
                  <c:v>40786</c:v>
                </c:pt>
                <c:pt idx="56">
                  <c:v>40816</c:v>
                </c:pt>
                <c:pt idx="57">
                  <c:v>40847</c:v>
                </c:pt>
                <c:pt idx="58">
                  <c:v>40877</c:v>
                </c:pt>
                <c:pt idx="59">
                  <c:v>40907</c:v>
                </c:pt>
                <c:pt idx="60">
                  <c:v>40939</c:v>
                </c:pt>
                <c:pt idx="61">
                  <c:v>40968</c:v>
                </c:pt>
                <c:pt idx="62">
                  <c:v>40998</c:v>
                </c:pt>
                <c:pt idx="63">
                  <c:v>41029</c:v>
                </c:pt>
                <c:pt idx="64">
                  <c:v>41060</c:v>
                </c:pt>
                <c:pt idx="65">
                  <c:v>41089</c:v>
                </c:pt>
                <c:pt idx="66">
                  <c:v>41121</c:v>
                </c:pt>
                <c:pt idx="67">
                  <c:v>41152</c:v>
                </c:pt>
                <c:pt idx="68">
                  <c:v>41180</c:v>
                </c:pt>
                <c:pt idx="69">
                  <c:v>41213</c:v>
                </c:pt>
                <c:pt idx="70">
                  <c:v>41243</c:v>
                </c:pt>
                <c:pt idx="71">
                  <c:v>41274</c:v>
                </c:pt>
                <c:pt idx="72">
                  <c:v>41305</c:v>
                </c:pt>
                <c:pt idx="73">
                  <c:v>41333</c:v>
                </c:pt>
                <c:pt idx="74">
                  <c:v>41362</c:v>
                </c:pt>
                <c:pt idx="75">
                  <c:v>41394</c:v>
                </c:pt>
                <c:pt idx="76">
                  <c:v>41425</c:v>
                </c:pt>
                <c:pt idx="77">
                  <c:v>41453</c:v>
                </c:pt>
                <c:pt idx="78">
                  <c:v>41486</c:v>
                </c:pt>
                <c:pt idx="79">
                  <c:v>41516</c:v>
                </c:pt>
                <c:pt idx="80">
                  <c:v>41547</c:v>
                </c:pt>
                <c:pt idx="81">
                  <c:v>41578</c:v>
                </c:pt>
                <c:pt idx="82">
                  <c:v>41607</c:v>
                </c:pt>
                <c:pt idx="83">
                  <c:v>41639</c:v>
                </c:pt>
              </c:numCache>
            </c:numRef>
          </c:cat>
          <c:val>
            <c:numLit>
              <c:formatCode>General</c:formatCode>
              <c:ptCount val="1"/>
              <c:pt idx="0">
                <c:v>1</c:v>
              </c:pt>
            </c:numLit>
          </c:val>
          <c:smooth val="0"/>
          <c:extLst>
            <c:ext xmlns:c16="http://schemas.microsoft.com/office/drawing/2014/chart" uri="{C3380CC4-5D6E-409C-BE32-E72D297353CC}">
              <c16:uniqueId val="{00000001-A8E9-49A5-8739-D1EFE378E82C}"/>
            </c:ext>
          </c:extLst>
        </c:ser>
        <c:ser>
          <c:idx val="1"/>
          <c:order val="1"/>
          <c:tx>
            <c:strRef>
              <c:f>'A1 Rolling Betas'!$C$1</c:f>
              <c:strCache>
                <c:ptCount val="1"/>
                <c:pt idx="0">
                  <c:v>Beta EM Bond</c:v>
                </c:pt>
              </c:strCache>
            </c:strRef>
          </c:tx>
          <c:spPr>
            <a:ln w="28575" cap="rnd">
              <a:solidFill>
                <a:schemeClr val="accent2"/>
              </a:solidFill>
              <a:round/>
            </a:ln>
            <a:effectLst/>
          </c:spPr>
          <c:marker>
            <c:symbol val="none"/>
          </c:marker>
          <c:cat>
            <c:numRef>
              <c:f>'A1 Rolling Betas'!$A$38:$A$121</c:f>
              <c:numCache>
                <c:formatCode>[$-409]mmm\-yy;@</c:formatCode>
                <c:ptCount val="84"/>
                <c:pt idx="0">
                  <c:v>39113</c:v>
                </c:pt>
                <c:pt idx="1">
                  <c:v>39141</c:v>
                </c:pt>
                <c:pt idx="2">
                  <c:v>39171</c:v>
                </c:pt>
                <c:pt idx="3">
                  <c:v>39202</c:v>
                </c:pt>
                <c:pt idx="4">
                  <c:v>39233</c:v>
                </c:pt>
                <c:pt idx="5">
                  <c:v>39262</c:v>
                </c:pt>
                <c:pt idx="6">
                  <c:v>39294</c:v>
                </c:pt>
                <c:pt idx="7">
                  <c:v>39325</c:v>
                </c:pt>
                <c:pt idx="8">
                  <c:v>39353</c:v>
                </c:pt>
                <c:pt idx="9">
                  <c:v>39386</c:v>
                </c:pt>
                <c:pt idx="10">
                  <c:v>39416</c:v>
                </c:pt>
                <c:pt idx="11">
                  <c:v>39447</c:v>
                </c:pt>
                <c:pt idx="12">
                  <c:v>39478</c:v>
                </c:pt>
                <c:pt idx="13">
                  <c:v>39507</c:v>
                </c:pt>
                <c:pt idx="14">
                  <c:v>39538</c:v>
                </c:pt>
                <c:pt idx="15">
                  <c:v>39568</c:v>
                </c:pt>
                <c:pt idx="16">
                  <c:v>39598</c:v>
                </c:pt>
                <c:pt idx="17">
                  <c:v>39629</c:v>
                </c:pt>
                <c:pt idx="18">
                  <c:v>39660</c:v>
                </c:pt>
                <c:pt idx="19">
                  <c:v>39689</c:v>
                </c:pt>
                <c:pt idx="20">
                  <c:v>39721</c:v>
                </c:pt>
                <c:pt idx="21">
                  <c:v>39752</c:v>
                </c:pt>
                <c:pt idx="22">
                  <c:v>39780</c:v>
                </c:pt>
                <c:pt idx="23">
                  <c:v>39813</c:v>
                </c:pt>
                <c:pt idx="24">
                  <c:v>39843</c:v>
                </c:pt>
                <c:pt idx="25">
                  <c:v>39871</c:v>
                </c:pt>
                <c:pt idx="26">
                  <c:v>39903</c:v>
                </c:pt>
                <c:pt idx="27">
                  <c:v>39933</c:v>
                </c:pt>
                <c:pt idx="28">
                  <c:v>39962</c:v>
                </c:pt>
                <c:pt idx="29">
                  <c:v>39994</c:v>
                </c:pt>
                <c:pt idx="30">
                  <c:v>40025</c:v>
                </c:pt>
                <c:pt idx="31">
                  <c:v>40056</c:v>
                </c:pt>
                <c:pt idx="32">
                  <c:v>40086</c:v>
                </c:pt>
                <c:pt idx="33">
                  <c:v>40116</c:v>
                </c:pt>
                <c:pt idx="34">
                  <c:v>40147</c:v>
                </c:pt>
                <c:pt idx="35">
                  <c:v>40178</c:v>
                </c:pt>
                <c:pt idx="36">
                  <c:v>40207</c:v>
                </c:pt>
                <c:pt idx="37">
                  <c:v>40235</c:v>
                </c:pt>
                <c:pt idx="38">
                  <c:v>40268</c:v>
                </c:pt>
                <c:pt idx="39">
                  <c:v>40298</c:v>
                </c:pt>
                <c:pt idx="40">
                  <c:v>40329</c:v>
                </c:pt>
                <c:pt idx="41">
                  <c:v>40359</c:v>
                </c:pt>
                <c:pt idx="42">
                  <c:v>40389</c:v>
                </c:pt>
                <c:pt idx="43">
                  <c:v>40421</c:v>
                </c:pt>
                <c:pt idx="44">
                  <c:v>40451</c:v>
                </c:pt>
                <c:pt idx="45">
                  <c:v>40480</c:v>
                </c:pt>
                <c:pt idx="46">
                  <c:v>40512</c:v>
                </c:pt>
                <c:pt idx="47">
                  <c:v>40543</c:v>
                </c:pt>
                <c:pt idx="48">
                  <c:v>40574</c:v>
                </c:pt>
                <c:pt idx="49">
                  <c:v>40602</c:v>
                </c:pt>
                <c:pt idx="50">
                  <c:v>40633</c:v>
                </c:pt>
                <c:pt idx="51">
                  <c:v>40662</c:v>
                </c:pt>
                <c:pt idx="52">
                  <c:v>40694</c:v>
                </c:pt>
                <c:pt idx="53">
                  <c:v>40724</c:v>
                </c:pt>
                <c:pt idx="54">
                  <c:v>40753</c:v>
                </c:pt>
                <c:pt idx="55">
                  <c:v>40786</c:v>
                </c:pt>
                <c:pt idx="56">
                  <c:v>40816</c:v>
                </c:pt>
                <c:pt idx="57">
                  <c:v>40847</c:v>
                </c:pt>
                <c:pt idx="58">
                  <c:v>40877</c:v>
                </c:pt>
                <c:pt idx="59">
                  <c:v>40907</c:v>
                </c:pt>
                <c:pt idx="60">
                  <c:v>40939</c:v>
                </c:pt>
                <c:pt idx="61">
                  <c:v>40968</c:v>
                </c:pt>
                <c:pt idx="62">
                  <c:v>40998</c:v>
                </c:pt>
                <c:pt idx="63">
                  <c:v>41029</c:v>
                </c:pt>
                <c:pt idx="64">
                  <c:v>41060</c:v>
                </c:pt>
                <c:pt idx="65">
                  <c:v>41089</c:v>
                </c:pt>
                <c:pt idx="66">
                  <c:v>41121</c:v>
                </c:pt>
                <c:pt idx="67">
                  <c:v>41152</c:v>
                </c:pt>
                <c:pt idx="68">
                  <c:v>41180</c:v>
                </c:pt>
                <c:pt idx="69">
                  <c:v>41213</c:v>
                </c:pt>
                <c:pt idx="70">
                  <c:v>41243</c:v>
                </c:pt>
                <c:pt idx="71">
                  <c:v>41274</c:v>
                </c:pt>
                <c:pt idx="72">
                  <c:v>41305</c:v>
                </c:pt>
                <c:pt idx="73">
                  <c:v>41333</c:v>
                </c:pt>
                <c:pt idx="74">
                  <c:v>41362</c:v>
                </c:pt>
                <c:pt idx="75">
                  <c:v>41394</c:v>
                </c:pt>
                <c:pt idx="76">
                  <c:v>41425</c:v>
                </c:pt>
                <c:pt idx="77">
                  <c:v>41453</c:v>
                </c:pt>
                <c:pt idx="78">
                  <c:v>41486</c:v>
                </c:pt>
                <c:pt idx="79">
                  <c:v>41516</c:v>
                </c:pt>
                <c:pt idx="80">
                  <c:v>41547</c:v>
                </c:pt>
                <c:pt idx="81">
                  <c:v>41578</c:v>
                </c:pt>
                <c:pt idx="82">
                  <c:v>41607</c:v>
                </c:pt>
                <c:pt idx="83">
                  <c:v>41639</c:v>
                </c:pt>
              </c:numCache>
            </c:numRef>
          </c:cat>
          <c:val>
            <c:numLit>
              <c:formatCode>General</c:formatCode>
              <c:ptCount val="1"/>
              <c:pt idx="0">
                <c:v>1</c:v>
              </c:pt>
            </c:numLit>
          </c:val>
          <c:smooth val="0"/>
          <c:extLst>
            <c:ext xmlns:c16="http://schemas.microsoft.com/office/drawing/2014/chart" uri="{C3380CC4-5D6E-409C-BE32-E72D297353CC}">
              <c16:uniqueId val="{00000002-A8E9-49A5-8739-D1EFE378E82C}"/>
            </c:ext>
          </c:extLst>
        </c:ser>
        <c:ser>
          <c:idx val="2"/>
          <c:order val="2"/>
          <c:tx>
            <c:strRef>
              <c:f>'A1 Rolling Betas'!$D$1</c:f>
              <c:strCache>
                <c:ptCount val="1"/>
                <c:pt idx="0">
                  <c:v>Beta Credit Spread</c:v>
                </c:pt>
              </c:strCache>
            </c:strRef>
          </c:tx>
          <c:spPr>
            <a:ln w="28575" cap="rnd">
              <a:solidFill>
                <a:schemeClr val="accent3"/>
              </a:solidFill>
              <a:round/>
            </a:ln>
            <a:effectLst/>
          </c:spPr>
          <c:marker>
            <c:symbol val="none"/>
          </c:marker>
          <c:cat>
            <c:numRef>
              <c:f>'A1 Rolling Betas'!$A$38:$A$121</c:f>
              <c:numCache>
                <c:formatCode>[$-409]mmm\-yy;@</c:formatCode>
                <c:ptCount val="84"/>
                <c:pt idx="0">
                  <c:v>39113</c:v>
                </c:pt>
                <c:pt idx="1">
                  <c:v>39141</c:v>
                </c:pt>
                <c:pt idx="2">
                  <c:v>39171</c:v>
                </c:pt>
                <c:pt idx="3">
                  <c:v>39202</c:v>
                </c:pt>
                <c:pt idx="4">
                  <c:v>39233</c:v>
                </c:pt>
                <c:pt idx="5">
                  <c:v>39262</c:v>
                </c:pt>
                <c:pt idx="6">
                  <c:v>39294</c:v>
                </c:pt>
                <c:pt idx="7">
                  <c:v>39325</c:v>
                </c:pt>
                <c:pt idx="8">
                  <c:v>39353</c:v>
                </c:pt>
                <c:pt idx="9">
                  <c:v>39386</c:v>
                </c:pt>
                <c:pt idx="10">
                  <c:v>39416</c:v>
                </c:pt>
                <c:pt idx="11">
                  <c:v>39447</c:v>
                </c:pt>
                <c:pt idx="12">
                  <c:v>39478</c:v>
                </c:pt>
                <c:pt idx="13">
                  <c:v>39507</c:v>
                </c:pt>
                <c:pt idx="14">
                  <c:v>39538</c:v>
                </c:pt>
                <c:pt idx="15">
                  <c:v>39568</c:v>
                </c:pt>
                <c:pt idx="16">
                  <c:v>39598</c:v>
                </c:pt>
                <c:pt idx="17">
                  <c:v>39629</c:v>
                </c:pt>
                <c:pt idx="18">
                  <c:v>39660</c:v>
                </c:pt>
                <c:pt idx="19">
                  <c:v>39689</c:v>
                </c:pt>
                <c:pt idx="20">
                  <c:v>39721</c:v>
                </c:pt>
                <c:pt idx="21">
                  <c:v>39752</c:v>
                </c:pt>
                <c:pt idx="22">
                  <c:v>39780</c:v>
                </c:pt>
                <c:pt idx="23">
                  <c:v>39813</c:v>
                </c:pt>
                <c:pt idx="24">
                  <c:v>39843</c:v>
                </c:pt>
                <c:pt idx="25">
                  <c:v>39871</c:v>
                </c:pt>
                <c:pt idx="26">
                  <c:v>39903</c:v>
                </c:pt>
                <c:pt idx="27">
                  <c:v>39933</c:v>
                </c:pt>
                <c:pt idx="28">
                  <c:v>39962</c:v>
                </c:pt>
                <c:pt idx="29">
                  <c:v>39994</c:v>
                </c:pt>
                <c:pt idx="30">
                  <c:v>40025</c:v>
                </c:pt>
                <c:pt idx="31">
                  <c:v>40056</c:v>
                </c:pt>
                <c:pt idx="32">
                  <c:v>40086</c:v>
                </c:pt>
                <c:pt idx="33">
                  <c:v>40116</c:v>
                </c:pt>
                <c:pt idx="34">
                  <c:v>40147</c:v>
                </c:pt>
                <c:pt idx="35">
                  <c:v>40178</c:v>
                </c:pt>
                <c:pt idx="36">
                  <c:v>40207</c:v>
                </c:pt>
                <c:pt idx="37">
                  <c:v>40235</c:v>
                </c:pt>
                <c:pt idx="38">
                  <c:v>40268</c:v>
                </c:pt>
                <c:pt idx="39">
                  <c:v>40298</c:v>
                </c:pt>
                <c:pt idx="40">
                  <c:v>40329</c:v>
                </c:pt>
                <c:pt idx="41">
                  <c:v>40359</c:v>
                </c:pt>
                <c:pt idx="42">
                  <c:v>40389</c:v>
                </c:pt>
                <c:pt idx="43">
                  <c:v>40421</c:v>
                </c:pt>
                <c:pt idx="44">
                  <c:v>40451</c:v>
                </c:pt>
                <c:pt idx="45">
                  <c:v>40480</c:v>
                </c:pt>
                <c:pt idx="46">
                  <c:v>40512</c:v>
                </c:pt>
                <c:pt idx="47">
                  <c:v>40543</c:v>
                </c:pt>
                <c:pt idx="48">
                  <c:v>40574</c:v>
                </c:pt>
                <c:pt idx="49">
                  <c:v>40602</c:v>
                </c:pt>
                <c:pt idx="50">
                  <c:v>40633</c:v>
                </c:pt>
                <c:pt idx="51">
                  <c:v>40662</c:v>
                </c:pt>
                <c:pt idx="52">
                  <c:v>40694</c:v>
                </c:pt>
                <c:pt idx="53">
                  <c:v>40724</c:v>
                </c:pt>
                <c:pt idx="54">
                  <c:v>40753</c:v>
                </c:pt>
                <c:pt idx="55">
                  <c:v>40786</c:v>
                </c:pt>
                <c:pt idx="56">
                  <c:v>40816</c:v>
                </c:pt>
                <c:pt idx="57">
                  <c:v>40847</c:v>
                </c:pt>
                <c:pt idx="58">
                  <c:v>40877</c:v>
                </c:pt>
                <c:pt idx="59">
                  <c:v>40907</c:v>
                </c:pt>
                <c:pt idx="60">
                  <c:v>40939</c:v>
                </c:pt>
                <c:pt idx="61">
                  <c:v>40968</c:v>
                </c:pt>
                <c:pt idx="62">
                  <c:v>40998</c:v>
                </c:pt>
                <c:pt idx="63">
                  <c:v>41029</c:v>
                </c:pt>
                <c:pt idx="64">
                  <c:v>41060</c:v>
                </c:pt>
                <c:pt idx="65">
                  <c:v>41089</c:v>
                </c:pt>
                <c:pt idx="66">
                  <c:v>41121</c:v>
                </c:pt>
                <c:pt idx="67">
                  <c:v>41152</c:v>
                </c:pt>
                <c:pt idx="68">
                  <c:v>41180</c:v>
                </c:pt>
                <c:pt idx="69">
                  <c:v>41213</c:v>
                </c:pt>
                <c:pt idx="70">
                  <c:v>41243</c:v>
                </c:pt>
                <c:pt idx="71">
                  <c:v>41274</c:v>
                </c:pt>
                <c:pt idx="72">
                  <c:v>41305</c:v>
                </c:pt>
                <c:pt idx="73">
                  <c:v>41333</c:v>
                </c:pt>
                <c:pt idx="74">
                  <c:v>41362</c:v>
                </c:pt>
                <c:pt idx="75">
                  <c:v>41394</c:v>
                </c:pt>
                <c:pt idx="76">
                  <c:v>41425</c:v>
                </c:pt>
                <c:pt idx="77">
                  <c:v>41453</c:v>
                </c:pt>
                <c:pt idx="78">
                  <c:v>41486</c:v>
                </c:pt>
                <c:pt idx="79">
                  <c:v>41516</c:v>
                </c:pt>
                <c:pt idx="80">
                  <c:v>41547</c:v>
                </c:pt>
                <c:pt idx="81">
                  <c:v>41578</c:v>
                </c:pt>
                <c:pt idx="82">
                  <c:v>41607</c:v>
                </c:pt>
                <c:pt idx="83">
                  <c:v>41639</c:v>
                </c:pt>
              </c:numCache>
            </c:numRef>
          </c:cat>
          <c:val>
            <c:numLit>
              <c:formatCode>General</c:formatCode>
              <c:ptCount val="1"/>
              <c:pt idx="0">
                <c:v>1</c:v>
              </c:pt>
            </c:numLit>
          </c:val>
          <c:smooth val="0"/>
          <c:extLst>
            <c:ext xmlns:c16="http://schemas.microsoft.com/office/drawing/2014/chart" uri="{C3380CC4-5D6E-409C-BE32-E72D297353CC}">
              <c16:uniqueId val="{00000003-A8E9-49A5-8739-D1EFE378E82C}"/>
            </c:ext>
          </c:extLst>
        </c:ser>
        <c:dLbls>
          <c:showLegendKey val="0"/>
          <c:showVal val="0"/>
          <c:showCatName val="0"/>
          <c:showSerName val="0"/>
          <c:showPercent val="0"/>
          <c:showBubbleSize val="0"/>
        </c:dLbls>
        <c:smooth val="0"/>
        <c:axId val="692197920"/>
        <c:axId val="692206080"/>
      </c:lineChart>
      <c:dateAx>
        <c:axId val="692197920"/>
        <c:scaling>
          <c:orientation val="minMax"/>
        </c:scaling>
        <c:delete val="0"/>
        <c:axPos val="b"/>
        <c:numFmt formatCode="[$-409]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206080"/>
        <c:crosses val="autoZero"/>
        <c:auto val="1"/>
        <c:lblOffset val="100"/>
        <c:baseTimeUnit val="days"/>
      </c:dateAx>
      <c:valAx>
        <c:axId val="692206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19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Project_Page_1!$F$11</c:f>
              <c:strCache>
                <c:ptCount val="1"/>
                <c:pt idx="0">
                  <c:v>Wealth (End of Month)</c:v>
                </c:pt>
              </c:strCache>
            </c:strRef>
          </c:tx>
          <c:spPr>
            <a:ln w="28575" cap="rnd">
              <a:solidFill>
                <a:schemeClr val="accent1"/>
              </a:solidFill>
              <a:round/>
            </a:ln>
            <a:effectLst/>
          </c:spPr>
          <c:marker>
            <c:symbol val="none"/>
          </c:marker>
          <c:cat>
            <c:strRef>
              <c:f>Project_Page_1!$C$12:$C$132</c:f>
              <c:strCache>
                <c:ptCount val="121"/>
                <c:pt idx="0">
                  <c:v>Start</c:v>
                </c:pt>
                <c:pt idx="1">
                  <c:v>Jan-04</c:v>
                </c:pt>
                <c:pt idx="2">
                  <c:v>Feb-04</c:v>
                </c:pt>
                <c:pt idx="3">
                  <c:v>Mar-04</c:v>
                </c:pt>
                <c:pt idx="4">
                  <c:v>Apr-04</c:v>
                </c:pt>
                <c:pt idx="5">
                  <c:v>May-04</c:v>
                </c:pt>
                <c:pt idx="6">
                  <c:v>Jun-04</c:v>
                </c:pt>
                <c:pt idx="7">
                  <c:v>Jul-04</c:v>
                </c:pt>
                <c:pt idx="8">
                  <c:v>Aug-04</c:v>
                </c:pt>
                <c:pt idx="9">
                  <c:v>Sep-04</c:v>
                </c:pt>
                <c:pt idx="10">
                  <c:v>Oct-04</c:v>
                </c:pt>
                <c:pt idx="11">
                  <c:v>Nov-04</c:v>
                </c:pt>
                <c:pt idx="12">
                  <c:v>Dec-04</c:v>
                </c:pt>
                <c:pt idx="13">
                  <c:v>Jan-05</c:v>
                </c:pt>
                <c:pt idx="14">
                  <c:v>Feb-05</c:v>
                </c:pt>
                <c:pt idx="15">
                  <c:v>Mar-05</c:v>
                </c:pt>
                <c:pt idx="16">
                  <c:v>Apr-05</c:v>
                </c:pt>
                <c:pt idx="17">
                  <c:v>May-05</c:v>
                </c:pt>
                <c:pt idx="18">
                  <c:v>Jun-05</c:v>
                </c:pt>
                <c:pt idx="19">
                  <c:v>Jul-05</c:v>
                </c:pt>
                <c:pt idx="20">
                  <c:v>Aug-05</c:v>
                </c:pt>
                <c:pt idx="21">
                  <c:v>Sep-05</c:v>
                </c:pt>
                <c:pt idx="22">
                  <c:v>Oct-05</c:v>
                </c:pt>
                <c:pt idx="23">
                  <c:v>Nov-05</c:v>
                </c:pt>
                <c:pt idx="24">
                  <c:v>Dec-05</c:v>
                </c:pt>
                <c:pt idx="25">
                  <c:v>Jan-06</c:v>
                </c:pt>
                <c:pt idx="26">
                  <c:v>Feb-06</c:v>
                </c:pt>
                <c:pt idx="27">
                  <c:v>Mar-06</c:v>
                </c:pt>
                <c:pt idx="28">
                  <c:v>Apr-06</c:v>
                </c:pt>
                <c:pt idx="29">
                  <c:v>May-06</c:v>
                </c:pt>
                <c:pt idx="30">
                  <c:v>Jun-06</c:v>
                </c:pt>
                <c:pt idx="31">
                  <c:v>Jul-06</c:v>
                </c:pt>
                <c:pt idx="32">
                  <c:v>Aug-06</c:v>
                </c:pt>
                <c:pt idx="33">
                  <c:v>Sep-06</c:v>
                </c:pt>
                <c:pt idx="34">
                  <c:v>Oct-06</c:v>
                </c:pt>
                <c:pt idx="35">
                  <c:v>Nov-06</c:v>
                </c:pt>
                <c:pt idx="36">
                  <c:v>Dec-06</c:v>
                </c:pt>
                <c:pt idx="37">
                  <c:v>Jan-07</c:v>
                </c:pt>
                <c:pt idx="38">
                  <c:v>Feb-07</c:v>
                </c:pt>
                <c:pt idx="39">
                  <c:v>Mar-07</c:v>
                </c:pt>
                <c:pt idx="40">
                  <c:v>Apr-07</c:v>
                </c:pt>
                <c:pt idx="41">
                  <c:v>May-07</c:v>
                </c:pt>
                <c:pt idx="42">
                  <c:v>Jun-07</c:v>
                </c:pt>
                <c:pt idx="43">
                  <c:v>Jul-07</c:v>
                </c:pt>
                <c:pt idx="44">
                  <c:v>Aug-07</c:v>
                </c:pt>
                <c:pt idx="45">
                  <c:v>Sep-07</c:v>
                </c:pt>
                <c:pt idx="46">
                  <c:v>Oct-07</c:v>
                </c:pt>
                <c:pt idx="47">
                  <c:v>Nov-07</c:v>
                </c:pt>
                <c:pt idx="48">
                  <c:v>Dec-07</c:v>
                </c:pt>
                <c:pt idx="49">
                  <c:v>Jan-08</c:v>
                </c:pt>
                <c:pt idx="50">
                  <c:v>Feb-08</c:v>
                </c:pt>
                <c:pt idx="51">
                  <c:v>Mar-08</c:v>
                </c:pt>
                <c:pt idx="52">
                  <c:v>Apr-08</c:v>
                </c:pt>
                <c:pt idx="53">
                  <c:v>May-08</c:v>
                </c:pt>
                <c:pt idx="54">
                  <c:v>Jun-08</c:v>
                </c:pt>
                <c:pt idx="55">
                  <c:v>Jul-08</c:v>
                </c:pt>
                <c:pt idx="56">
                  <c:v>Aug-08</c:v>
                </c:pt>
                <c:pt idx="57">
                  <c:v>Sep-08</c:v>
                </c:pt>
                <c:pt idx="58">
                  <c:v>Oct-08</c:v>
                </c:pt>
                <c:pt idx="59">
                  <c:v>Nov-08</c:v>
                </c:pt>
                <c:pt idx="60">
                  <c:v>Dec-08</c:v>
                </c:pt>
                <c:pt idx="61">
                  <c:v>Jan-09</c:v>
                </c:pt>
                <c:pt idx="62">
                  <c:v>Feb-09</c:v>
                </c:pt>
                <c:pt idx="63">
                  <c:v>Mar-09</c:v>
                </c:pt>
                <c:pt idx="64">
                  <c:v>Apr-09</c:v>
                </c:pt>
                <c:pt idx="65">
                  <c:v>May-09</c:v>
                </c:pt>
                <c:pt idx="66">
                  <c:v>Jun-09</c:v>
                </c:pt>
                <c:pt idx="67">
                  <c:v>Jul-09</c:v>
                </c:pt>
                <c:pt idx="68">
                  <c:v>Aug-09</c:v>
                </c:pt>
                <c:pt idx="69">
                  <c:v>Sep-09</c:v>
                </c:pt>
                <c:pt idx="70">
                  <c:v>Oct-09</c:v>
                </c:pt>
                <c:pt idx="71">
                  <c:v>Nov-09</c:v>
                </c:pt>
                <c:pt idx="72">
                  <c:v>Dec-09</c:v>
                </c:pt>
                <c:pt idx="73">
                  <c:v>Jan-10</c:v>
                </c:pt>
                <c:pt idx="74">
                  <c:v>Feb-10</c:v>
                </c:pt>
                <c:pt idx="75">
                  <c:v>Mar-10</c:v>
                </c:pt>
                <c:pt idx="76">
                  <c:v>Apr-10</c:v>
                </c:pt>
                <c:pt idx="77">
                  <c:v>May-10</c:v>
                </c:pt>
                <c:pt idx="78">
                  <c:v>Jun-10</c:v>
                </c:pt>
                <c:pt idx="79">
                  <c:v>Jul-10</c:v>
                </c:pt>
                <c:pt idx="80">
                  <c:v>Aug-10</c:v>
                </c:pt>
                <c:pt idx="81">
                  <c:v>Sep-10</c:v>
                </c:pt>
                <c:pt idx="82">
                  <c:v>Oct-10</c:v>
                </c:pt>
                <c:pt idx="83">
                  <c:v>Nov-10</c:v>
                </c:pt>
                <c:pt idx="84">
                  <c:v>Dec-10</c:v>
                </c:pt>
                <c:pt idx="85">
                  <c:v>Jan-11</c:v>
                </c:pt>
                <c:pt idx="86">
                  <c:v>Feb-11</c:v>
                </c:pt>
                <c:pt idx="87">
                  <c:v>Mar-11</c:v>
                </c:pt>
                <c:pt idx="88">
                  <c:v>Apr-11</c:v>
                </c:pt>
                <c:pt idx="89">
                  <c:v>May-11</c:v>
                </c:pt>
                <c:pt idx="90">
                  <c:v>Jun-11</c:v>
                </c:pt>
                <c:pt idx="91">
                  <c:v>Jul-11</c:v>
                </c:pt>
                <c:pt idx="92">
                  <c:v>Aug-11</c:v>
                </c:pt>
                <c:pt idx="93">
                  <c:v>Sep-11</c:v>
                </c:pt>
                <c:pt idx="94">
                  <c:v>Oct-11</c:v>
                </c:pt>
                <c:pt idx="95">
                  <c:v>Nov-11</c:v>
                </c:pt>
                <c:pt idx="96">
                  <c:v>Dec-11</c:v>
                </c:pt>
                <c:pt idx="97">
                  <c:v>Jan-12</c:v>
                </c:pt>
                <c:pt idx="98">
                  <c:v>Feb-12</c:v>
                </c:pt>
                <c:pt idx="99">
                  <c:v>Mar-12</c:v>
                </c:pt>
                <c:pt idx="100">
                  <c:v>Apr-12</c:v>
                </c:pt>
                <c:pt idx="101">
                  <c:v>May-12</c:v>
                </c:pt>
                <c:pt idx="102">
                  <c:v>Jun-12</c:v>
                </c:pt>
                <c:pt idx="103">
                  <c:v>Jul-12</c:v>
                </c:pt>
                <c:pt idx="104">
                  <c:v>Aug-12</c:v>
                </c:pt>
                <c:pt idx="105">
                  <c:v>Sep-12</c:v>
                </c:pt>
                <c:pt idx="106">
                  <c:v>Oct-12</c:v>
                </c:pt>
                <c:pt idx="107">
                  <c:v>Nov-12</c:v>
                </c:pt>
                <c:pt idx="108">
                  <c:v>Dec-12</c:v>
                </c:pt>
                <c:pt idx="109">
                  <c:v>Jan-13</c:v>
                </c:pt>
                <c:pt idx="110">
                  <c:v>Feb-13</c:v>
                </c:pt>
                <c:pt idx="111">
                  <c:v>Mar-13</c:v>
                </c:pt>
                <c:pt idx="112">
                  <c:v>Apr-13</c:v>
                </c:pt>
                <c:pt idx="113">
                  <c:v>May-13</c:v>
                </c:pt>
                <c:pt idx="114">
                  <c:v>Jun-13</c:v>
                </c:pt>
                <c:pt idx="115">
                  <c:v>Jul-13</c:v>
                </c:pt>
                <c:pt idx="116">
                  <c:v>Aug-13</c:v>
                </c:pt>
                <c:pt idx="117">
                  <c:v>Sep-13</c:v>
                </c:pt>
                <c:pt idx="118">
                  <c:v>Oct-13</c:v>
                </c:pt>
                <c:pt idx="119">
                  <c:v>Nov-13</c:v>
                </c:pt>
                <c:pt idx="120">
                  <c:v>Dec-13</c:v>
                </c:pt>
              </c:strCache>
            </c:strRef>
          </c:cat>
          <c:val>
            <c:numRef>
              <c:f>Project_Page_1!$F$12:$F$132</c:f>
              <c:numCache>
                <c:formatCode>_("$"* #,##0.00_);_("$"* \(#,##0.00\);_("$"* "-"??_);_(@_)</c:formatCode>
                <c:ptCount val="121"/>
                <c:pt idx="0">
                  <c:v>18000000</c:v>
                </c:pt>
                <c:pt idx="1">
                  <c:v>18317626.822323579</c:v>
                </c:pt>
                <c:pt idx="2">
                  <c:v>18683360.95346285</c:v>
                </c:pt>
                <c:pt idx="3">
                  <c:v>18675873.801317446</c:v>
                </c:pt>
                <c:pt idx="4">
                  <c:v>17831388.43002915</c:v>
                </c:pt>
                <c:pt idx="5">
                  <c:v>18172771.94939971</c:v>
                </c:pt>
                <c:pt idx="6">
                  <c:v>18270354.482131913</c:v>
                </c:pt>
                <c:pt idx="7">
                  <c:v>18127493.026682045</c:v>
                </c:pt>
                <c:pt idx="8">
                  <c:v>17965762.38398746</c:v>
                </c:pt>
                <c:pt idx="9">
                  <c:v>18537863.667257689</c:v>
                </c:pt>
                <c:pt idx="10">
                  <c:v>18674924.963763189</c:v>
                </c:pt>
                <c:pt idx="11">
                  <c:v>19110584.343006689</c:v>
                </c:pt>
                <c:pt idx="12">
                  <c:v>19495639.69669624</c:v>
                </c:pt>
                <c:pt idx="13">
                  <c:v>19180527.051078618</c:v>
                </c:pt>
                <c:pt idx="14">
                  <c:v>19424744.539439611</c:v>
                </c:pt>
                <c:pt idx="15">
                  <c:v>19325095.587320141</c:v>
                </c:pt>
                <c:pt idx="16">
                  <c:v>19071677.663194936</c:v>
                </c:pt>
                <c:pt idx="17">
                  <c:v>19373704.643689871</c:v>
                </c:pt>
                <c:pt idx="18">
                  <c:v>19341563.748047836</c:v>
                </c:pt>
                <c:pt idx="19">
                  <c:v>19737727.341133546</c:v>
                </c:pt>
                <c:pt idx="20">
                  <c:v>19950748.742377821</c:v>
                </c:pt>
                <c:pt idx="21">
                  <c:v>20067897.893012349</c:v>
                </c:pt>
                <c:pt idx="22">
                  <c:v>20053155.45444525</c:v>
                </c:pt>
                <c:pt idx="23">
                  <c:v>20743391.877707247</c:v>
                </c:pt>
                <c:pt idx="24">
                  <c:v>21034344.510191575</c:v>
                </c:pt>
                <c:pt idx="25">
                  <c:v>21761850.383374926</c:v>
                </c:pt>
                <c:pt idx="26">
                  <c:v>21611988.940997586</c:v>
                </c:pt>
                <c:pt idx="27">
                  <c:v>21940406.377582282</c:v>
                </c:pt>
                <c:pt idx="28">
                  <c:v>22976687.128962409</c:v>
                </c:pt>
                <c:pt idx="29">
                  <c:v>22973876.360071395</c:v>
                </c:pt>
                <c:pt idx="30">
                  <c:v>22644130.406587925</c:v>
                </c:pt>
                <c:pt idx="31">
                  <c:v>22862170.900793735</c:v>
                </c:pt>
                <c:pt idx="32">
                  <c:v>23442133.315359689</c:v>
                </c:pt>
                <c:pt idx="33">
                  <c:v>23676958.491630532</c:v>
                </c:pt>
                <c:pt idx="34">
                  <c:v>24304273.460720692</c:v>
                </c:pt>
                <c:pt idx="35">
                  <c:v>24696690.462493133</c:v>
                </c:pt>
                <c:pt idx="36">
                  <c:v>24417145.913526379</c:v>
                </c:pt>
                <c:pt idx="37">
                  <c:v>24299631.234394643</c:v>
                </c:pt>
                <c:pt idx="38">
                  <c:v>24572884.564494763</c:v>
                </c:pt>
                <c:pt idx="39">
                  <c:v>24890289.592328329</c:v>
                </c:pt>
                <c:pt idx="40">
                  <c:v>25729187.843560826</c:v>
                </c:pt>
                <c:pt idx="41">
                  <c:v>25744987.828191265</c:v>
                </c:pt>
                <c:pt idx="42">
                  <c:v>25544176.086440593</c:v>
                </c:pt>
                <c:pt idx="43">
                  <c:v>25767420.264141705</c:v>
                </c:pt>
                <c:pt idx="44">
                  <c:v>25505827.429307964</c:v>
                </c:pt>
                <c:pt idx="45">
                  <c:v>26075200.601717103</c:v>
                </c:pt>
                <c:pt idx="46">
                  <c:v>26622328.025243964</c:v>
                </c:pt>
                <c:pt idx="47">
                  <c:v>26045707.84644438</c:v>
                </c:pt>
                <c:pt idx="48">
                  <c:v>25915653.959537163</c:v>
                </c:pt>
                <c:pt idx="49">
                  <c:v>26111082.9035764</c:v>
                </c:pt>
                <c:pt idx="50">
                  <c:v>26949073.265593808</c:v>
                </c:pt>
                <c:pt idx="51">
                  <c:v>26723015.884411268</c:v>
                </c:pt>
                <c:pt idx="52">
                  <c:v>26836858.382457431</c:v>
                </c:pt>
                <c:pt idx="53">
                  <c:v>26807657.91586259</c:v>
                </c:pt>
                <c:pt idx="54">
                  <c:v>26687403.225783229</c:v>
                </c:pt>
                <c:pt idx="55">
                  <c:v>26087233.817902867</c:v>
                </c:pt>
                <c:pt idx="56">
                  <c:v>25910638.108471971</c:v>
                </c:pt>
                <c:pt idx="57">
                  <c:v>24297661.072214831</c:v>
                </c:pt>
                <c:pt idx="58">
                  <c:v>21662679.040845901</c:v>
                </c:pt>
                <c:pt idx="59">
                  <c:v>20967122.026342869</c:v>
                </c:pt>
                <c:pt idx="60">
                  <c:v>20979747.456194457</c:v>
                </c:pt>
                <c:pt idx="61">
                  <c:v>20632578.707073465</c:v>
                </c:pt>
                <c:pt idx="62">
                  <c:v>20294822.752020486</c:v>
                </c:pt>
                <c:pt idx="63">
                  <c:v>21526601.708025441</c:v>
                </c:pt>
                <c:pt idx="64">
                  <c:v>22396413.77112456</c:v>
                </c:pt>
                <c:pt idx="65">
                  <c:v>22930967.808906369</c:v>
                </c:pt>
                <c:pt idx="66">
                  <c:v>23274788.289688084</c:v>
                </c:pt>
                <c:pt idx="67">
                  <c:v>24479294.548153434</c:v>
                </c:pt>
                <c:pt idx="68">
                  <c:v>24874822.003868178</c:v>
                </c:pt>
                <c:pt idx="69">
                  <c:v>25248348.537621811</c:v>
                </c:pt>
                <c:pt idx="70">
                  <c:v>25484271.281167589</c:v>
                </c:pt>
                <c:pt idx="71">
                  <c:v>26247311.687747449</c:v>
                </c:pt>
                <c:pt idx="72">
                  <c:v>26636451.342275571</c:v>
                </c:pt>
                <c:pt idx="73">
                  <c:v>25746060.180851351</c:v>
                </c:pt>
                <c:pt idx="74">
                  <c:v>26180264.833928514</c:v>
                </c:pt>
                <c:pt idx="75">
                  <c:v>27058871.399212535</c:v>
                </c:pt>
                <c:pt idx="76">
                  <c:v>27165656.387616988</c:v>
                </c:pt>
                <c:pt idx="77">
                  <c:v>26044324.137636714</c:v>
                </c:pt>
                <c:pt idx="78">
                  <c:v>25524441.427703954</c:v>
                </c:pt>
                <c:pt idx="79">
                  <c:v>26455320.503437653</c:v>
                </c:pt>
                <c:pt idx="80">
                  <c:v>26138291.765805572</c:v>
                </c:pt>
                <c:pt idx="81">
                  <c:v>27488391.591890041</c:v>
                </c:pt>
                <c:pt idx="82">
                  <c:v>28194109.482473433</c:v>
                </c:pt>
                <c:pt idx="83">
                  <c:v>27803939.504200567</c:v>
                </c:pt>
                <c:pt idx="84">
                  <c:v>28797681.720608424</c:v>
                </c:pt>
                <c:pt idx="85">
                  <c:v>29078965.202433486</c:v>
                </c:pt>
                <c:pt idx="86">
                  <c:v>29407249.848201972</c:v>
                </c:pt>
                <c:pt idx="87">
                  <c:v>28973184.960516971</c:v>
                </c:pt>
                <c:pt idx="88">
                  <c:v>29437579.33845298</c:v>
                </c:pt>
                <c:pt idx="89">
                  <c:v>29096110.534951914</c:v>
                </c:pt>
                <c:pt idx="90">
                  <c:v>28835274.823395051</c:v>
                </c:pt>
                <c:pt idx="91">
                  <c:v>29523956.219437592</c:v>
                </c:pt>
                <c:pt idx="92">
                  <c:v>28787799.86294711</c:v>
                </c:pt>
                <c:pt idx="93">
                  <c:v>27323028.170251191</c:v>
                </c:pt>
                <c:pt idx="94">
                  <c:v>28427046.153823156</c:v>
                </c:pt>
                <c:pt idx="95">
                  <c:v>28157212.587039202</c:v>
                </c:pt>
                <c:pt idx="96">
                  <c:v>27858356.888514999</c:v>
                </c:pt>
                <c:pt idx="97">
                  <c:v>29079759.951716613</c:v>
                </c:pt>
                <c:pt idx="98">
                  <c:v>29537021.063414812</c:v>
                </c:pt>
                <c:pt idx="99">
                  <c:v>29361773.742959984</c:v>
                </c:pt>
                <c:pt idx="100">
                  <c:v>29343643.05433568</c:v>
                </c:pt>
                <c:pt idx="101">
                  <c:v>28426183.991727669</c:v>
                </c:pt>
                <c:pt idx="102">
                  <c:v>28475244.302676793</c:v>
                </c:pt>
                <c:pt idx="103">
                  <c:v>28584221.166123878</c:v>
                </c:pt>
                <c:pt idx="104">
                  <c:v>28834872.642712243</c:v>
                </c:pt>
                <c:pt idx="105">
                  <c:v>29561724.446609706</c:v>
                </c:pt>
                <c:pt idx="106">
                  <c:v>28480457.660131086</c:v>
                </c:pt>
                <c:pt idx="107">
                  <c:v>28912139.826772723</c:v>
                </c:pt>
                <c:pt idx="108">
                  <c:v>28841229.428952493</c:v>
                </c:pt>
                <c:pt idx="109">
                  <c:v>29016459.807601839</c:v>
                </c:pt>
                <c:pt idx="110">
                  <c:v>28686165.889453698</c:v>
                </c:pt>
                <c:pt idx="111">
                  <c:v>28582657.899862435</c:v>
                </c:pt>
                <c:pt idx="112">
                  <c:v>28401402.502974596</c:v>
                </c:pt>
                <c:pt idx="113">
                  <c:v>28272577.328531936</c:v>
                </c:pt>
                <c:pt idx="114">
                  <c:v>27169986.171351317</c:v>
                </c:pt>
                <c:pt idx="115">
                  <c:v>27432931.50455606</c:v>
                </c:pt>
                <c:pt idx="116">
                  <c:v>27318497.53675811</c:v>
                </c:pt>
                <c:pt idx="117">
                  <c:v>27672822.212560903</c:v>
                </c:pt>
                <c:pt idx="118">
                  <c:v>28032471.406335257</c:v>
                </c:pt>
                <c:pt idx="119">
                  <c:v>27864690.94114757</c:v>
                </c:pt>
                <c:pt idx="120">
                  <c:v>28205037.600864965</c:v>
                </c:pt>
              </c:numCache>
            </c:numRef>
          </c:val>
          <c:smooth val="0"/>
          <c:extLst>
            <c:ext xmlns:c16="http://schemas.microsoft.com/office/drawing/2014/chart" uri="{C3380CC4-5D6E-409C-BE32-E72D297353CC}">
              <c16:uniqueId val="{00000000-7854-EC4A-AA24-CB14F248B97C}"/>
            </c:ext>
          </c:extLst>
        </c:ser>
        <c:dLbls>
          <c:showLegendKey val="0"/>
          <c:showVal val="0"/>
          <c:showCatName val="0"/>
          <c:showSerName val="0"/>
          <c:showPercent val="0"/>
          <c:showBubbleSize val="0"/>
        </c:dLbls>
        <c:smooth val="0"/>
        <c:axId val="956198719"/>
        <c:axId val="956202303"/>
      </c:lineChart>
      <c:catAx>
        <c:axId val="95619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202303"/>
        <c:crosses val="autoZero"/>
        <c:auto val="0"/>
        <c:lblAlgn val="ctr"/>
        <c:lblOffset val="100"/>
        <c:noMultiLvlLbl val="0"/>
      </c:catAx>
      <c:valAx>
        <c:axId val="956202303"/>
        <c:scaling>
          <c:orientation val="minMax"/>
        </c:scaling>
        <c:delete val="0"/>
        <c:axPos val="l"/>
        <c:majorGridlines>
          <c:spPr>
            <a:ln w="9525" cap="flat" cmpd="sng" algn="ctr">
              <a:solidFill>
                <a:schemeClr val="accent1">
                  <a:alpha val="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1987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Project_Page_5_RP!$AC$2</c:f>
              <c:strCache>
                <c:ptCount val="1"/>
                <c:pt idx="0">
                  <c:v>Vol RP TR</c:v>
                </c:pt>
              </c:strCache>
            </c:strRef>
          </c:tx>
          <c:spPr>
            <a:ln w="28575" cap="rnd">
              <a:solidFill>
                <a:schemeClr val="accent1"/>
              </a:solidFill>
              <a:round/>
            </a:ln>
            <a:effectLst/>
          </c:spPr>
          <c:marker>
            <c:symbol val="none"/>
          </c:marker>
          <c:cat>
            <c:numRef>
              <c:f>Project_Page_5_RP!$X$38:$X$122</c:f>
              <c:numCache>
                <c:formatCode>[$-409]mmm\-yy;@</c:formatCode>
                <c:ptCount val="85"/>
                <c:pt idx="0">
                  <c:v>39080</c:v>
                </c:pt>
                <c:pt idx="1">
                  <c:v>39113</c:v>
                </c:pt>
                <c:pt idx="2">
                  <c:v>39141</c:v>
                </c:pt>
                <c:pt idx="3">
                  <c:v>39171</c:v>
                </c:pt>
                <c:pt idx="4">
                  <c:v>39202</c:v>
                </c:pt>
                <c:pt idx="5">
                  <c:v>39233</c:v>
                </c:pt>
                <c:pt idx="6">
                  <c:v>39262</c:v>
                </c:pt>
                <c:pt idx="7">
                  <c:v>39294</c:v>
                </c:pt>
                <c:pt idx="8">
                  <c:v>39325</c:v>
                </c:pt>
                <c:pt idx="9">
                  <c:v>39353</c:v>
                </c:pt>
                <c:pt idx="10">
                  <c:v>39386</c:v>
                </c:pt>
                <c:pt idx="11">
                  <c:v>39416</c:v>
                </c:pt>
                <c:pt idx="12">
                  <c:v>39447</c:v>
                </c:pt>
                <c:pt idx="13">
                  <c:v>39478</c:v>
                </c:pt>
                <c:pt idx="14">
                  <c:v>39507</c:v>
                </c:pt>
                <c:pt idx="15">
                  <c:v>39538</c:v>
                </c:pt>
                <c:pt idx="16">
                  <c:v>39568</c:v>
                </c:pt>
                <c:pt idx="17">
                  <c:v>39598</c:v>
                </c:pt>
                <c:pt idx="18">
                  <c:v>39629</c:v>
                </c:pt>
                <c:pt idx="19">
                  <c:v>39660</c:v>
                </c:pt>
                <c:pt idx="20">
                  <c:v>39689</c:v>
                </c:pt>
                <c:pt idx="21">
                  <c:v>39721</c:v>
                </c:pt>
                <c:pt idx="22">
                  <c:v>39752</c:v>
                </c:pt>
                <c:pt idx="23">
                  <c:v>39780</c:v>
                </c:pt>
                <c:pt idx="24">
                  <c:v>39813</c:v>
                </c:pt>
                <c:pt idx="25">
                  <c:v>39843</c:v>
                </c:pt>
                <c:pt idx="26">
                  <c:v>39871</c:v>
                </c:pt>
                <c:pt idx="27">
                  <c:v>39903</c:v>
                </c:pt>
                <c:pt idx="28">
                  <c:v>39933</c:v>
                </c:pt>
                <c:pt idx="29">
                  <c:v>39962</c:v>
                </c:pt>
                <c:pt idx="30">
                  <c:v>39994</c:v>
                </c:pt>
                <c:pt idx="31">
                  <c:v>40025</c:v>
                </c:pt>
                <c:pt idx="32">
                  <c:v>40056</c:v>
                </c:pt>
                <c:pt idx="33">
                  <c:v>40086</c:v>
                </c:pt>
                <c:pt idx="34">
                  <c:v>40116</c:v>
                </c:pt>
                <c:pt idx="35">
                  <c:v>40147</c:v>
                </c:pt>
                <c:pt idx="36">
                  <c:v>40178</c:v>
                </c:pt>
                <c:pt idx="37">
                  <c:v>40207</c:v>
                </c:pt>
                <c:pt idx="38">
                  <c:v>40235</c:v>
                </c:pt>
                <c:pt idx="39">
                  <c:v>40268</c:v>
                </c:pt>
                <c:pt idx="40">
                  <c:v>40298</c:v>
                </c:pt>
                <c:pt idx="41">
                  <c:v>40329</c:v>
                </c:pt>
                <c:pt idx="42">
                  <c:v>40359</c:v>
                </c:pt>
                <c:pt idx="43">
                  <c:v>40389</c:v>
                </c:pt>
                <c:pt idx="44">
                  <c:v>40421</c:v>
                </c:pt>
                <c:pt idx="45">
                  <c:v>40451</c:v>
                </c:pt>
                <c:pt idx="46">
                  <c:v>40480</c:v>
                </c:pt>
                <c:pt idx="47">
                  <c:v>40512</c:v>
                </c:pt>
                <c:pt idx="48">
                  <c:v>40543</c:v>
                </c:pt>
                <c:pt idx="49">
                  <c:v>40574</c:v>
                </c:pt>
                <c:pt idx="50">
                  <c:v>40602</c:v>
                </c:pt>
                <c:pt idx="51">
                  <c:v>40633</c:v>
                </c:pt>
                <c:pt idx="52">
                  <c:v>40662</c:v>
                </c:pt>
                <c:pt idx="53">
                  <c:v>40694</c:v>
                </c:pt>
                <c:pt idx="54">
                  <c:v>40724</c:v>
                </c:pt>
                <c:pt idx="55">
                  <c:v>40753</c:v>
                </c:pt>
                <c:pt idx="56">
                  <c:v>40786</c:v>
                </c:pt>
                <c:pt idx="57">
                  <c:v>40816</c:v>
                </c:pt>
                <c:pt idx="58">
                  <c:v>40847</c:v>
                </c:pt>
                <c:pt idx="59">
                  <c:v>40877</c:v>
                </c:pt>
                <c:pt idx="60">
                  <c:v>40907</c:v>
                </c:pt>
                <c:pt idx="61">
                  <c:v>40939</c:v>
                </c:pt>
                <c:pt idx="62">
                  <c:v>40968</c:v>
                </c:pt>
                <c:pt idx="63">
                  <c:v>40998</c:v>
                </c:pt>
                <c:pt idx="64">
                  <c:v>41029</c:v>
                </c:pt>
                <c:pt idx="65">
                  <c:v>41060</c:v>
                </c:pt>
                <c:pt idx="66">
                  <c:v>41089</c:v>
                </c:pt>
                <c:pt idx="67">
                  <c:v>41121</c:v>
                </c:pt>
                <c:pt idx="68">
                  <c:v>41152</c:v>
                </c:pt>
                <c:pt idx="69">
                  <c:v>41180</c:v>
                </c:pt>
                <c:pt idx="70">
                  <c:v>41213</c:v>
                </c:pt>
                <c:pt idx="71">
                  <c:v>41243</c:v>
                </c:pt>
                <c:pt idx="72">
                  <c:v>41274</c:v>
                </c:pt>
                <c:pt idx="73">
                  <c:v>41305</c:v>
                </c:pt>
                <c:pt idx="74">
                  <c:v>41333</c:v>
                </c:pt>
                <c:pt idx="75">
                  <c:v>41362</c:v>
                </c:pt>
                <c:pt idx="76">
                  <c:v>41394</c:v>
                </c:pt>
                <c:pt idx="77">
                  <c:v>41425</c:v>
                </c:pt>
                <c:pt idx="78">
                  <c:v>41453</c:v>
                </c:pt>
                <c:pt idx="79">
                  <c:v>41486</c:v>
                </c:pt>
                <c:pt idx="80">
                  <c:v>41516</c:v>
                </c:pt>
                <c:pt idx="81">
                  <c:v>41547</c:v>
                </c:pt>
                <c:pt idx="82">
                  <c:v>41578</c:v>
                </c:pt>
                <c:pt idx="83">
                  <c:v>41607</c:v>
                </c:pt>
                <c:pt idx="84">
                  <c:v>41639</c:v>
                </c:pt>
              </c:numCache>
            </c:numRef>
          </c:cat>
          <c:val>
            <c:numRef>
              <c:f>Project_Page_5_RP!$AC$38:$AC$122</c:f>
              <c:numCache>
                <c:formatCode>0.00</c:formatCode>
                <c:ptCount val="85"/>
                <c:pt idx="0">
                  <c:v>100</c:v>
                </c:pt>
                <c:pt idx="1">
                  <c:v>100.07165871065764</c:v>
                </c:pt>
                <c:pt idx="2">
                  <c:v>101.16470395603719</c:v>
                </c:pt>
                <c:pt idx="3">
                  <c:v>101.69957157247381</c:v>
                </c:pt>
                <c:pt idx="4">
                  <c:v>103.34994999822371</c:v>
                </c:pt>
                <c:pt idx="5">
                  <c:v>103.36590173130051</c:v>
                </c:pt>
                <c:pt idx="6">
                  <c:v>103.30735239241733</c:v>
                </c:pt>
                <c:pt idx="7">
                  <c:v>104.35919298849485</c:v>
                </c:pt>
                <c:pt idx="8">
                  <c:v>104.38433586043887</c:v>
                </c:pt>
                <c:pt idx="9">
                  <c:v>106.1986072995234</c:v>
                </c:pt>
                <c:pt idx="10">
                  <c:v>108.25340827829338</c:v>
                </c:pt>
                <c:pt idx="11">
                  <c:v>108.80086470720251</c:v>
                </c:pt>
                <c:pt idx="12">
                  <c:v>109.00392188928694</c:v>
                </c:pt>
                <c:pt idx="13">
                  <c:v>110.75546781064315</c:v>
                </c:pt>
                <c:pt idx="14">
                  <c:v>112.84575153938506</c:v>
                </c:pt>
                <c:pt idx="15">
                  <c:v>112.75309945440505</c:v>
                </c:pt>
                <c:pt idx="16">
                  <c:v>112.56383950469862</c:v>
                </c:pt>
                <c:pt idx="17">
                  <c:v>112.82768193494054</c:v>
                </c:pt>
                <c:pt idx="18">
                  <c:v>113.04506976331062</c:v>
                </c:pt>
                <c:pt idx="19">
                  <c:v>111.6169683548777</c:v>
                </c:pt>
                <c:pt idx="20">
                  <c:v>111.98678110004661</c:v>
                </c:pt>
                <c:pt idx="21">
                  <c:v>109.22067550778776</c:v>
                </c:pt>
                <c:pt idx="22">
                  <c:v>103.93899043386826</c:v>
                </c:pt>
                <c:pt idx="23">
                  <c:v>104.77234032457059</c:v>
                </c:pt>
                <c:pt idx="24">
                  <c:v>106.78608981865135</c:v>
                </c:pt>
                <c:pt idx="25">
                  <c:v>106.56702817388165</c:v>
                </c:pt>
                <c:pt idx="26">
                  <c:v>105.65479217032997</c:v>
                </c:pt>
                <c:pt idx="27">
                  <c:v>109.29598949219159</c:v>
                </c:pt>
                <c:pt idx="28">
                  <c:v>110.69026186627481</c:v>
                </c:pt>
                <c:pt idx="29">
                  <c:v>112.46354719681585</c:v>
                </c:pt>
                <c:pt idx="30">
                  <c:v>112.76658880661175</c:v>
                </c:pt>
                <c:pt idx="31">
                  <c:v>115.14192944042877</c:v>
                </c:pt>
                <c:pt idx="32">
                  <c:v>116.1826904433057</c:v>
                </c:pt>
                <c:pt idx="33">
                  <c:v>117.90077322234488</c:v>
                </c:pt>
                <c:pt idx="34">
                  <c:v>118.76978250132636</c:v>
                </c:pt>
                <c:pt idx="35">
                  <c:v>121.40962709154547</c:v>
                </c:pt>
                <c:pt idx="36">
                  <c:v>120.69367360952315</c:v>
                </c:pt>
                <c:pt idx="37">
                  <c:v>120.02955224288542</c:v>
                </c:pt>
                <c:pt idx="38">
                  <c:v>120.56001809935891</c:v>
                </c:pt>
                <c:pt idx="39">
                  <c:v>122.10870913127981</c:v>
                </c:pt>
                <c:pt idx="40">
                  <c:v>123.35891680148754</c:v>
                </c:pt>
                <c:pt idx="41">
                  <c:v>122.06171932222006</c:v>
                </c:pt>
                <c:pt idx="42">
                  <c:v>122.16213902513002</c:v>
                </c:pt>
                <c:pt idx="43">
                  <c:v>123.99257060042599</c:v>
                </c:pt>
                <c:pt idx="44">
                  <c:v>124.25770402302228</c:v>
                </c:pt>
                <c:pt idx="45">
                  <c:v>127.12012240602536</c:v>
                </c:pt>
                <c:pt idx="46">
                  <c:v>129.64924374519271</c:v>
                </c:pt>
                <c:pt idx="47">
                  <c:v>128.5808095395783</c:v>
                </c:pt>
                <c:pt idx="48">
                  <c:v>130.09318418777329</c:v>
                </c:pt>
                <c:pt idx="49">
                  <c:v>130.53747201212215</c:v>
                </c:pt>
                <c:pt idx="50">
                  <c:v>131.59077288483979</c:v>
                </c:pt>
                <c:pt idx="51">
                  <c:v>131.08944761254534</c:v>
                </c:pt>
                <c:pt idx="52">
                  <c:v>133.5216244548532</c:v>
                </c:pt>
                <c:pt idx="53">
                  <c:v>133.23180203796471</c:v>
                </c:pt>
                <c:pt idx="54">
                  <c:v>132.74891809622832</c:v>
                </c:pt>
                <c:pt idx="55">
                  <c:v>135.42651156923637</c:v>
                </c:pt>
                <c:pt idx="56">
                  <c:v>135.19859899866179</c:v>
                </c:pt>
                <c:pt idx="57">
                  <c:v>133.14246010737855</c:v>
                </c:pt>
                <c:pt idx="58">
                  <c:v>134.90803679689836</c:v>
                </c:pt>
                <c:pt idx="59">
                  <c:v>134.80165420444919</c:v>
                </c:pt>
                <c:pt idx="60">
                  <c:v>134.79756663144892</c:v>
                </c:pt>
                <c:pt idx="61">
                  <c:v>137.67657574984918</c:v>
                </c:pt>
                <c:pt idx="62">
                  <c:v>138.67775040604135</c:v>
                </c:pt>
                <c:pt idx="63">
                  <c:v>138.22975590273916</c:v>
                </c:pt>
                <c:pt idx="64">
                  <c:v>138.85632414233507</c:v>
                </c:pt>
                <c:pt idx="65">
                  <c:v>138.27254068749758</c:v>
                </c:pt>
                <c:pt idx="66">
                  <c:v>138.08243988499279</c:v>
                </c:pt>
                <c:pt idx="67">
                  <c:v>139.56547375984141</c:v>
                </c:pt>
                <c:pt idx="68">
                  <c:v>140.08957475368706</c:v>
                </c:pt>
                <c:pt idx="69">
                  <c:v>141.42743900530888</c:v>
                </c:pt>
                <c:pt idx="70">
                  <c:v>139.51939664718697</c:v>
                </c:pt>
                <c:pt idx="71">
                  <c:v>140.1956095946436</c:v>
                </c:pt>
                <c:pt idx="72">
                  <c:v>140.32997275747587</c:v>
                </c:pt>
                <c:pt idx="73">
                  <c:v>140.61152228927543</c:v>
                </c:pt>
                <c:pt idx="74">
                  <c:v>140.39376483220263</c:v>
                </c:pt>
                <c:pt idx="75">
                  <c:v>140.6915093439583</c:v>
                </c:pt>
                <c:pt idx="76">
                  <c:v>141.15018896132986</c:v>
                </c:pt>
                <c:pt idx="77">
                  <c:v>138.94396533135247</c:v>
                </c:pt>
                <c:pt idx="78">
                  <c:v>135.36543277662949</c:v>
                </c:pt>
                <c:pt idx="79">
                  <c:v>135.98187207034428</c:v>
                </c:pt>
                <c:pt idx="80">
                  <c:v>135.22854074811067</c:v>
                </c:pt>
                <c:pt idx="81">
                  <c:v>136.84121930362087</c:v>
                </c:pt>
                <c:pt idx="82">
                  <c:v>138.23055162060348</c:v>
                </c:pt>
                <c:pt idx="83">
                  <c:v>137.74692959620373</c:v>
                </c:pt>
                <c:pt idx="84">
                  <c:v>137.76360907625005</c:v>
                </c:pt>
              </c:numCache>
            </c:numRef>
          </c:val>
          <c:smooth val="0"/>
          <c:extLst>
            <c:ext xmlns:c16="http://schemas.microsoft.com/office/drawing/2014/chart" uri="{C3380CC4-5D6E-409C-BE32-E72D297353CC}">
              <c16:uniqueId val="{00000000-2E8A-E24F-AF9F-D6B9D16A1DCE}"/>
            </c:ext>
          </c:extLst>
        </c:ser>
        <c:ser>
          <c:idx val="1"/>
          <c:order val="1"/>
          <c:tx>
            <c:strRef>
              <c:f>Project_Page_5_RP!$AD$2</c:f>
              <c:strCache>
                <c:ptCount val="1"/>
                <c:pt idx="0">
                  <c:v>Covar RP TR</c:v>
                </c:pt>
              </c:strCache>
            </c:strRef>
          </c:tx>
          <c:spPr>
            <a:ln w="28575" cap="rnd">
              <a:solidFill>
                <a:schemeClr val="accent2"/>
              </a:solidFill>
              <a:round/>
            </a:ln>
            <a:effectLst/>
          </c:spPr>
          <c:marker>
            <c:symbol val="none"/>
          </c:marker>
          <c:cat>
            <c:numRef>
              <c:f>Project_Page_5_RP!$X$38:$X$122</c:f>
              <c:numCache>
                <c:formatCode>[$-409]mmm\-yy;@</c:formatCode>
                <c:ptCount val="85"/>
                <c:pt idx="0">
                  <c:v>39080</c:v>
                </c:pt>
                <c:pt idx="1">
                  <c:v>39113</c:v>
                </c:pt>
                <c:pt idx="2">
                  <c:v>39141</c:v>
                </c:pt>
                <c:pt idx="3">
                  <c:v>39171</c:v>
                </c:pt>
                <c:pt idx="4">
                  <c:v>39202</c:v>
                </c:pt>
                <c:pt idx="5">
                  <c:v>39233</c:v>
                </c:pt>
                <c:pt idx="6">
                  <c:v>39262</c:v>
                </c:pt>
                <c:pt idx="7">
                  <c:v>39294</c:v>
                </c:pt>
                <c:pt idx="8">
                  <c:v>39325</c:v>
                </c:pt>
                <c:pt idx="9">
                  <c:v>39353</c:v>
                </c:pt>
                <c:pt idx="10">
                  <c:v>39386</c:v>
                </c:pt>
                <c:pt idx="11">
                  <c:v>39416</c:v>
                </c:pt>
                <c:pt idx="12">
                  <c:v>39447</c:v>
                </c:pt>
                <c:pt idx="13">
                  <c:v>39478</c:v>
                </c:pt>
                <c:pt idx="14">
                  <c:v>39507</c:v>
                </c:pt>
                <c:pt idx="15">
                  <c:v>39538</c:v>
                </c:pt>
                <c:pt idx="16">
                  <c:v>39568</c:v>
                </c:pt>
                <c:pt idx="17">
                  <c:v>39598</c:v>
                </c:pt>
                <c:pt idx="18">
                  <c:v>39629</c:v>
                </c:pt>
                <c:pt idx="19">
                  <c:v>39660</c:v>
                </c:pt>
                <c:pt idx="20">
                  <c:v>39689</c:v>
                </c:pt>
                <c:pt idx="21">
                  <c:v>39721</c:v>
                </c:pt>
                <c:pt idx="22">
                  <c:v>39752</c:v>
                </c:pt>
                <c:pt idx="23">
                  <c:v>39780</c:v>
                </c:pt>
                <c:pt idx="24">
                  <c:v>39813</c:v>
                </c:pt>
                <c:pt idx="25">
                  <c:v>39843</c:v>
                </c:pt>
                <c:pt idx="26">
                  <c:v>39871</c:v>
                </c:pt>
                <c:pt idx="27">
                  <c:v>39903</c:v>
                </c:pt>
                <c:pt idx="28">
                  <c:v>39933</c:v>
                </c:pt>
                <c:pt idx="29">
                  <c:v>39962</c:v>
                </c:pt>
                <c:pt idx="30">
                  <c:v>39994</c:v>
                </c:pt>
                <c:pt idx="31">
                  <c:v>40025</c:v>
                </c:pt>
                <c:pt idx="32">
                  <c:v>40056</c:v>
                </c:pt>
                <c:pt idx="33">
                  <c:v>40086</c:v>
                </c:pt>
                <c:pt idx="34">
                  <c:v>40116</c:v>
                </c:pt>
                <c:pt idx="35">
                  <c:v>40147</c:v>
                </c:pt>
                <c:pt idx="36">
                  <c:v>40178</c:v>
                </c:pt>
                <c:pt idx="37">
                  <c:v>40207</c:v>
                </c:pt>
                <c:pt idx="38">
                  <c:v>40235</c:v>
                </c:pt>
                <c:pt idx="39">
                  <c:v>40268</c:v>
                </c:pt>
                <c:pt idx="40">
                  <c:v>40298</c:v>
                </c:pt>
                <c:pt idx="41">
                  <c:v>40329</c:v>
                </c:pt>
                <c:pt idx="42">
                  <c:v>40359</c:v>
                </c:pt>
                <c:pt idx="43">
                  <c:v>40389</c:v>
                </c:pt>
                <c:pt idx="44">
                  <c:v>40421</c:v>
                </c:pt>
                <c:pt idx="45">
                  <c:v>40451</c:v>
                </c:pt>
                <c:pt idx="46">
                  <c:v>40480</c:v>
                </c:pt>
                <c:pt idx="47">
                  <c:v>40512</c:v>
                </c:pt>
                <c:pt idx="48">
                  <c:v>40543</c:v>
                </c:pt>
                <c:pt idx="49">
                  <c:v>40574</c:v>
                </c:pt>
                <c:pt idx="50">
                  <c:v>40602</c:v>
                </c:pt>
                <c:pt idx="51">
                  <c:v>40633</c:v>
                </c:pt>
                <c:pt idx="52">
                  <c:v>40662</c:v>
                </c:pt>
                <c:pt idx="53">
                  <c:v>40694</c:v>
                </c:pt>
                <c:pt idx="54">
                  <c:v>40724</c:v>
                </c:pt>
                <c:pt idx="55">
                  <c:v>40753</c:v>
                </c:pt>
                <c:pt idx="56">
                  <c:v>40786</c:v>
                </c:pt>
                <c:pt idx="57">
                  <c:v>40816</c:v>
                </c:pt>
                <c:pt idx="58">
                  <c:v>40847</c:v>
                </c:pt>
                <c:pt idx="59">
                  <c:v>40877</c:v>
                </c:pt>
                <c:pt idx="60">
                  <c:v>40907</c:v>
                </c:pt>
                <c:pt idx="61">
                  <c:v>40939</c:v>
                </c:pt>
                <c:pt idx="62">
                  <c:v>40968</c:v>
                </c:pt>
                <c:pt idx="63">
                  <c:v>40998</c:v>
                </c:pt>
                <c:pt idx="64">
                  <c:v>41029</c:v>
                </c:pt>
                <c:pt idx="65">
                  <c:v>41060</c:v>
                </c:pt>
                <c:pt idx="66">
                  <c:v>41089</c:v>
                </c:pt>
                <c:pt idx="67">
                  <c:v>41121</c:v>
                </c:pt>
                <c:pt idx="68">
                  <c:v>41152</c:v>
                </c:pt>
                <c:pt idx="69">
                  <c:v>41180</c:v>
                </c:pt>
                <c:pt idx="70">
                  <c:v>41213</c:v>
                </c:pt>
                <c:pt idx="71">
                  <c:v>41243</c:v>
                </c:pt>
                <c:pt idx="72">
                  <c:v>41274</c:v>
                </c:pt>
                <c:pt idx="73">
                  <c:v>41305</c:v>
                </c:pt>
                <c:pt idx="74">
                  <c:v>41333</c:v>
                </c:pt>
                <c:pt idx="75">
                  <c:v>41362</c:v>
                </c:pt>
                <c:pt idx="76">
                  <c:v>41394</c:v>
                </c:pt>
                <c:pt idx="77">
                  <c:v>41425</c:v>
                </c:pt>
                <c:pt idx="78">
                  <c:v>41453</c:v>
                </c:pt>
                <c:pt idx="79">
                  <c:v>41486</c:v>
                </c:pt>
                <c:pt idx="80">
                  <c:v>41516</c:v>
                </c:pt>
                <c:pt idx="81">
                  <c:v>41547</c:v>
                </c:pt>
                <c:pt idx="82">
                  <c:v>41578</c:v>
                </c:pt>
                <c:pt idx="83">
                  <c:v>41607</c:v>
                </c:pt>
                <c:pt idx="84">
                  <c:v>41639</c:v>
                </c:pt>
              </c:numCache>
            </c:numRef>
          </c:cat>
          <c:val>
            <c:numRef>
              <c:f>Project_Page_5_RP!$AD$38:$AD$122</c:f>
              <c:numCache>
                <c:formatCode>0.00</c:formatCode>
                <c:ptCount val="85"/>
                <c:pt idx="0">
                  <c:v>100</c:v>
                </c:pt>
                <c:pt idx="1">
                  <c:v>100.05758069400459</c:v>
                </c:pt>
                <c:pt idx="2">
                  <c:v>101.13629989013943</c:v>
                </c:pt>
                <c:pt idx="3">
                  <c:v>101.70491791853756</c:v>
                </c:pt>
                <c:pt idx="4">
                  <c:v>103.42440999685434</c:v>
                </c:pt>
                <c:pt idx="5">
                  <c:v>103.34192680762087</c:v>
                </c:pt>
                <c:pt idx="6">
                  <c:v>103.28550226201669</c:v>
                </c:pt>
                <c:pt idx="7">
                  <c:v>104.3866990971225</c:v>
                </c:pt>
                <c:pt idx="8">
                  <c:v>104.4189516267558</c:v>
                </c:pt>
                <c:pt idx="9">
                  <c:v>106.21146157785114</c:v>
                </c:pt>
                <c:pt idx="10">
                  <c:v>108.2465323720062</c:v>
                </c:pt>
                <c:pt idx="11">
                  <c:v>108.90798788273101</c:v>
                </c:pt>
                <c:pt idx="12">
                  <c:v>109.05724354559429</c:v>
                </c:pt>
                <c:pt idx="13">
                  <c:v>110.87843496573079</c:v>
                </c:pt>
                <c:pt idx="14">
                  <c:v>112.85810695286406</c:v>
                </c:pt>
                <c:pt idx="15">
                  <c:v>112.86774966868482</c:v>
                </c:pt>
                <c:pt idx="16">
                  <c:v>112.84374961802673</c:v>
                </c:pt>
                <c:pt idx="17">
                  <c:v>113.23741276531312</c:v>
                </c:pt>
                <c:pt idx="18">
                  <c:v>113.00024661569145</c:v>
                </c:pt>
                <c:pt idx="19">
                  <c:v>111.65476485777458</c:v>
                </c:pt>
                <c:pt idx="20">
                  <c:v>112.22955223974942</c:v>
                </c:pt>
                <c:pt idx="21">
                  <c:v>109.01435953935383</c:v>
                </c:pt>
                <c:pt idx="22">
                  <c:v>104.11063689801311</c:v>
                </c:pt>
                <c:pt idx="23">
                  <c:v>105.57900781738481</c:v>
                </c:pt>
                <c:pt idx="24">
                  <c:v>107.33611182199789</c:v>
                </c:pt>
                <c:pt idx="25">
                  <c:v>107.09313110579915</c:v>
                </c:pt>
                <c:pt idx="26">
                  <c:v>106.60017903317743</c:v>
                </c:pt>
                <c:pt idx="27">
                  <c:v>109.37796858249862</c:v>
                </c:pt>
                <c:pt idx="28">
                  <c:v>110.62104500837373</c:v>
                </c:pt>
                <c:pt idx="29">
                  <c:v>112.53965004723959</c:v>
                </c:pt>
                <c:pt idx="30">
                  <c:v>112.66318568513081</c:v>
                </c:pt>
                <c:pt idx="31">
                  <c:v>114.66426974449183</c:v>
                </c:pt>
                <c:pt idx="32">
                  <c:v>115.59849345472816</c:v>
                </c:pt>
                <c:pt idx="33">
                  <c:v>117.18420993076295</c:v>
                </c:pt>
                <c:pt idx="34">
                  <c:v>117.76812153755266</c:v>
                </c:pt>
                <c:pt idx="35">
                  <c:v>120.16106524151239</c:v>
                </c:pt>
                <c:pt idx="36">
                  <c:v>119.29704429908725</c:v>
                </c:pt>
                <c:pt idx="37">
                  <c:v>118.5652322705463</c:v>
                </c:pt>
                <c:pt idx="38">
                  <c:v>119.14149964928984</c:v>
                </c:pt>
                <c:pt idx="39">
                  <c:v>120.58914104869957</c:v>
                </c:pt>
                <c:pt idx="40">
                  <c:v>121.58141802952387</c:v>
                </c:pt>
                <c:pt idx="41">
                  <c:v>120.60227188947513</c:v>
                </c:pt>
                <c:pt idx="42">
                  <c:v>120.79874895207898</c:v>
                </c:pt>
                <c:pt idx="43">
                  <c:v>122.36278470240393</c:v>
                </c:pt>
                <c:pt idx="44">
                  <c:v>122.67971628370285</c:v>
                </c:pt>
                <c:pt idx="45">
                  <c:v>124.92349763654796</c:v>
                </c:pt>
                <c:pt idx="46">
                  <c:v>127.13671782088689</c:v>
                </c:pt>
                <c:pt idx="47">
                  <c:v>126.30524897002319</c:v>
                </c:pt>
                <c:pt idx="48">
                  <c:v>127.82071989822965</c:v>
                </c:pt>
                <c:pt idx="49">
                  <c:v>128.02343419506883</c:v>
                </c:pt>
                <c:pt idx="50">
                  <c:v>128.95292715868001</c:v>
                </c:pt>
                <c:pt idx="51">
                  <c:v>128.48699701429939</c:v>
                </c:pt>
                <c:pt idx="52">
                  <c:v>130.65147780436118</c:v>
                </c:pt>
                <c:pt idx="53">
                  <c:v>130.38829303823354</c:v>
                </c:pt>
                <c:pt idx="54">
                  <c:v>129.80286751400988</c:v>
                </c:pt>
                <c:pt idx="55">
                  <c:v>131.93074682262056</c:v>
                </c:pt>
                <c:pt idx="56">
                  <c:v>132.04226048975312</c:v>
                </c:pt>
                <c:pt idx="57">
                  <c:v>130.46705752439391</c:v>
                </c:pt>
                <c:pt idx="58">
                  <c:v>131.47730742224783</c:v>
                </c:pt>
                <c:pt idx="59">
                  <c:v>131.39146766926095</c:v>
                </c:pt>
                <c:pt idx="60">
                  <c:v>131.64085367682731</c:v>
                </c:pt>
                <c:pt idx="61">
                  <c:v>133.66846865364269</c:v>
                </c:pt>
                <c:pt idx="62">
                  <c:v>134.33966048215606</c:v>
                </c:pt>
                <c:pt idx="63">
                  <c:v>134.03208124077906</c:v>
                </c:pt>
                <c:pt idx="64">
                  <c:v>134.79832093608661</c:v>
                </c:pt>
                <c:pt idx="65">
                  <c:v>134.56294246345027</c:v>
                </c:pt>
                <c:pt idx="66">
                  <c:v>134.50226430801661</c:v>
                </c:pt>
                <c:pt idx="67">
                  <c:v>135.82852428326166</c:v>
                </c:pt>
                <c:pt idx="68">
                  <c:v>136.24621786719362</c:v>
                </c:pt>
                <c:pt idx="69">
                  <c:v>137.27784849014949</c:v>
                </c:pt>
                <c:pt idx="70">
                  <c:v>135.98766918479521</c:v>
                </c:pt>
                <c:pt idx="71">
                  <c:v>136.39225979416196</c:v>
                </c:pt>
                <c:pt idx="72">
                  <c:v>136.48672538417412</c:v>
                </c:pt>
                <c:pt idx="73">
                  <c:v>136.31539746147067</c:v>
                </c:pt>
                <c:pt idx="74">
                  <c:v>136.3972858702362</c:v>
                </c:pt>
                <c:pt idx="75">
                  <c:v>136.65792233135176</c:v>
                </c:pt>
                <c:pt idx="76">
                  <c:v>137.22904382601746</c:v>
                </c:pt>
                <c:pt idx="77">
                  <c:v>134.97030523483767</c:v>
                </c:pt>
                <c:pt idx="78">
                  <c:v>132.06728953836443</c:v>
                </c:pt>
                <c:pt idx="79">
                  <c:v>132.50997847584753</c:v>
                </c:pt>
                <c:pt idx="80">
                  <c:v>131.90371019167196</c:v>
                </c:pt>
                <c:pt idx="81">
                  <c:v>133.57638062464565</c:v>
                </c:pt>
                <c:pt idx="82">
                  <c:v>134.9141368469617</c:v>
                </c:pt>
                <c:pt idx="83">
                  <c:v>134.47675802942223</c:v>
                </c:pt>
                <c:pt idx="84">
                  <c:v>134.55316467840052</c:v>
                </c:pt>
              </c:numCache>
            </c:numRef>
          </c:val>
          <c:smooth val="0"/>
          <c:extLst>
            <c:ext xmlns:c16="http://schemas.microsoft.com/office/drawing/2014/chart" uri="{C3380CC4-5D6E-409C-BE32-E72D297353CC}">
              <c16:uniqueId val="{00000001-2E8A-E24F-AF9F-D6B9D16A1DCE}"/>
            </c:ext>
          </c:extLst>
        </c:ser>
        <c:ser>
          <c:idx val="2"/>
          <c:order val="2"/>
          <c:tx>
            <c:strRef>
              <c:f>Project_Page_5_RP!$AE$2</c:f>
              <c:strCache>
                <c:ptCount val="1"/>
                <c:pt idx="0">
                  <c:v>MDP TR</c:v>
                </c:pt>
              </c:strCache>
            </c:strRef>
          </c:tx>
          <c:spPr>
            <a:ln w="28575" cap="rnd">
              <a:solidFill>
                <a:schemeClr val="accent3"/>
              </a:solidFill>
              <a:round/>
            </a:ln>
            <a:effectLst/>
          </c:spPr>
          <c:marker>
            <c:symbol val="none"/>
          </c:marker>
          <c:cat>
            <c:numRef>
              <c:f>Project_Page_5_RP!$X$38:$X$122</c:f>
              <c:numCache>
                <c:formatCode>[$-409]mmm\-yy;@</c:formatCode>
                <c:ptCount val="85"/>
                <c:pt idx="0">
                  <c:v>39080</c:v>
                </c:pt>
                <c:pt idx="1">
                  <c:v>39113</c:v>
                </c:pt>
                <c:pt idx="2">
                  <c:v>39141</c:v>
                </c:pt>
                <c:pt idx="3">
                  <c:v>39171</c:v>
                </c:pt>
                <c:pt idx="4">
                  <c:v>39202</c:v>
                </c:pt>
                <c:pt idx="5">
                  <c:v>39233</c:v>
                </c:pt>
                <c:pt idx="6">
                  <c:v>39262</c:v>
                </c:pt>
                <c:pt idx="7">
                  <c:v>39294</c:v>
                </c:pt>
                <c:pt idx="8">
                  <c:v>39325</c:v>
                </c:pt>
                <c:pt idx="9">
                  <c:v>39353</c:v>
                </c:pt>
                <c:pt idx="10">
                  <c:v>39386</c:v>
                </c:pt>
                <c:pt idx="11">
                  <c:v>39416</c:v>
                </c:pt>
                <c:pt idx="12">
                  <c:v>39447</c:v>
                </c:pt>
                <c:pt idx="13">
                  <c:v>39478</c:v>
                </c:pt>
                <c:pt idx="14">
                  <c:v>39507</c:v>
                </c:pt>
                <c:pt idx="15">
                  <c:v>39538</c:v>
                </c:pt>
                <c:pt idx="16">
                  <c:v>39568</c:v>
                </c:pt>
                <c:pt idx="17">
                  <c:v>39598</c:v>
                </c:pt>
                <c:pt idx="18">
                  <c:v>39629</c:v>
                </c:pt>
                <c:pt idx="19">
                  <c:v>39660</c:v>
                </c:pt>
                <c:pt idx="20">
                  <c:v>39689</c:v>
                </c:pt>
                <c:pt idx="21">
                  <c:v>39721</c:v>
                </c:pt>
                <c:pt idx="22">
                  <c:v>39752</c:v>
                </c:pt>
                <c:pt idx="23">
                  <c:v>39780</c:v>
                </c:pt>
                <c:pt idx="24">
                  <c:v>39813</c:v>
                </c:pt>
                <c:pt idx="25">
                  <c:v>39843</c:v>
                </c:pt>
                <c:pt idx="26">
                  <c:v>39871</c:v>
                </c:pt>
                <c:pt idx="27">
                  <c:v>39903</c:v>
                </c:pt>
                <c:pt idx="28">
                  <c:v>39933</c:v>
                </c:pt>
                <c:pt idx="29">
                  <c:v>39962</c:v>
                </c:pt>
                <c:pt idx="30">
                  <c:v>39994</c:v>
                </c:pt>
                <c:pt idx="31">
                  <c:v>40025</c:v>
                </c:pt>
                <c:pt idx="32">
                  <c:v>40056</c:v>
                </c:pt>
                <c:pt idx="33">
                  <c:v>40086</c:v>
                </c:pt>
                <c:pt idx="34">
                  <c:v>40116</c:v>
                </c:pt>
                <c:pt idx="35">
                  <c:v>40147</c:v>
                </c:pt>
                <c:pt idx="36">
                  <c:v>40178</c:v>
                </c:pt>
                <c:pt idx="37">
                  <c:v>40207</c:v>
                </c:pt>
                <c:pt idx="38">
                  <c:v>40235</c:v>
                </c:pt>
                <c:pt idx="39">
                  <c:v>40268</c:v>
                </c:pt>
                <c:pt idx="40">
                  <c:v>40298</c:v>
                </c:pt>
                <c:pt idx="41">
                  <c:v>40329</c:v>
                </c:pt>
                <c:pt idx="42">
                  <c:v>40359</c:v>
                </c:pt>
                <c:pt idx="43">
                  <c:v>40389</c:v>
                </c:pt>
                <c:pt idx="44">
                  <c:v>40421</c:v>
                </c:pt>
                <c:pt idx="45">
                  <c:v>40451</c:v>
                </c:pt>
                <c:pt idx="46">
                  <c:v>40480</c:v>
                </c:pt>
                <c:pt idx="47">
                  <c:v>40512</c:v>
                </c:pt>
                <c:pt idx="48">
                  <c:v>40543</c:v>
                </c:pt>
                <c:pt idx="49">
                  <c:v>40574</c:v>
                </c:pt>
                <c:pt idx="50">
                  <c:v>40602</c:v>
                </c:pt>
                <c:pt idx="51">
                  <c:v>40633</c:v>
                </c:pt>
                <c:pt idx="52">
                  <c:v>40662</c:v>
                </c:pt>
                <c:pt idx="53">
                  <c:v>40694</c:v>
                </c:pt>
                <c:pt idx="54">
                  <c:v>40724</c:v>
                </c:pt>
                <c:pt idx="55">
                  <c:v>40753</c:v>
                </c:pt>
                <c:pt idx="56">
                  <c:v>40786</c:v>
                </c:pt>
                <c:pt idx="57">
                  <c:v>40816</c:v>
                </c:pt>
                <c:pt idx="58">
                  <c:v>40847</c:v>
                </c:pt>
                <c:pt idx="59">
                  <c:v>40877</c:v>
                </c:pt>
                <c:pt idx="60">
                  <c:v>40907</c:v>
                </c:pt>
                <c:pt idx="61">
                  <c:v>40939</c:v>
                </c:pt>
                <c:pt idx="62">
                  <c:v>40968</c:v>
                </c:pt>
                <c:pt idx="63">
                  <c:v>40998</c:v>
                </c:pt>
                <c:pt idx="64">
                  <c:v>41029</c:v>
                </c:pt>
                <c:pt idx="65">
                  <c:v>41060</c:v>
                </c:pt>
                <c:pt idx="66">
                  <c:v>41089</c:v>
                </c:pt>
                <c:pt idx="67">
                  <c:v>41121</c:v>
                </c:pt>
                <c:pt idx="68">
                  <c:v>41152</c:v>
                </c:pt>
                <c:pt idx="69">
                  <c:v>41180</c:v>
                </c:pt>
                <c:pt idx="70">
                  <c:v>41213</c:v>
                </c:pt>
                <c:pt idx="71">
                  <c:v>41243</c:v>
                </c:pt>
                <c:pt idx="72">
                  <c:v>41274</c:v>
                </c:pt>
                <c:pt idx="73">
                  <c:v>41305</c:v>
                </c:pt>
                <c:pt idx="74">
                  <c:v>41333</c:v>
                </c:pt>
                <c:pt idx="75">
                  <c:v>41362</c:v>
                </c:pt>
                <c:pt idx="76">
                  <c:v>41394</c:v>
                </c:pt>
                <c:pt idx="77">
                  <c:v>41425</c:v>
                </c:pt>
                <c:pt idx="78">
                  <c:v>41453</c:v>
                </c:pt>
                <c:pt idx="79">
                  <c:v>41486</c:v>
                </c:pt>
                <c:pt idx="80">
                  <c:v>41516</c:v>
                </c:pt>
                <c:pt idx="81">
                  <c:v>41547</c:v>
                </c:pt>
                <c:pt idx="82">
                  <c:v>41578</c:v>
                </c:pt>
                <c:pt idx="83">
                  <c:v>41607</c:v>
                </c:pt>
                <c:pt idx="84">
                  <c:v>41639</c:v>
                </c:pt>
              </c:numCache>
            </c:numRef>
          </c:cat>
          <c:val>
            <c:numRef>
              <c:f>Project_Page_5_RP!$AE$38:$AE$122</c:f>
              <c:numCache>
                <c:formatCode>0.00</c:formatCode>
                <c:ptCount val="85"/>
                <c:pt idx="0">
                  <c:v>100</c:v>
                </c:pt>
                <c:pt idx="1">
                  <c:v>99.933083881989887</c:v>
                </c:pt>
                <c:pt idx="2">
                  <c:v>101.10836575028451</c:v>
                </c:pt>
                <c:pt idx="3">
                  <c:v>101.86425169834344</c:v>
                </c:pt>
                <c:pt idx="4">
                  <c:v>103.76183450220144</c:v>
                </c:pt>
                <c:pt idx="5">
                  <c:v>103.58123958032591</c:v>
                </c:pt>
                <c:pt idx="6">
                  <c:v>103.47384182795018</c:v>
                </c:pt>
                <c:pt idx="7">
                  <c:v>104.74087962713463</c:v>
                </c:pt>
                <c:pt idx="8">
                  <c:v>104.71549928022078</c:v>
                </c:pt>
                <c:pt idx="9">
                  <c:v>106.54101497915092</c:v>
                </c:pt>
                <c:pt idx="10">
                  <c:v>108.61683283906873</c:v>
                </c:pt>
                <c:pt idx="11">
                  <c:v>109.18817627595115</c:v>
                </c:pt>
                <c:pt idx="12">
                  <c:v>109.04809739343092</c:v>
                </c:pt>
                <c:pt idx="13">
                  <c:v>111.22229654638795</c:v>
                </c:pt>
                <c:pt idx="14">
                  <c:v>113.57811230837085</c:v>
                </c:pt>
                <c:pt idx="15">
                  <c:v>113.75783398494507</c:v>
                </c:pt>
                <c:pt idx="16">
                  <c:v>113.16878082703845</c:v>
                </c:pt>
                <c:pt idx="17">
                  <c:v>114.37137841893174</c:v>
                </c:pt>
                <c:pt idx="18">
                  <c:v>113.52742297697785</c:v>
                </c:pt>
                <c:pt idx="19">
                  <c:v>111.88703318764658</c:v>
                </c:pt>
                <c:pt idx="20">
                  <c:v>112.67196366087164</c:v>
                </c:pt>
                <c:pt idx="21">
                  <c:v>104.68516550972801</c:v>
                </c:pt>
                <c:pt idx="22">
                  <c:v>100.20608402689602</c:v>
                </c:pt>
                <c:pt idx="23">
                  <c:v>102.31452992335799</c:v>
                </c:pt>
                <c:pt idx="24">
                  <c:v>103.63286258204778</c:v>
                </c:pt>
                <c:pt idx="25">
                  <c:v>103.35389535299845</c:v>
                </c:pt>
                <c:pt idx="26">
                  <c:v>103.38442449768731</c:v>
                </c:pt>
                <c:pt idx="27">
                  <c:v>105.30953324776085</c:v>
                </c:pt>
                <c:pt idx="28">
                  <c:v>106.48967600682457</c:v>
                </c:pt>
                <c:pt idx="29">
                  <c:v>108.21592361530141</c:v>
                </c:pt>
                <c:pt idx="30">
                  <c:v>108.21114331314183</c:v>
                </c:pt>
                <c:pt idx="31">
                  <c:v>109.72568674305053</c:v>
                </c:pt>
                <c:pt idx="32">
                  <c:v>110.51697748584409</c:v>
                </c:pt>
                <c:pt idx="33">
                  <c:v>111.99117546130431</c:v>
                </c:pt>
                <c:pt idx="34">
                  <c:v>112.30399648570335</c:v>
                </c:pt>
                <c:pt idx="35">
                  <c:v>114.37795208036864</c:v>
                </c:pt>
                <c:pt idx="36">
                  <c:v>113.41729128059271</c:v>
                </c:pt>
                <c:pt idx="37">
                  <c:v>112.80395026499104</c:v>
                </c:pt>
                <c:pt idx="38">
                  <c:v>113.41048391858465</c:v>
                </c:pt>
                <c:pt idx="39">
                  <c:v>114.64975019648173</c:v>
                </c:pt>
                <c:pt idx="40">
                  <c:v>115.4398337147812</c:v>
                </c:pt>
                <c:pt idx="41">
                  <c:v>114.89676554449902</c:v>
                </c:pt>
                <c:pt idx="42">
                  <c:v>115.12894010329944</c:v>
                </c:pt>
                <c:pt idx="43">
                  <c:v>116.49665919058353</c:v>
                </c:pt>
                <c:pt idx="44">
                  <c:v>116.59128474823765</c:v>
                </c:pt>
                <c:pt idx="45">
                  <c:v>118.25833716552663</c:v>
                </c:pt>
                <c:pt idx="46">
                  <c:v>120.21860195159138</c:v>
                </c:pt>
                <c:pt idx="47">
                  <c:v>119.6190133558718</c:v>
                </c:pt>
                <c:pt idx="48">
                  <c:v>120.90236269524189</c:v>
                </c:pt>
                <c:pt idx="49">
                  <c:v>121.03503420591254</c:v>
                </c:pt>
                <c:pt idx="50">
                  <c:v>121.83014086875777</c:v>
                </c:pt>
                <c:pt idx="51">
                  <c:v>121.4251091065225</c:v>
                </c:pt>
                <c:pt idx="52">
                  <c:v>123.23904114124252</c:v>
                </c:pt>
                <c:pt idx="53">
                  <c:v>123.14521556450457</c:v>
                </c:pt>
                <c:pt idx="54">
                  <c:v>122.55446391853745</c:v>
                </c:pt>
                <c:pt idx="55">
                  <c:v>124.12448737017286</c:v>
                </c:pt>
                <c:pt idx="56">
                  <c:v>124.44760705800805</c:v>
                </c:pt>
                <c:pt idx="57">
                  <c:v>122.95410868618674</c:v>
                </c:pt>
                <c:pt idx="58">
                  <c:v>123.55833305233264</c:v>
                </c:pt>
                <c:pt idx="59">
                  <c:v>123.40869382053035</c:v>
                </c:pt>
                <c:pt idx="60">
                  <c:v>123.75452286511292</c:v>
                </c:pt>
                <c:pt idx="61">
                  <c:v>125.16975974343141</c:v>
                </c:pt>
                <c:pt idx="62">
                  <c:v>125.74876177724092</c:v>
                </c:pt>
                <c:pt idx="63">
                  <c:v>125.64675522997155</c:v>
                </c:pt>
                <c:pt idx="64">
                  <c:v>126.23110379884176</c:v>
                </c:pt>
                <c:pt idx="65">
                  <c:v>125.7343815106169</c:v>
                </c:pt>
                <c:pt idx="66">
                  <c:v>125.93918294300254</c:v>
                </c:pt>
                <c:pt idx="67">
                  <c:v>126.99964161320824</c:v>
                </c:pt>
                <c:pt idx="68">
                  <c:v>127.48896627242738</c:v>
                </c:pt>
                <c:pt idx="69">
                  <c:v>128.2757961322734</c:v>
                </c:pt>
                <c:pt idx="70">
                  <c:v>127.13781614313349</c:v>
                </c:pt>
                <c:pt idx="71">
                  <c:v>127.36718308352944</c:v>
                </c:pt>
                <c:pt idx="72">
                  <c:v>127.47581599844099</c:v>
                </c:pt>
                <c:pt idx="73">
                  <c:v>127.19526678706492</c:v>
                </c:pt>
                <c:pt idx="74">
                  <c:v>127.34505620356886</c:v>
                </c:pt>
                <c:pt idx="75">
                  <c:v>127.53532235784606</c:v>
                </c:pt>
                <c:pt idx="76">
                  <c:v>128.0897642781654</c:v>
                </c:pt>
                <c:pt idx="77">
                  <c:v>126.51073614306507</c:v>
                </c:pt>
                <c:pt idx="78">
                  <c:v>124.75165986474998</c:v>
                </c:pt>
                <c:pt idx="79">
                  <c:v>124.98742970920812</c:v>
                </c:pt>
                <c:pt idx="80">
                  <c:v>124.61605395774146</c:v>
                </c:pt>
                <c:pt idx="81">
                  <c:v>126.38675520765035</c:v>
                </c:pt>
                <c:pt idx="82">
                  <c:v>127.56339412055709</c:v>
                </c:pt>
                <c:pt idx="83">
                  <c:v>127.11869051221073</c:v>
                </c:pt>
                <c:pt idx="84">
                  <c:v>127.32308507452447</c:v>
                </c:pt>
              </c:numCache>
            </c:numRef>
          </c:val>
          <c:smooth val="0"/>
          <c:extLst>
            <c:ext xmlns:c16="http://schemas.microsoft.com/office/drawing/2014/chart" uri="{C3380CC4-5D6E-409C-BE32-E72D297353CC}">
              <c16:uniqueId val="{00000002-2E8A-E24F-AF9F-D6B9D16A1DCE}"/>
            </c:ext>
          </c:extLst>
        </c:ser>
        <c:ser>
          <c:idx val="3"/>
          <c:order val="3"/>
          <c:tx>
            <c:strRef>
              <c:f>Project_Page_5_RP!$AF$2</c:f>
              <c:strCache>
                <c:ptCount val="1"/>
                <c:pt idx="0">
                  <c:v>60/40 TR</c:v>
                </c:pt>
              </c:strCache>
            </c:strRef>
          </c:tx>
          <c:spPr>
            <a:ln w="28575" cap="rnd">
              <a:solidFill>
                <a:schemeClr val="accent4"/>
              </a:solidFill>
              <a:prstDash val="lgDash"/>
              <a:round/>
            </a:ln>
            <a:effectLst/>
          </c:spPr>
          <c:marker>
            <c:symbol val="none"/>
          </c:marker>
          <c:cat>
            <c:numRef>
              <c:f>Project_Page_5_RP!$X$38:$X$122</c:f>
              <c:numCache>
                <c:formatCode>[$-409]mmm\-yy;@</c:formatCode>
                <c:ptCount val="85"/>
                <c:pt idx="0">
                  <c:v>39080</c:v>
                </c:pt>
                <c:pt idx="1">
                  <c:v>39113</c:v>
                </c:pt>
                <c:pt idx="2">
                  <c:v>39141</c:v>
                </c:pt>
                <c:pt idx="3">
                  <c:v>39171</c:v>
                </c:pt>
                <c:pt idx="4">
                  <c:v>39202</c:v>
                </c:pt>
                <c:pt idx="5">
                  <c:v>39233</c:v>
                </c:pt>
                <c:pt idx="6">
                  <c:v>39262</c:v>
                </c:pt>
                <c:pt idx="7">
                  <c:v>39294</c:v>
                </c:pt>
                <c:pt idx="8">
                  <c:v>39325</c:v>
                </c:pt>
                <c:pt idx="9">
                  <c:v>39353</c:v>
                </c:pt>
                <c:pt idx="10">
                  <c:v>39386</c:v>
                </c:pt>
                <c:pt idx="11">
                  <c:v>39416</c:v>
                </c:pt>
                <c:pt idx="12">
                  <c:v>39447</c:v>
                </c:pt>
                <c:pt idx="13">
                  <c:v>39478</c:v>
                </c:pt>
                <c:pt idx="14">
                  <c:v>39507</c:v>
                </c:pt>
                <c:pt idx="15">
                  <c:v>39538</c:v>
                </c:pt>
                <c:pt idx="16">
                  <c:v>39568</c:v>
                </c:pt>
                <c:pt idx="17">
                  <c:v>39598</c:v>
                </c:pt>
                <c:pt idx="18">
                  <c:v>39629</c:v>
                </c:pt>
                <c:pt idx="19">
                  <c:v>39660</c:v>
                </c:pt>
                <c:pt idx="20">
                  <c:v>39689</c:v>
                </c:pt>
                <c:pt idx="21">
                  <c:v>39721</c:v>
                </c:pt>
                <c:pt idx="22">
                  <c:v>39752</c:v>
                </c:pt>
                <c:pt idx="23">
                  <c:v>39780</c:v>
                </c:pt>
                <c:pt idx="24">
                  <c:v>39813</c:v>
                </c:pt>
                <c:pt idx="25">
                  <c:v>39843</c:v>
                </c:pt>
                <c:pt idx="26">
                  <c:v>39871</c:v>
                </c:pt>
                <c:pt idx="27">
                  <c:v>39903</c:v>
                </c:pt>
                <c:pt idx="28">
                  <c:v>39933</c:v>
                </c:pt>
                <c:pt idx="29">
                  <c:v>39962</c:v>
                </c:pt>
                <c:pt idx="30">
                  <c:v>39994</c:v>
                </c:pt>
                <c:pt idx="31">
                  <c:v>40025</c:v>
                </c:pt>
                <c:pt idx="32">
                  <c:v>40056</c:v>
                </c:pt>
                <c:pt idx="33">
                  <c:v>40086</c:v>
                </c:pt>
                <c:pt idx="34">
                  <c:v>40116</c:v>
                </c:pt>
                <c:pt idx="35">
                  <c:v>40147</c:v>
                </c:pt>
                <c:pt idx="36">
                  <c:v>40178</c:v>
                </c:pt>
                <c:pt idx="37">
                  <c:v>40207</c:v>
                </c:pt>
                <c:pt idx="38">
                  <c:v>40235</c:v>
                </c:pt>
                <c:pt idx="39">
                  <c:v>40268</c:v>
                </c:pt>
                <c:pt idx="40">
                  <c:v>40298</c:v>
                </c:pt>
                <c:pt idx="41">
                  <c:v>40329</c:v>
                </c:pt>
                <c:pt idx="42">
                  <c:v>40359</c:v>
                </c:pt>
                <c:pt idx="43">
                  <c:v>40389</c:v>
                </c:pt>
                <c:pt idx="44">
                  <c:v>40421</c:v>
                </c:pt>
                <c:pt idx="45">
                  <c:v>40451</c:v>
                </c:pt>
                <c:pt idx="46">
                  <c:v>40480</c:v>
                </c:pt>
                <c:pt idx="47">
                  <c:v>40512</c:v>
                </c:pt>
                <c:pt idx="48">
                  <c:v>40543</c:v>
                </c:pt>
                <c:pt idx="49">
                  <c:v>40574</c:v>
                </c:pt>
                <c:pt idx="50">
                  <c:v>40602</c:v>
                </c:pt>
                <c:pt idx="51">
                  <c:v>40633</c:v>
                </c:pt>
                <c:pt idx="52">
                  <c:v>40662</c:v>
                </c:pt>
                <c:pt idx="53">
                  <c:v>40694</c:v>
                </c:pt>
                <c:pt idx="54">
                  <c:v>40724</c:v>
                </c:pt>
                <c:pt idx="55">
                  <c:v>40753</c:v>
                </c:pt>
                <c:pt idx="56">
                  <c:v>40786</c:v>
                </c:pt>
                <c:pt idx="57">
                  <c:v>40816</c:v>
                </c:pt>
                <c:pt idx="58">
                  <c:v>40847</c:v>
                </c:pt>
                <c:pt idx="59">
                  <c:v>40877</c:v>
                </c:pt>
                <c:pt idx="60">
                  <c:v>40907</c:v>
                </c:pt>
                <c:pt idx="61">
                  <c:v>40939</c:v>
                </c:pt>
                <c:pt idx="62">
                  <c:v>40968</c:v>
                </c:pt>
                <c:pt idx="63">
                  <c:v>40998</c:v>
                </c:pt>
                <c:pt idx="64">
                  <c:v>41029</c:v>
                </c:pt>
                <c:pt idx="65">
                  <c:v>41060</c:v>
                </c:pt>
                <c:pt idx="66">
                  <c:v>41089</c:v>
                </c:pt>
                <c:pt idx="67">
                  <c:v>41121</c:v>
                </c:pt>
                <c:pt idx="68">
                  <c:v>41152</c:v>
                </c:pt>
                <c:pt idx="69">
                  <c:v>41180</c:v>
                </c:pt>
                <c:pt idx="70">
                  <c:v>41213</c:v>
                </c:pt>
                <c:pt idx="71">
                  <c:v>41243</c:v>
                </c:pt>
                <c:pt idx="72">
                  <c:v>41274</c:v>
                </c:pt>
                <c:pt idx="73">
                  <c:v>41305</c:v>
                </c:pt>
                <c:pt idx="74">
                  <c:v>41333</c:v>
                </c:pt>
                <c:pt idx="75">
                  <c:v>41362</c:v>
                </c:pt>
                <c:pt idx="76">
                  <c:v>41394</c:v>
                </c:pt>
                <c:pt idx="77">
                  <c:v>41425</c:v>
                </c:pt>
                <c:pt idx="78">
                  <c:v>41453</c:v>
                </c:pt>
                <c:pt idx="79">
                  <c:v>41486</c:v>
                </c:pt>
                <c:pt idx="80">
                  <c:v>41516</c:v>
                </c:pt>
                <c:pt idx="81">
                  <c:v>41547</c:v>
                </c:pt>
                <c:pt idx="82">
                  <c:v>41578</c:v>
                </c:pt>
                <c:pt idx="83">
                  <c:v>41607</c:v>
                </c:pt>
                <c:pt idx="84">
                  <c:v>41639</c:v>
                </c:pt>
              </c:numCache>
            </c:numRef>
          </c:cat>
          <c:val>
            <c:numRef>
              <c:f>Project_Page_5_RP!$AF$38:$AF$122</c:f>
              <c:numCache>
                <c:formatCode>0.00</c:formatCode>
                <c:ptCount val="85"/>
                <c:pt idx="0">
                  <c:v>100</c:v>
                </c:pt>
                <c:pt idx="1">
                  <c:v>100.31517485307673</c:v>
                </c:pt>
                <c:pt idx="2">
                  <c:v>100.82770771905125</c:v>
                </c:pt>
                <c:pt idx="3">
                  <c:v>102.03045398950009</c:v>
                </c:pt>
                <c:pt idx="4">
                  <c:v>105.19224227485078</c:v>
                </c:pt>
                <c:pt idx="5">
                  <c:v>106.30394169569755</c:v>
                </c:pt>
                <c:pt idx="6">
                  <c:v>105.62338866122555</c:v>
                </c:pt>
                <c:pt idx="7">
                  <c:v>105.07789721925273</c:v>
                </c:pt>
                <c:pt idx="8">
                  <c:v>105.5475780250145</c:v>
                </c:pt>
                <c:pt idx="9">
                  <c:v>109.50674629264064</c:v>
                </c:pt>
                <c:pt idx="10">
                  <c:v>112.23594977903829</c:v>
                </c:pt>
                <c:pt idx="11">
                  <c:v>110.34125564823543</c:v>
                </c:pt>
                <c:pt idx="12">
                  <c:v>109.3555558849081</c:v>
                </c:pt>
                <c:pt idx="13">
                  <c:v>105.55651675702984</c:v>
                </c:pt>
                <c:pt idx="14">
                  <c:v>105.89622863098218</c:v>
                </c:pt>
                <c:pt idx="15">
                  <c:v>106.15131340818631</c:v>
                </c:pt>
                <c:pt idx="16">
                  <c:v>108.68830721970879</c:v>
                </c:pt>
                <c:pt idx="17">
                  <c:v>109.20197988366131</c:v>
                </c:pt>
                <c:pt idx="18">
                  <c:v>104.0133609723698</c:v>
                </c:pt>
                <c:pt idx="19">
                  <c:v>102.54578230111241</c:v>
                </c:pt>
                <c:pt idx="20">
                  <c:v>101.00342279436184</c:v>
                </c:pt>
                <c:pt idx="21">
                  <c:v>92.845084163241808</c:v>
                </c:pt>
                <c:pt idx="22">
                  <c:v>80.914000754660407</c:v>
                </c:pt>
                <c:pt idx="23">
                  <c:v>78.707380905880001</c:v>
                </c:pt>
                <c:pt idx="24">
                  <c:v>82.178571454587015</c:v>
                </c:pt>
                <c:pt idx="25">
                  <c:v>76.784049985134629</c:v>
                </c:pt>
                <c:pt idx="26">
                  <c:v>71.382183270948872</c:v>
                </c:pt>
                <c:pt idx="27">
                  <c:v>75.26899589311472</c:v>
                </c:pt>
                <c:pt idx="28">
                  <c:v>80.606004347523125</c:v>
                </c:pt>
                <c:pt idx="29">
                  <c:v>86.138775871889891</c:v>
                </c:pt>
                <c:pt idx="30">
                  <c:v>86.04813269085335</c:v>
                </c:pt>
                <c:pt idx="31">
                  <c:v>91.183168564325641</c:v>
                </c:pt>
                <c:pt idx="32">
                  <c:v>94.080877471025957</c:v>
                </c:pt>
                <c:pt idx="33">
                  <c:v>97.135049503294965</c:v>
                </c:pt>
                <c:pt idx="34">
                  <c:v>96.280710891907518</c:v>
                </c:pt>
                <c:pt idx="35">
                  <c:v>99.621953981831837</c:v>
                </c:pt>
                <c:pt idx="36">
                  <c:v>99.195923208316088</c:v>
                </c:pt>
                <c:pt idx="37">
                  <c:v>96.899908210338552</c:v>
                </c:pt>
                <c:pt idx="38">
                  <c:v>97.748341712742871</c:v>
                </c:pt>
                <c:pt idx="39">
                  <c:v>101.08498275415781</c:v>
                </c:pt>
                <c:pt idx="40">
                  <c:v>101.09999973550698</c:v>
                </c:pt>
                <c:pt idx="41">
                  <c:v>94.657365125281459</c:v>
                </c:pt>
                <c:pt idx="42">
                  <c:v>93.290027446768548</c:v>
                </c:pt>
                <c:pt idx="43">
                  <c:v>99.096005196634664</c:v>
                </c:pt>
                <c:pt idx="44">
                  <c:v>97.427815351743533</c:v>
                </c:pt>
                <c:pt idx="45">
                  <c:v>103.79321229398555</c:v>
                </c:pt>
                <c:pt idx="46">
                  <c:v>106.63592992419032</c:v>
                </c:pt>
                <c:pt idx="47">
                  <c:v>103.6308841841833</c:v>
                </c:pt>
                <c:pt idx="48">
                  <c:v>108.74389339134248</c:v>
                </c:pt>
                <c:pt idx="49">
                  <c:v>110.29623172172764</c:v>
                </c:pt>
                <c:pt idx="50">
                  <c:v>112.87302181321066</c:v>
                </c:pt>
                <c:pt idx="51">
                  <c:v>112.41778274732476</c:v>
                </c:pt>
                <c:pt idx="52">
                  <c:v>116.67702655727184</c:v>
                </c:pt>
                <c:pt idx="53">
                  <c:v>115.1881072835979</c:v>
                </c:pt>
                <c:pt idx="54">
                  <c:v>114.12970835257033</c:v>
                </c:pt>
                <c:pt idx="55">
                  <c:v>113.83038960551472</c:v>
                </c:pt>
                <c:pt idx="56">
                  <c:v>109.59739818572056</c:v>
                </c:pt>
                <c:pt idx="57">
                  <c:v>102.90480814740123</c:v>
                </c:pt>
                <c:pt idx="58">
                  <c:v>109.83920372187092</c:v>
                </c:pt>
                <c:pt idx="59">
                  <c:v>107.46339486875848</c:v>
                </c:pt>
                <c:pt idx="60">
                  <c:v>107.7174344674798</c:v>
                </c:pt>
                <c:pt idx="61">
                  <c:v>111.6819558279156</c:v>
                </c:pt>
                <c:pt idx="62">
                  <c:v>114.92488185569623</c:v>
                </c:pt>
                <c:pt idx="63">
                  <c:v>115.48037890943013</c:v>
                </c:pt>
                <c:pt idx="64">
                  <c:v>115.23863017122575</c:v>
                </c:pt>
                <c:pt idx="65">
                  <c:v>108.7967066317366</c:v>
                </c:pt>
                <c:pt idx="66">
                  <c:v>112.3309861987788</c:v>
                </c:pt>
                <c:pt idx="67">
                  <c:v>113.71721153297354</c:v>
                </c:pt>
                <c:pt idx="68">
                  <c:v>115.83974404253566</c:v>
                </c:pt>
                <c:pt idx="69">
                  <c:v>118.3141592772089</c:v>
                </c:pt>
                <c:pt idx="70">
                  <c:v>117.76798345424223</c:v>
                </c:pt>
                <c:pt idx="71">
                  <c:v>118.66784022235053</c:v>
                </c:pt>
                <c:pt idx="72">
                  <c:v>119.8505240365248</c:v>
                </c:pt>
                <c:pt idx="73">
                  <c:v>123.07754775675406</c:v>
                </c:pt>
                <c:pt idx="74">
                  <c:v>122.73302020927264</c:v>
                </c:pt>
                <c:pt idx="75">
                  <c:v>124.3332392353674</c:v>
                </c:pt>
                <c:pt idx="76">
                  <c:v>127.37423246953908</c:v>
                </c:pt>
                <c:pt idx="77">
                  <c:v>125.88835624077059</c:v>
                </c:pt>
                <c:pt idx="78">
                  <c:v>123.43113659315435</c:v>
                </c:pt>
                <c:pt idx="79">
                  <c:v>127.9502821978037</c:v>
                </c:pt>
                <c:pt idx="80">
                  <c:v>126.04778609121406</c:v>
                </c:pt>
                <c:pt idx="81">
                  <c:v>130.866678166122</c:v>
                </c:pt>
                <c:pt idx="82">
                  <c:v>134.45461428786044</c:v>
                </c:pt>
                <c:pt idx="83">
                  <c:v>135.44804340056399</c:v>
                </c:pt>
                <c:pt idx="84">
                  <c:v>136.8441650532003</c:v>
                </c:pt>
              </c:numCache>
            </c:numRef>
          </c:val>
          <c:smooth val="0"/>
          <c:extLst>
            <c:ext xmlns:c16="http://schemas.microsoft.com/office/drawing/2014/chart" uri="{C3380CC4-5D6E-409C-BE32-E72D297353CC}">
              <c16:uniqueId val="{00000003-2E8A-E24F-AF9F-D6B9D16A1DCE}"/>
            </c:ext>
          </c:extLst>
        </c:ser>
        <c:dLbls>
          <c:showLegendKey val="0"/>
          <c:showVal val="0"/>
          <c:showCatName val="0"/>
          <c:showSerName val="0"/>
          <c:showPercent val="0"/>
          <c:showBubbleSize val="0"/>
        </c:dLbls>
        <c:smooth val="0"/>
        <c:axId val="496715448"/>
        <c:axId val="496716104"/>
      </c:lineChart>
      <c:dateAx>
        <c:axId val="496715448"/>
        <c:scaling>
          <c:orientation val="minMax"/>
        </c:scaling>
        <c:delete val="0"/>
        <c:axPos val="b"/>
        <c:numFmt formatCode="[$-409]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496716104"/>
        <c:crosses val="autoZero"/>
        <c:auto val="1"/>
        <c:lblOffset val="100"/>
        <c:baseTimeUnit val="months"/>
      </c:dateAx>
      <c:valAx>
        <c:axId val="496716104"/>
        <c:scaling>
          <c:orientation val="minMax"/>
          <c:min val="6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6715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Project_Page_6_MVO!$F$13</c:f>
              <c:strCache>
                <c:ptCount val="1"/>
                <c:pt idx="0">
                  <c:v>Wealth (End of Month)</c:v>
                </c:pt>
              </c:strCache>
            </c:strRef>
          </c:tx>
          <c:spPr>
            <a:ln w="28575" cap="rnd">
              <a:solidFill>
                <a:schemeClr val="accent1"/>
              </a:solidFill>
              <a:round/>
            </a:ln>
            <a:effectLst/>
          </c:spPr>
          <c:marker>
            <c:symbol val="none"/>
          </c:marker>
          <c:cat>
            <c:strRef>
              <c:f>Project_Page_6_MVO!$C$14:$C$134</c:f>
              <c:strCache>
                <c:ptCount val="121"/>
                <c:pt idx="0">
                  <c:v>Start</c:v>
                </c:pt>
                <c:pt idx="1">
                  <c:v>Jan-04</c:v>
                </c:pt>
                <c:pt idx="2">
                  <c:v>Feb-04</c:v>
                </c:pt>
                <c:pt idx="3">
                  <c:v>Mar-04</c:v>
                </c:pt>
                <c:pt idx="4">
                  <c:v>Apr-04</c:v>
                </c:pt>
                <c:pt idx="5">
                  <c:v>May-04</c:v>
                </c:pt>
                <c:pt idx="6">
                  <c:v>Jun-04</c:v>
                </c:pt>
                <c:pt idx="7">
                  <c:v>Jul-04</c:v>
                </c:pt>
                <c:pt idx="8">
                  <c:v>Aug-04</c:v>
                </c:pt>
                <c:pt idx="9">
                  <c:v>Sep-04</c:v>
                </c:pt>
                <c:pt idx="10">
                  <c:v>Oct-04</c:v>
                </c:pt>
                <c:pt idx="11">
                  <c:v>Nov-04</c:v>
                </c:pt>
                <c:pt idx="12">
                  <c:v>Dec-04</c:v>
                </c:pt>
                <c:pt idx="13">
                  <c:v>Jan-05</c:v>
                </c:pt>
                <c:pt idx="14">
                  <c:v>Feb-05</c:v>
                </c:pt>
                <c:pt idx="15">
                  <c:v>Mar-05</c:v>
                </c:pt>
                <c:pt idx="16">
                  <c:v>Apr-05</c:v>
                </c:pt>
                <c:pt idx="17">
                  <c:v>May-05</c:v>
                </c:pt>
                <c:pt idx="18">
                  <c:v>Jun-05</c:v>
                </c:pt>
                <c:pt idx="19">
                  <c:v>Jul-05</c:v>
                </c:pt>
                <c:pt idx="20">
                  <c:v>Aug-05</c:v>
                </c:pt>
                <c:pt idx="21">
                  <c:v>Sep-05</c:v>
                </c:pt>
                <c:pt idx="22">
                  <c:v>Oct-05</c:v>
                </c:pt>
                <c:pt idx="23">
                  <c:v>Nov-05</c:v>
                </c:pt>
                <c:pt idx="24">
                  <c:v>Dec-05</c:v>
                </c:pt>
                <c:pt idx="25">
                  <c:v>Jan-06</c:v>
                </c:pt>
                <c:pt idx="26">
                  <c:v>Feb-06</c:v>
                </c:pt>
                <c:pt idx="27">
                  <c:v>Mar-06</c:v>
                </c:pt>
                <c:pt idx="28">
                  <c:v>Apr-06</c:v>
                </c:pt>
                <c:pt idx="29">
                  <c:v>May-06</c:v>
                </c:pt>
                <c:pt idx="30">
                  <c:v>Jun-06</c:v>
                </c:pt>
                <c:pt idx="31">
                  <c:v>Jul-06</c:v>
                </c:pt>
                <c:pt idx="32">
                  <c:v>Aug-06</c:v>
                </c:pt>
                <c:pt idx="33">
                  <c:v>Sep-06</c:v>
                </c:pt>
                <c:pt idx="34">
                  <c:v>Oct-06</c:v>
                </c:pt>
                <c:pt idx="35">
                  <c:v>Nov-06</c:v>
                </c:pt>
                <c:pt idx="36">
                  <c:v>Dec-06</c:v>
                </c:pt>
                <c:pt idx="37">
                  <c:v>Jan-07</c:v>
                </c:pt>
                <c:pt idx="38">
                  <c:v>Feb-07</c:v>
                </c:pt>
                <c:pt idx="39">
                  <c:v>Mar-07</c:v>
                </c:pt>
                <c:pt idx="40">
                  <c:v>Apr-07</c:v>
                </c:pt>
                <c:pt idx="41">
                  <c:v>May-07</c:v>
                </c:pt>
                <c:pt idx="42">
                  <c:v>Jun-07</c:v>
                </c:pt>
                <c:pt idx="43">
                  <c:v>Jul-07</c:v>
                </c:pt>
                <c:pt idx="44">
                  <c:v>Aug-07</c:v>
                </c:pt>
                <c:pt idx="45">
                  <c:v>Sep-07</c:v>
                </c:pt>
                <c:pt idx="46">
                  <c:v>Oct-07</c:v>
                </c:pt>
                <c:pt idx="47">
                  <c:v>Nov-07</c:v>
                </c:pt>
                <c:pt idx="48">
                  <c:v>Dec-07</c:v>
                </c:pt>
                <c:pt idx="49">
                  <c:v>Jan-08</c:v>
                </c:pt>
                <c:pt idx="50">
                  <c:v>Feb-08</c:v>
                </c:pt>
                <c:pt idx="51">
                  <c:v>Mar-08</c:v>
                </c:pt>
                <c:pt idx="52">
                  <c:v>Apr-08</c:v>
                </c:pt>
                <c:pt idx="53">
                  <c:v>May-08</c:v>
                </c:pt>
                <c:pt idx="54">
                  <c:v>Jun-08</c:v>
                </c:pt>
                <c:pt idx="55">
                  <c:v>Jul-08</c:v>
                </c:pt>
                <c:pt idx="56">
                  <c:v>Aug-08</c:v>
                </c:pt>
                <c:pt idx="57">
                  <c:v>Sep-08</c:v>
                </c:pt>
                <c:pt idx="58">
                  <c:v>Oct-08</c:v>
                </c:pt>
                <c:pt idx="59">
                  <c:v>Nov-08</c:v>
                </c:pt>
                <c:pt idx="60">
                  <c:v>Dec-08</c:v>
                </c:pt>
                <c:pt idx="61">
                  <c:v>Jan-09</c:v>
                </c:pt>
                <c:pt idx="62">
                  <c:v>Feb-09</c:v>
                </c:pt>
                <c:pt idx="63">
                  <c:v>Mar-09</c:v>
                </c:pt>
                <c:pt idx="64">
                  <c:v>Apr-09</c:v>
                </c:pt>
                <c:pt idx="65">
                  <c:v>May-09</c:v>
                </c:pt>
                <c:pt idx="66">
                  <c:v>Jun-09</c:v>
                </c:pt>
                <c:pt idx="67">
                  <c:v>Jul-09</c:v>
                </c:pt>
                <c:pt idx="68">
                  <c:v>Aug-09</c:v>
                </c:pt>
                <c:pt idx="69">
                  <c:v>Sep-09</c:v>
                </c:pt>
                <c:pt idx="70">
                  <c:v>Oct-09</c:v>
                </c:pt>
                <c:pt idx="71">
                  <c:v>Nov-09</c:v>
                </c:pt>
                <c:pt idx="72">
                  <c:v>Dec-09</c:v>
                </c:pt>
                <c:pt idx="73">
                  <c:v>Jan-10</c:v>
                </c:pt>
                <c:pt idx="74">
                  <c:v>Feb-10</c:v>
                </c:pt>
                <c:pt idx="75">
                  <c:v>Mar-10</c:v>
                </c:pt>
                <c:pt idx="76">
                  <c:v>Apr-10</c:v>
                </c:pt>
                <c:pt idx="77">
                  <c:v>May-10</c:v>
                </c:pt>
                <c:pt idx="78">
                  <c:v>Jun-10</c:v>
                </c:pt>
                <c:pt idx="79">
                  <c:v>Jul-10</c:v>
                </c:pt>
                <c:pt idx="80">
                  <c:v>Aug-10</c:v>
                </c:pt>
                <c:pt idx="81">
                  <c:v>Sep-10</c:v>
                </c:pt>
                <c:pt idx="82">
                  <c:v>Oct-10</c:v>
                </c:pt>
                <c:pt idx="83">
                  <c:v>Nov-10</c:v>
                </c:pt>
                <c:pt idx="84">
                  <c:v>Dec-10</c:v>
                </c:pt>
                <c:pt idx="85">
                  <c:v>Jan-11</c:v>
                </c:pt>
                <c:pt idx="86">
                  <c:v>Feb-11</c:v>
                </c:pt>
                <c:pt idx="87">
                  <c:v>Mar-11</c:v>
                </c:pt>
                <c:pt idx="88">
                  <c:v>Apr-11</c:v>
                </c:pt>
                <c:pt idx="89">
                  <c:v>May-11</c:v>
                </c:pt>
                <c:pt idx="90">
                  <c:v>Jun-11</c:v>
                </c:pt>
                <c:pt idx="91">
                  <c:v>Jul-11</c:v>
                </c:pt>
                <c:pt idx="92">
                  <c:v>Aug-11</c:v>
                </c:pt>
                <c:pt idx="93">
                  <c:v>Sep-11</c:v>
                </c:pt>
                <c:pt idx="94">
                  <c:v>Oct-11</c:v>
                </c:pt>
                <c:pt idx="95">
                  <c:v>Nov-11</c:v>
                </c:pt>
                <c:pt idx="96">
                  <c:v>Dec-11</c:v>
                </c:pt>
                <c:pt idx="97">
                  <c:v>Jan-12</c:v>
                </c:pt>
                <c:pt idx="98">
                  <c:v>Feb-12</c:v>
                </c:pt>
                <c:pt idx="99">
                  <c:v>Mar-12</c:v>
                </c:pt>
                <c:pt idx="100">
                  <c:v>Apr-12</c:v>
                </c:pt>
                <c:pt idx="101">
                  <c:v>May-12</c:v>
                </c:pt>
                <c:pt idx="102">
                  <c:v>Jun-12</c:v>
                </c:pt>
                <c:pt idx="103">
                  <c:v>Jul-12</c:v>
                </c:pt>
                <c:pt idx="104">
                  <c:v>Aug-12</c:v>
                </c:pt>
                <c:pt idx="105">
                  <c:v>Sep-12</c:v>
                </c:pt>
                <c:pt idx="106">
                  <c:v>Oct-12</c:v>
                </c:pt>
                <c:pt idx="107">
                  <c:v>Nov-12</c:v>
                </c:pt>
                <c:pt idx="108">
                  <c:v>Dec-12</c:v>
                </c:pt>
                <c:pt idx="109">
                  <c:v>Jan-13</c:v>
                </c:pt>
                <c:pt idx="110">
                  <c:v>Feb-13</c:v>
                </c:pt>
                <c:pt idx="111">
                  <c:v>Mar-13</c:v>
                </c:pt>
                <c:pt idx="112">
                  <c:v>Apr-13</c:v>
                </c:pt>
                <c:pt idx="113">
                  <c:v>May-13</c:v>
                </c:pt>
                <c:pt idx="114">
                  <c:v>Jun-13</c:v>
                </c:pt>
                <c:pt idx="115">
                  <c:v>Jul-13</c:v>
                </c:pt>
                <c:pt idx="116">
                  <c:v>Aug-13</c:v>
                </c:pt>
                <c:pt idx="117">
                  <c:v>Sep-13</c:v>
                </c:pt>
                <c:pt idx="118">
                  <c:v>Oct-13</c:v>
                </c:pt>
                <c:pt idx="119">
                  <c:v>Nov-13</c:v>
                </c:pt>
                <c:pt idx="120">
                  <c:v>Dec-13</c:v>
                </c:pt>
              </c:strCache>
            </c:strRef>
          </c:cat>
          <c:val>
            <c:numRef>
              <c:f>Project_Page_6_MVO!$F$14:$F$134</c:f>
              <c:numCache>
                <c:formatCode>_("$"* #,##0.00_);_("$"* \(#,##0.00\);_("$"* "-"??_);_(@_)</c:formatCode>
                <c:ptCount val="121"/>
                <c:pt idx="0">
                  <c:v>18000000</c:v>
                </c:pt>
                <c:pt idx="1">
                  <c:v>18276455.612317637</c:v>
                </c:pt>
                <c:pt idx="2">
                  <c:v>18486100.807085592</c:v>
                </c:pt>
                <c:pt idx="3">
                  <c:v>18488011.095551446</c:v>
                </c:pt>
                <c:pt idx="4">
                  <c:v>17774789.441736478</c:v>
                </c:pt>
                <c:pt idx="5">
                  <c:v>18060026.730651181</c:v>
                </c:pt>
                <c:pt idx="6">
                  <c:v>18191505.778631795</c:v>
                </c:pt>
                <c:pt idx="7">
                  <c:v>18046092.334400348</c:v>
                </c:pt>
                <c:pt idx="8">
                  <c:v>17989560.403809316</c:v>
                </c:pt>
                <c:pt idx="9">
                  <c:v>18331439.325222258</c:v>
                </c:pt>
                <c:pt idx="10">
                  <c:v>18571694.344733808</c:v>
                </c:pt>
                <c:pt idx="11">
                  <c:v>18850604.887094401</c:v>
                </c:pt>
                <c:pt idx="12">
                  <c:v>19154476.085729666</c:v>
                </c:pt>
                <c:pt idx="13">
                  <c:v>18918727.96065354</c:v>
                </c:pt>
                <c:pt idx="14">
                  <c:v>18991177.86068739</c:v>
                </c:pt>
                <c:pt idx="15">
                  <c:v>18871266.409852579</c:v>
                </c:pt>
                <c:pt idx="16">
                  <c:v>18775548.614325117</c:v>
                </c:pt>
                <c:pt idx="17">
                  <c:v>19126080.192849953</c:v>
                </c:pt>
                <c:pt idx="18">
                  <c:v>19093509.39291586</c:v>
                </c:pt>
                <c:pt idx="19">
                  <c:v>19325717.223841075</c:v>
                </c:pt>
                <c:pt idx="20">
                  <c:v>19523154.782985099</c:v>
                </c:pt>
                <c:pt idx="21">
                  <c:v>19542292.729956005</c:v>
                </c:pt>
                <c:pt idx="22">
                  <c:v>19410497.841958202</c:v>
                </c:pt>
                <c:pt idx="23">
                  <c:v>19883876.647185612</c:v>
                </c:pt>
                <c:pt idx="24">
                  <c:v>20020120.229575131</c:v>
                </c:pt>
                <c:pt idx="25">
                  <c:v>20438839.263021849</c:v>
                </c:pt>
                <c:pt idx="26">
                  <c:v>20356566.84748267</c:v>
                </c:pt>
                <c:pt idx="27">
                  <c:v>20444766.977415737</c:v>
                </c:pt>
                <c:pt idx="28">
                  <c:v>20888831.625003744</c:v>
                </c:pt>
                <c:pt idx="29">
                  <c:v>20712686.688770659</c:v>
                </c:pt>
                <c:pt idx="30">
                  <c:v>20545279.513393082</c:v>
                </c:pt>
                <c:pt idx="31">
                  <c:v>20667186.160103854</c:v>
                </c:pt>
                <c:pt idx="32">
                  <c:v>21228860.594652019</c:v>
                </c:pt>
                <c:pt idx="33">
                  <c:v>21463470.159345292</c:v>
                </c:pt>
                <c:pt idx="34">
                  <c:v>21860093.146181919</c:v>
                </c:pt>
                <c:pt idx="35">
                  <c:v>22201454.014811959</c:v>
                </c:pt>
                <c:pt idx="36">
                  <c:v>21947592.055142514</c:v>
                </c:pt>
                <c:pt idx="37">
                  <c:v>21937467.800049886</c:v>
                </c:pt>
                <c:pt idx="38">
                  <c:v>22110653.777984947</c:v>
                </c:pt>
                <c:pt idx="39">
                  <c:v>22283974.565240081</c:v>
                </c:pt>
                <c:pt idx="40">
                  <c:v>22825757.521269593</c:v>
                </c:pt>
                <c:pt idx="41">
                  <c:v>22840460.822473668</c:v>
                </c:pt>
                <c:pt idx="42">
                  <c:v>22731546.074347686</c:v>
                </c:pt>
                <c:pt idx="43">
                  <c:v>22923527.225349963</c:v>
                </c:pt>
                <c:pt idx="44">
                  <c:v>22973584.013066798</c:v>
                </c:pt>
                <c:pt idx="45">
                  <c:v>23388691.366314501</c:v>
                </c:pt>
                <c:pt idx="46">
                  <c:v>23910595.458047349</c:v>
                </c:pt>
                <c:pt idx="47">
                  <c:v>23700214.689609647</c:v>
                </c:pt>
                <c:pt idx="48">
                  <c:v>23681709.599317364</c:v>
                </c:pt>
                <c:pt idx="49">
                  <c:v>23706206.952424902</c:v>
                </c:pt>
                <c:pt idx="50">
                  <c:v>24029885.801022366</c:v>
                </c:pt>
                <c:pt idx="51">
                  <c:v>24003558.291012216</c:v>
                </c:pt>
                <c:pt idx="52">
                  <c:v>24126959.271639764</c:v>
                </c:pt>
                <c:pt idx="53">
                  <c:v>24237893.584131215</c:v>
                </c:pt>
                <c:pt idx="54">
                  <c:v>23983289.066105876</c:v>
                </c:pt>
                <c:pt idx="55">
                  <c:v>23637532.53550278</c:v>
                </c:pt>
                <c:pt idx="56">
                  <c:v>23720920.873267997</c:v>
                </c:pt>
                <c:pt idx="57">
                  <c:v>22560659.495661106</c:v>
                </c:pt>
                <c:pt idx="58">
                  <c:v>20535552.928069189</c:v>
                </c:pt>
                <c:pt idx="59">
                  <c:v>20204303.394357264</c:v>
                </c:pt>
                <c:pt idx="60">
                  <c:v>20513194.403473958</c:v>
                </c:pt>
                <c:pt idx="61">
                  <c:v>20306919.249770299</c:v>
                </c:pt>
                <c:pt idx="62">
                  <c:v>19958801.381779004</c:v>
                </c:pt>
                <c:pt idx="63">
                  <c:v>21080720.04851627</c:v>
                </c:pt>
                <c:pt idx="64">
                  <c:v>21743153.69144414</c:v>
                </c:pt>
                <c:pt idx="65">
                  <c:v>22078260.957186513</c:v>
                </c:pt>
                <c:pt idx="66">
                  <c:v>22311129.561833721</c:v>
                </c:pt>
                <c:pt idx="67">
                  <c:v>23153008.092416678</c:v>
                </c:pt>
                <c:pt idx="68">
                  <c:v>23433792.265368674</c:v>
                </c:pt>
                <c:pt idx="69">
                  <c:v>23820318.071211763</c:v>
                </c:pt>
                <c:pt idx="70">
                  <c:v>24004571.519269936</c:v>
                </c:pt>
                <c:pt idx="71">
                  <c:v>24639037.581805632</c:v>
                </c:pt>
                <c:pt idx="72">
                  <c:v>24776659.795481529</c:v>
                </c:pt>
                <c:pt idx="73">
                  <c:v>24278157.150943313</c:v>
                </c:pt>
                <c:pt idx="74">
                  <c:v>24530577.589080166</c:v>
                </c:pt>
                <c:pt idx="75">
                  <c:v>25077836.039740667</c:v>
                </c:pt>
                <c:pt idx="76">
                  <c:v>25298059.729422987</c:v>
                </c:pt>
                <c:pt idx="77">
                  <c:v>24619238.820367206</c:v>
                </c:pt>
                <c:pt idx="78">
                  <c:v>24326444.95739511</c:v>
                </c:pt>
                <c:pt idx="79">
                  <c:v>24995173.674502101</c:v>
                </c:pt>
                <c:pt idx="80">
                  <c:v>24701299.844697971</c:v>
                </c:pt>
                <c:pt idx="81">
                  <c:v>25674273.739349209</c:v>
                </c:pt>
                <c:pt idx="82">
                  <c:v>26305373.461393937</c:v>
                </c:pt>
                <c:pt idx="83">
                  <c:v>25988471.981085621</c:v>
                </c:pt>
                <c:pt idx="84">
                  <c:v>26456575.784143005</c:v>
                </c:pt>
                <c:pt idx="85">
                  <c:v>26703417.9941382</c:v>
                </c:pt>
                <c:pt idx="86">
                  <c:v>26924572.38410043</c:v>
                </c:pt>
                <c:pt idx="87">
                  <c:v>26676980.320241902</c:v>
                </c:pt>
                <c:pt idx="88">
                  <c:v>27140818.677775927</c:v>
                </c:pt>
                <c:pt idx="89">
                  <c:v>27014588.87536332</c:v>
                </c:pt>
                <c:pt idx="90">
                  <c:v>26844088.316800475</c:v>
                </c:pt>
                <c:pt idx="91">
                  <c:v>27406404.781667754</c:v>
                </c:pt>
                <c:pt idx="92">
                  <c:v>27003414.866877012</c:v>
                </c:pt>
                <c:pt idx="93">
                  <c:v>26220903.415075317</c:v>
                </c:pt>
                <c:pt idx="94">
                  <c:v>27086336.548346352</c:v>
                </c:pt>
                <c:pt idx="95">
                  <c:v>26951679.585319929</c:v>
                </c:pt>
                <c:pt idx="96">
                  <c:v>26819713.253349368</c:v>
                </c:pt>
                <c:pt idx="97">
                  <c:v>27721483.840014998</c:v>
                </c:pt>
                <c:pt idx="98">
                  <c:v>28126221.512888446</c:v>
                </c:pt>
                <c:pt idx="99">
                  <c:v>28157558.548076168</c:v>
                </c:pt>
                <c:pt idx="100">
                  <c:v>28197977.981691029</c:v>
                </c:pt>
                <c:pt idx="101">
                  <c:v>27608393.310929663</c:v>
                </c:pt>
                <c:pt idx="102">
                  <c:v>27690016.224055842</c:v>
                </c:pt>
                <c:pt idx="103">
                  <c:v>27864564.184814189</c:v>
                </c:pt>
                <c:pt idx="104">
                  <c:v>28121668.342188694</c:v>
                </c:pt>
                <c:pt idx="105">
                  <c:v>28536304.629716571</c:v>
                </c:pt>
                <c:pt idx="106">
                  <c:v>27805435.660526853</c:v>
                </c:pt>
                <c:pt idx="107">
                  <c:v>28031403.841284163</c:v>
                </c:pt>
                <c:pt idx="108">
                  <c:v>27950990.611282438</c:v>
                </c:pt>
                <c:pt idx="109">
                  <c:v>27983489.727434419</c:v>
                </c:pt>
                <c:pt idx="110">
                  <c:v>27868486.267132174</c:v>
                </c:pt>
                <c:pt idx="111">
                  <c:v>27903097.500147935</c:v>
                </c:pt>
                <c:pt idx="112">
                  <c:v>27885960.145696402</c:v>
                </c:pt>
                <c:pt idx="113">
                  <c:v>27631194.750690274</c:v>
                </c:pt>
                <c:pt idx="114">
                  <c:v>26683626.473894026</c:v>
                </c:pt>
                <c:pt idx="115">
                  <c:v>26930870.17029205</c:v>
                </c:pt>
                <c:pt idx="116">
                  <c:v>26774215.588193104</c:v>
                </c:pt>
                <c:pt idx="117">
                  <c:v>27164609.857339803</c:v>
                </c:pt>
                <c:pt idx="118">
                  <c:v>27529848.783699885</c:v>
                </c:pt>
                <c:pt idx="119">
                  <c:v>27453463.89767231</c:v>
                </c:pt>
                <c:pt idx="120">
                  <c:v>27598933.030643061</c:v>
                </c:pt>
              </c:numCache>
            </c:numRef>
          </c:val>
          <c:smooth val="0"/>
          <c:extLst>
            <c:ext xmlns:c16="http://schemas.microsoft.com/office/drawing/2014/chart" uri="{C3380CC4-5D6E-409C-BE32-E72D297353CC}">
              <c16:uniqueId val="{00000000-9C95-5C4B-B917-5665D39515BE}"/>
            </c:ext>
          </c:extLst>
        </c:ser>
        <c:dLbls>
          <c:showLegendKey val="0"/>
          <c:showVal val="0"/>
          <c:showCatName val="0"/>
          <c:showSerName val="0"/>
          <c:showPercent val="0"/>
          <c:showBubbleSize val="0"/>
        </c:dLbls>
        <c:smooth val="0"/>
        <c:axId val="956198719"/>
        <c:axId val="956202303"/>
      </c:lineChart>
      <c:catAx>
        <c:axId val="95619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202303"/>
        <c:crosses val="autoZero"/>
        <c:auto val="0"/>
        <c:lblAlgn val="ctr"/>
        <c:lblOffset val="100"/>
        <c:noMultiLvlLbl val="0"/>
      </c:catAx>
      <c:valAx>
        <c:axId val="956202303"/>
        <c:scaling>
          <c:orientation val="minMax"/>
        </c:scaling>
        <c:delete val="0"/>
        <c:axPos val="l"/>
        <c:majorGridlines>
          <c:spPr>
            <a:ln w="9525" cap="flat" cmpd="sng" algn="ctr">
              <a:solidFill>
                <a:schemeClr val="accent1">
                  <a:alpha val="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1987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Project_Page_6_RP!$F$11</c:f>
              <c:strCache>
                <c:ptCount val="1"/>
                <c:pt idx="0">
                  <c:v>Wealth (End of Month)</c:v>
                </c:pt>
              </c:strCache>
            </c:strRef>
          </c:tx>
          <c:spPr>
            <a:ln w="28575" cap="rnd">
              <a:solidFill>
                <a:schemeClr val="accent1"/>
              </a:solidFill>
              <a:round/>
            </a:ln>
            <a:effectLst/>
          </c:spPr>
          <c:marker>
            <c:symbol val="none"/>
          </c:marker>
          <c:cat>
            <c:strRef>
              <c:f>Project_Page_6_RP!$C$12:$C$132</c:f>
              <c:strCache>
                <c:ptCount val="121"/>
                <c:pt idx="0">
                  <c:v>Start</c:v>
                </c:pt>
                <c:pt idx="1">
                  <c:v>Jan-04</c:v>
                </c:pt>
                <c:pt idx="2">
                  <c:v>Feb-04</c:v>
                </c:pt>
                <c:pt idx="3">
                  <c:v>Mar-04</c:v>
                </c:pt>
                <c:pt idx="4">
                  <c:v>Apr-04</c:v>
                </c:pt>
                <c:pt idx="5">
                  <c:v>May-04</c:v>
                </c:pt>
                <c:pt idx="6">
                  <c:v>Jun-04</c:v>
                </c:pt>
                <c:pt idx="7">
                  <c:v>Jul-04</c:v>
                </c:pt>
                <c:pt idx="8">
                  <c:v>Aug-04</c:v>
                </c:pt>
                <c:pt idx="9">
                  <c:v>Sep-04</c:v>
                </c:pt>
                <c:pt idx="10">
                  <c:v>Oct-04</c:v>
                </c:pt>
                <c:pt idx="11">
                  <c:v>Nov-04</c:v>
                </c:pt>
                <c:pt idx="12">
                  <c:v>Dec-04</c:v>
                </c:pt>
                <c:pt idx="13">
                  <c:v>Jan-05</c:v>
                </c:pt>
                <c:pt idx="14">
                  <c:v>Feb-05</c:v>
                </c:pt>
                <c:pt idx="15">
                  <c:v>Mar-05</c:v>
                </c:pt>
                <c:pt idx="16">
                  <c:v>Apr-05</c:v>
                </c:pt>
                <c:pt idx="17">
                  <c:v>May-05</c:v>
                </c:pt>
                <c:pt idx="18">
                  <c:v>Jun-05</c:v>
                </c:pt>
                <c:pt idx="19">
                  <c:v>Jul-05</c:v>
                </c:pt>
                <c:pt idx="20">
                  <c:v>Aug-05</c:v>
                </c:pt>
                <c:pt idx="21">
                  <c:v>Sep-05</c:v>
                </c:pt>
                <c:pt idx="22">
                  <c:v>Oct-05</c:v>
                </c:pt>
                <c:pt idx="23">
                  <c:v>Nov-05</c:v>
                </c:pt>
                <c:pt idx="24">
                  <c:v>Dec-05</c:v>
                </c:pt>
                <c:pt idx="25">
                  <c:v>Jan-06</c:v>
                </c:pt>
                <c:pt idx="26">
                  <c:v>Feb-06</c:v>
                </c:pt>
                <c:pt idx="27">
                  <c:v>Mar-06</c:v>
                </c:pt>
                <c:pt idx="28">
                  <c:v>Apr-06</c:v>
                </c:pt>
                <c:pt idx="29">
                  <c:v>May-06</c:v>
                </c:pt>
                <c:pt idx="30">
                  <c:v>Jun-06</c:v>
                </c:pt>
                <c:pt idx="31">
                  <c:v>Jul-06</c:v>
                </c:pt>
                <c:pt idx="32">
                  <c:v>Aug-06</c:v>
                </c:pt>
                <c:pt idx="33">
                  <c:v>Sep-06</c:v>
                </c:pt>
                <c:pt idx="34">
                  <c:v>Oct-06</c:v>
                </c:pt>
                <c:pt idx="35">
                  <c:v>Nov-06</c:v>
                </c:pt>
                <c:pt idx="36">
                  <c:v>Dec-06</c:v>
                </c:pt>
                <c:pt idx="37">
                  <c:v>Jan-07</c:v>
                </c:pt>
                <c:pt idx="38">
                  <c:v>Feb-07</c:v>
                </c:pt>
                <c:pt idx="39">
                  <c:v>Mar-07</c:v>
                </c:pt>
                <c:pt idx="40">
                  <c:v>Apr-07</c:v>
                </c:pt>
                <c:pt idx="41">
                  <c:v>May-07</c:v>
                </c:pt>
                <c:pt idx="42">
                  <c:v>Jun-07</c:v>
                </c:pt>
                <c:pt idx="43">
                  <c:v>Jul-07</c:v>
                </c:pt>
                <c:pt idx="44">
                  <c:v>Aug-07</c:v>
                </c:pt>
                <c:pt idx="45">
                  <c:v>Sep-07</c:v>
                </c:pt>
                <c:pt idx="46">
                  <c:v>Oct-07</c:v>
                </c:pt>
                <c:pt idx="47">
                  <c:v>Nov-07</c:v>
                </c:pt>
                <c:pt idx="48">
                  <c:v>Dec-07</c:v>
                </c:pt>
                <c:pt idx="49">
                  <c:v>Jan-08</c:v>
                </c:pt>
                <c:pt idx="50">
                  <c:v>Feb-08</c:v>
                </c:pt>
                <c:pt idx="51">
                  <c:v>Mar-08</c:v>
                </c:pt>
                <c:pt idx="52">
                  <c:v>Apr-08</c:v>
                </c:pt>
                <c:pt idx="53">
                  <c:v>May-08</c:v>
                </c:pt>
                <c:pt idx="54">
                  <c:v>Jun-08</c:v>
                </c:pt>
                <c:pt idx="55">
                  <c:v>Jul-08</c:v>
                </c:pt>
                <c:pt idx="56">
                  <c:v>Aug-08</c:v>
                </c:pt>
                <c:pt idx="57">
                  <c:v>Sep-08</c:v>
                </c:pt>
                <c:pt idx="58">
                  <c:v>Oct-08</c:v>
                </c:pt>
                <c:pt idx="59">
                  <c:v>Nov-08</c:v>
                </c:pt>
                <c:pt idx="60">
                  <c:v>Dec-08</c:v>
                </c:pt>
                <c:pt idx="61">
                  <c:v>Jan-09</c:v>
                </c:pt>
                <c:pt idx="62">
                  <c:v>Feb-09</c:v>
                </c:pt>
                <c:pt idx="63">
                  <c:v>Mar-09</c:v>
                </c:pt>
                <c:pt idx="64">
                  <c:v>Apr-09</c:v>
                </c:pt>
                <c:pt idx="65">
                  <c:v>May-09</c:v>
                </c:pt>
                <c:pt idx="66">
                  <c:v>Jun-09</c:v>
                </c:pt>
                <c:pt idx="67">
                  <c:v>Jul-09</c:v>
                </c:pt>
                <c:pt idx="68">
                  <c:v>Aug-09</c:v>
                </c:pt>
                <c:pt idx="69">
                  <c:v>Sep-09</c:v>
                </c:pt>
                <c:pt idx="70">
                  <c:v>Oct-09</c:v>
                </c:pt>
                <c:pt idx="71">
                  <c:v>Nov-09</c:v>
                </c:pt>
                <c:pt idx="72">
                  <c:v>Dec-09</c:v>
                </c:pt>
                <c:pt idx="73">
                  <c:v>Jan-10</c:v>
                </c:pt>
                <c:pt idx="74">
                  <c:v>Feb-10</c:v>
                </c:pt>
                <c:pt idx="75">
                  <c:v>Mar-10</c:v>
                </c:pt>
                <c:pt idx="76">
                  <c:v>Apr-10</c:v>
                </c:pt>
                <c:pt idx="77">
                  <c:v>May-10</c:v>
                </c:pt>
                <c:pt idx="78">
                  <c:v>Jun-10</c:v>
                </c:pt>
                <c:pt idx="79">
                  <c:v>Jul-10</c:v>
                </c:pt>
                <c:pt idx="80">
                  <c:v>Aug-10</c:v>
                </c:pt>
                <c:pt idx="81">
                  <c:v>Sep-10</c:v>
                </c:pt>
                <c:pt idx="82">
                  <c:v>Oct-10</c:v>
                </c:pt>
                <c:pt idx="83">
                  <c:v>Nov-10</c:v>
                </c:pt>
                <c:pt idx="84">
                  <c:v>Dec-10</c:v>
                </c:pt>
                <c:pt idx="85">
                  <c:v>Jan-11</c:v>
                </c:pt>
                <c:pt idx="86">
                  <c:v>Feb-11</c:v>
                </c:pt>
                <c:pt idx="87">
                  <c:v>Mar-11</c:v>
                </c:pt>
                <c:pt idx="88">
                  <c:v>Apr-11</c:v>
                </c:pt>
                <c:pt idx="89">
                  <c:v>May-11</c:v>
                </c:pt>
                <c:pt idx="90">
                  <c:v>Jun-11</c:v>
                </c:pt>
                <c:pt idx="91">
                  <c:v>Jul-11</c:v>
                </c:pt>
                <c:pt idx="92">
                  <c:v>Aug-11</c:v>
                </c:pt>
                <c:pt idx="93">
                  <c:v>Sep-11</c:v>
                </c:pt>
                <c:pt idx="94">
                  <c:v>Oct-11</c:v>
                </c:pt>
                <c:pt idx="95">
                  <c:v>Nov-11</c:v>
                </c:pt>
                <c:pt idx="96">
                  <c:v>Dec-11</c:v>
                </c:pt>
                <c:pt idx="97">
                  <c:v>Jan-12</c:v>
                </c:pt>
                <c:pt idx="98">
                  <c:v>Feb-12</c:v>
                </c:pt>
                <c:pt idx="99">
                  <c:v>Mar-12</c:v>
                </c:pt>
                <c:pt idx="100">
                  <c:v>Apr-12</c:v>
                </c:pt>
                <c:pt idx="101">
                  <c:v>May-12</c:v>
                </c:pt>
                <c:pt idx="102">
                  <c:v>Jun-12</c:v>
                </c:pt>
                <c:pt idx="103">
                  <c:v>Jul-12</c:v>
                </c:pt>
                <c:pt idx="104">
                  <c:v>Aug-12</c:v>
                </c:pt>
                <c:pt idx="105">
                  <c:v>Sep-12</c:v>
                </c:pt>
                <c:pt idx="106">
                  <c:v>Oct-12</c:v>
                </c:pt>
                <c:pt idx="107">
                  <c:v>Nov-12</c:v>
                </c:pt>
                <c:pt idx="108">
                  <c:v>Dec-12</c:v>
                </c:pt>
                <c:pt idx="109">
                  <c:v>Jan-13</c:v>
                </c:pt>
                <c:pt idx="110">
                  <c:v>Feb-13</c:v>
                </c:pt>
                <c:pt idx="111">
                  <c:v>Mar-13</c:v>
                </c:pt>
                <c:pt idx="112">
                  <c:v>Apr-13</c:v>
                </c:pt>
                <c:pt idx="113">
                  <c:v>May-13</c:v>
                </c:pt>
                <c:pt idx="114">
                  <c:v>Jun-13</c:v>
                </c:pt>
                <c:pt idx="115">
                  <c:v>Jul-13</c:v>
                </c:pt>
                <c:pt idx="116">
                  <c:v>Aug-13</c:v>
                </c:pt>
                <c:pt idx="117">
                  <c:v>Sep-13</c:v>
                </c:pt>
                <c:pt idx="118">
                  <c:v>Oct-13</c:v>
                </c:pt>
                <c:pt idx="119">
                  <c:v>Nov-13</c:v>
                </c:pt>
                <c:pt idx="120">
                  <c:v>Dec-13</c:v>
                </c:pt>
              </c:strCache>
            </c:strRef>
          </c:cat>
          <c:val>
            <c:numRef>
              <c:f>Project_Page_6_RP!$F$12:$F$132</c:f>
              <c:numCache>
                <c:formatCode>_("$"* #,##0.00_);_("$"* \(#,##0.00\);_("$"* "-"??_);_(@_)</c:formatCode>
                <c:ptCount val="121"/>
                <c:pt idx="0">
                  <c:v>18000000</c:v>
                </c:pt>
                <c:pt idx="1">
                  <c:v>18183190.697203781</c:v>
                </c:pt>
                <c:pt idx="2">
                  <c:v>18451031.656044487</c:v>
                </c:pt>
                <c:pt idx="3">
                  <c:v>18548090.150216732</c:v>
                </c:pt>
                <c:pt idx="4">
                  <c:v>17948534.944851097</c:v>
                </c:pt>
                <c:pt idx="5">
                  <c:v>18052281.013013482</c:v>
                </c:pt>
                <c:pt idx="6">
                  <c:v>18128147.663766582</c:v>
                </c:pt>
                <c:pt idx="7">
                  <c:v>18146387.759330623</c:v>
                </c:pt>
                <c:pt idx="8">
                  <c:v>18240537.790649883</c:v>
                </c:pt>
                <c:pt idx="9">
                  <c:v>18436294.600006085</c:v>
                </c:pt>
                <c:pt idx="10">
                  <c:v>18607283.599726375</c:v>
                </c:pt>
                <c:pt idx="11">
                  <c:v>18794514.878338456</c:v>
                </c:pt>
                <c:pt idx="12">
                  <c:v>19000127.044567276</c:v>
                </c:pt>
                <c:pt idx="13">
                  <c:v>18913617.111085854</c:v>
                </c:pt>
                <c:pt idx="14">
                  <c:v>18978964.695417184</c:v>
                </c:pt>
                <c:pt idx="15">
                  <c:v>18890457.761893697</c:v>
                </c:pt>
                <c:pt idx="16">
                  <c:v>18907406.34228972</c:v>
                </c:pt>
                <c:pt idx="17">
                  <c:v>19088236.317891639</c:v>
                </c:pt>
                <c:pt idx="18">
                  <c:v>19135601.241698638</c:v>
                </c:pt>
                <c:pt idx="19">
                  <c:v>19185872.471751213</c:v>
                </c:pt>
                <c:pt idx="20">
                  <c:v>19387508.014805466</c:v>
                </c:pt>
                <c:pt idx="21">
                  <c:v>19435599.920284349</c:v>
                </c:pt>
                <c:pt idx="22">
                  <c:v>19299954.345703695</c:v>
                </c:pt>
                <c:pt idx="23">
                  <c:v>19565768.379230026</c:v>
                </c:pt>
                <c:pt idx="24">
                  <c:v>19755772.166687101</c:v>
                </c:pt>
                <c:pt idx="25">
                  <c:v>20049175.854404181</c:v>
                </c:pt>
                <c:pt idx="26">
                  <c:v>20004605.971083265</c:v>
                </c:pt>
                <c:pt idx="27">
                  <c:v>20003840.089599747</c:v>
                </c:pt>
                <c:pt idx="28">
                  <c:v>20343738.702046018</c:v>
                </c:pt>
                <c:pt idx="29">
                  <c:v>20242128.852025177</c:v>
                </c:pt>
                <c:pt idx="30">
                  <c:v>20158049.320409335</c:v>
                </c:pt>
                <c:pt idx="31">
                  <c:v>20325511.742316149</c:v>
                </c:pt>
                <c:pt idx="32">
                  <c:v>20652208.389851302</c:v>
                </c:pt>
                <c:pt idx="33">
                  <c:v>20743650.639373176</c:v>
                </c:pt>
                <c:pt idx="34">
                  <c:v>20982028.277676858</c:v>
                </c:pt>
                <c:pt idx="35">
                  <c:v>21291294.987967674</c:v>
                </c:pt>
                <c:pt idx="36">
                  <c:v>21160162.983670942</c:v>
                </c:pt>
                <c:pt idx="37">
                  <c:v>21156725.811998647</c:v>
                </c:pt>
                <c:pt idx="38">
                  <c:v>21369218.260586005</c:v>
                </c:pt>
                <c:pt idx="39">
                  <c:v>21463250.696125131</c:v>
                </c:pt>
                <c:pt idx="40">
                  <c:v>21792450.441708937</c:v>
                </c:pt>
                <c:pt idx="41">
                  <c:v>21776159.952421442</c:v>
                </c:pt>
                <c:pt idx="42">
                  <c:v>21744198.39288085</c:v>
                </c:pt>
                <c:pt idx="43">
                  <c:v>21946016.81831456</c:v>
                </c:pt>
                <c:pt idx="44">
                  <c:v>21931394.162433464</c:v>
                </c:pt>
                <c:pt idx="45">
                  <c:v>22292691.196560055</c:v>
                </c:pt>
                <c:pt idx="46">
                  <c:v>22703537.129394691</c:v>
                </c:pt>
                <c:pt idx="47">
                  <c:v>22797180.32766388</c:v>
                </c:pt>
                <c:pt idx="48">
                  <c:v>22818398.517371401</c:v>
                </c:pt>
                <c:pt idx="49">
                  <c:v>23163695.390041016</c:v>
                </c:pt>
                <c:pt idx="50">
                  <c:v>23578923.439232189</c:v>
                </c:pt>
                <c:pt idx="51">
                  <c:v>23536932.408219367</c:v>
                </c:pt>
                <c:pt idx="52">
                  <c:v>23474863.304831166</c:v>
                </c:pt>
                <c:pt idx="53">
                  <c:v>23507428.775377352</c:v>
                </c:pt>
                <c:pt idx="54">
                  <c:v>23530208.726643927</c:v>
                </c:pt>
                <c:pt idx="55">
                  <c:v>23210400.61870997</c:v>
                </c:pt>
                <c:pt idx="56">
                  <c:v>23265284.691862497</c:v>
                </c:pt>
                <c:pt idx="57">
                  <c:v>22668516.683559392</c:v>
                </c:pt>
                <c:pt idx="58">
                  <c:v>21551200.092802275</c:v>
                </c:pt>
                <c:pt idx="59">
                  <c:v>21704738.786177266</c:v>
                </c:pt>
                <c:pt idx="60">
                  <c:v>22102401.170112669</c:v>
                </c:pt>
                <c:pt idx="61">
                  <c:v>22020222.832439166</c:v>
                </c:pt>
                <c:pt idx="62">
                  <c:v>21795024.757604454</c:v>
                </c:pt>
                <c:pt idx="63">
                  <c:v>22509825.000364468</c:v>
                </c:pt>
                <c:pt idx="64">
                  <c:v>22759463.051516872</c:v>
                </c:pt>
                <c:pt idx="65">
                  <c:v>23086142.831731722</c:v>
                </c:pt>
                <c:pt idx="66">
                  <c:v>23109873.300530829</c:v>
                </c:pt>
                <c:pt idx="67">
                  <c:v>23558148.382080458</c:v>
                </c:pt>
                <c:pt idx="68">
                  <c:v>23731825.493467957</c:v>
                </c:pt>
                <c:pt idx="69">
                  <c:v>24043213.202479057</c:v>
                </c:pt>
                <c:pt idx="70">
                  <c:v>24180356.094325252</c:v>
                </c:pt>
                <c:pt idx="71">
                  <c:v>24677501.81824683</c:v>
                </c:pt>
                <c:pt idx="72">
                  <c:v>24490849.235146426</c:v>
                </c:pt>
                <c:pt idx="73">
                  <c:v>24315269.356734</c:v>
                </c:pt>
                <c:pt idx="74">
                  <c:v>24382204.278553832</c:v>
                </c:pt>
                <c:pt idx="75">
                  <c:v>24654776.424008962</c:v>
                </c:pt>
                <c:pt idx="76">
                  <c:v>24866112.584258176</c:v>
                </c:pt>
                <c:pt idx="77">
                  <c:v>24563186.072027374</c:v>
                </c:pt>
                <c:pt idx="78">
                  <c:v>24542455.466454927</c:v>
                </c:pt>
                <c:pt idx="79">
                  <c:v>24869286.302193888</c:v>
                </c:pt>
                <c:pt idx="80">
                  <c:v>24881015.508428637</c:v>
                </c:pt>
                <c:pt idx="81">
                  <c:v>25412709.809374936</c:v>
                </c:pt>
                <c:pt idx="82">
                  <c:v>25875954.449544024</c:v>
                </c:pt>
                <c:pt idx="83">
                  <c:v>25619585.158427406</c:v>
                </c:pt>
                <c:pt idx="84">
                  <c:v>25878224.838358883</c:v>
                </c:pt>
                <c:pt idx="85">
                  <c:v>25923472.500365783</c:v>
                </c:pt>
                <c:pt idx="86">
                  <c:v>26089442.02312376</c:v>
                </c:pt>
                <c:pt idx="87">
                  <c:v>25946565.898296211</c:v>
                </c:pt>
                <c:pt idx="88">
                  <c:v>26384722.969234522</c:v>
                </c:pt>
                <c:pt idx="89">
                  <c:v>26283477.67641291</c:v>
                </c:pt>
                <c:pt idx="90">
                  <c:v>26144410.320291713</c:v>
                </c:pt>
                <c:pt idx="91">
                  <c:v>26628178.472302068</c:v>
                </c:pt>
                <c:pt idx="92">
                  <c:v>26538984.965565808</c:v>
                </c:pt>
                <c:pt idx="93">
                  <c:v>26091140.864012171</c:v>
                </c:pt>
                <c:pt idx="94">
                  <c:v>26393645.256254315</c:v>
                </c:pt>
                <c:pt idx="95">
                  <c:v>26328842.970268711</c:v>
                </c:pt>
                <c:pt idx="96">
                  <c:v>26284163.199242648</c:v>
                </c:pt>
                <c:pt idx="97">
                  <c:v>26801733.942765206</c:v>
                </c:pt>
                <c:pt idx="98">
                  <c:v>26951964.764993709</c:v>
                </c:pt>
                <c:pt idx="99">
                  <c:v>26819977.272993688</c:v>
                </c:pt>
                <c:pt idx="100">
                  <c:v>26896846.981860716</c:v>
                </c:pt>
                <c:pt idx="101">
                  <c:v>26738938.463381112</c:v>
                </c:pt>
                <c:pt idx="102">
                  <c:v>26657612.155218497</c:v>
                </c:pt>
                <c:pt idx="103">
                  <c:v>26899491.052564766</c:v>
                </c:pt>
                <c:pt idx="104">
                  <c:v>26955672.447305713</c:v>
                </c:pt>
                <c:pt idx="105">
                  <c:v>27168174.69415348</c:v>
                </c:pt>
                <c:pt idx="106">
                  <c:v>26756359.956259139</c:v>
                </c:pt>
                <c:pt idx="107">
                  <c:v>26841446.89507835</c:v>
                </c:pt>
                <c:pt idx="108">
                  <c:v>26822435.933720011</c:v>
                </c:pt>
                <c:pt idx="109">
                  <c:v>26831546.779730257</c:v>
                </c:pt>
                <c:pt idx="110">
                  <c:v>26745274.970265143</c:v>
                </c:pt>
                <c:pt idx="111">
                  <c:v>26757420.398748029</c:v>
                </c:pt>
                <c:pt idx="112">
                  <c:v>26800058.69967727</c:v>
                </c:pt>
                <c:pt idx="113">
                  <c:v>26336498.250209324</c:v>
                </c:pt>
                <c:pt idx="114">
                  <c:v>25614301.749678664</c:v>
                </c:pt>
                <c:pt idx="115">
                  <c:v>25688255.959934063</c:v>
                </c:pt>
                <c:pt idx="116">
                  <c:v>25503130.820303395</c:v>
                </c:pt>
                <c:pt idx="117">
                  <c:v>25764765.186596535</c:v>
                </c:pt>
                <c:pt idx="118">
                  <c:v>25983410.450015396</c:v>
                </c:pt>
                <c:pt idx="119">
                  <c:v>25849197.586474806</c:v>
                </c:pt>
                <c:pt idx="120">
                  <c:v>25809245.614350665</c:v>
                </c:pt>
              </c:numCache>
            </c:numRef>
          </c:val>
          <c:smooth val="0"/>
          <c:extLst>
            <c:ext xmlns:c16="http://schemas.microsoft.com/office/drawing/2014/chart" uri="{C3380CC4-5D6E-409C-BE32-E72D297353CC}">
              <c16:uniqueId val="{00000000-9FEA-2C41-ACEE-47A864C36AE2}"/>
            </c:ext>
          </c:extLst>
        </c:ser>
        <c:dLbls>
          <c:showLegendKey val="0"/>
          <c:showVal val="0"/>
          <c:showCatName val="0"/>
          <c:showSerName val="0"/>
          <c:showPercent val="0"/>
          <c:showBubbleSize val="0"/>
        </c:dLbls>
        <c:smooth val="0"/>
        <c:axId val="956198719"/>
        <c:axId val="956202303"/>
      </c:lineChart>
      <c:catAx>
        <c:axId val="95619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202303"/>
        <c:crosses val="autoZero"/>
        <c:auto val="0"/>
        <c:lblAlgn val="ctr"/>
        <c:lblOffset val="100"/>
        <c:noMultiLvlLbl val="0"/>
      </c:catAx>
      <c:valAx>
        <c:axId val="956202303"/>
        <c:scaling>
          <c:orientation val="minMax"/>
        </c:scaling>
        <c:delete val="0"/>
        <c:axPos val="l"/>
        <c:majorGridlines>
          <c:spPr>
            <a:ln w="9525" cap="flat" cmpd="sng" algn="ctr">
              <a:solidFill>
                <a:schemeClr val="accent1">
                  <a:alpha val="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1987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69850</xdr:colOff>
      <xdr:row>0</xdr:row>
      <xdr:rowOff>0</xdr:rowOff>
    </xdr:from>
    <xdr:to>
      <xdr:col>10</xdr:col>
      <xdr:colOff>374650</xdr:colOff>
      <xdr:row>14</xdr:row>
      <xdr:rowOff>76200</xdr:rowOff>
    </xdr:to>
    <xdr:graphicFrame macro="">
      <xdr:nvGraphicFramePr>
        <xdr:cNvPr id="2" name="Chart 1">
          <a:extLst>
            <a:ext uri="{FF2B5EF4-FFF2-40B4-BE49-F238E27FC236}">
              <a16:creationId xmlns:a16="http://schemas.microsoft.com/office/drawing/2014/main" id="{EE8DFD8A-F823-55C9-4CFD-6C102FB0B8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70616</xdr:colOff>
      <xdr:row>14</xdr:row>
      <xdr:rowOff>112329</xdr:rowOff>
    </xdr:from>
    <xdr:to>
      <xdr:col>10</xdr:col>
      <xdr:colOff>389211</xdr:colOff>
      <xdr:row>28</xdr:row>
      <xdr:rowOff>173202</xdr:rowOff>
    </xdr:to>
    <xdr:graphicFrame macro="">
      <xdr:nvGraphicFramePr>
        <xdr:cNvPr id="3" name="Chart 2">
          <a:extLst>
            <a:ext uri="{FF2B5EF4-FFF2-40B4-BE49-F238E27FC236}">
              <a16:creationId xmlns:a16="http://schemas.microsoft.com/office/drawing/2014/main" id="{004566E6-3902-6739-2B56-CFF835E9B0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73791</xdr:colOff>
      <xdr:row>28</xdr:row>
      <xdr:rowOff>163896</xdr:rowOff>
    </xdr:from>
    <xdr:to>
      <xdr:col>10</xdr:col>
      <xdr:colOff>392386</xdr:colOff>
      <xdr:row>43</xdr:row>
      <xdr:rowOff>33173</xdr:rowOff>
    </xdr:to>
    <xdr:graphicFrame macro="">
      <xdr:nvGraphicFramePr>
        <xdr:cNvPr id="4" name="Chart 3">
          <a:extLst>
            <a:ext uri="{FF2B5EF4-FFF2-40B4-BE49-F238E27FC236}">
              <a16:creationId xmlns:a16="http://schemas.microsoft.com/office/drawing/2014/main" id="{8E2754E9-DA83-F30D-052F-5D5F4F8EBA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62843</xdr:colOff>
      <xdr:row>45</xdr:row>
      <xdr:rowOff>172544</xdr:rowOff>
    </xdr:from>
    <xdr:to>
      <xdr:col>10</xdr:col>
      <xdr:colOff>381438</xdr:colOff>
      <xdr:row>60</xdr:row>
      <xdr:rowOff>38646</xdr:rowOff>
    </xdr:to>
    <xdr:graphicFrame macro="">
      <xdr:nvGraphicFramePr>
        <xdr:cNvPr id="5" name="Chart 4">
          <a:extLst>
            <a:ext uri="{FF2B5EF4-FFF2-40B4-BE49-F238E27FC236}">
              <a16:creationId xmlns:a16="http://schemas.microsoft.com/office/drawing/2014/main" id="{5543A1B8-D265-7C05-79F4-399C981D77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57369</xdr:colOff>
      <xdr:row>62</xdr:row>
      <xdr:rowOff>74011</xdr:rowOff>
    </xdr:from>
    <xdr:to>
      <xdr:col>10</xdr:col>
      <xdr:colOff>375964</xdr:colOff>
      <xdr:row>76</xdr:row>
      <xdr:rowOff>134883</xdr:rowOff>
    </xdr:to>
    <xdr:graphicFrame macro="">
      <xdr:nvGraphicFramePr>
        <xdr:cNvPr id="6" name="Chart 5">
          <a:extLst>
            <a:ext uri="{FF2B5EF4-FFF2-40B4-BE49-F238E27FC236}">
              <a16:creationId xmlns:a16="http://schemas.microsoft.com/office/drawing/2014/main" id="{F3ADF5C4-B20B-880B-8E11-2ED3BAA015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1028700</xdr:colOff>
      <xdr:row>7</xdr:row>
      <xdr:rowOff>171450</xdr:rowOff>
    </xdr:from>
    <xdr:to>
      <xdr:col>15</xdr:col>
      <xdr:colOff>876300</xdr:colOff>
      <xdr:row>20</xdr:row>
      <xdr:rowOff>38100</xdr:rowOff>
    </xdr:to>
    <xdr:cxnSp macro="">
      <xdr:nvCxnSpPr>
        <xdr:cNvPr id="13" name="Connector: Curved 8">
          <a:extLst>
            <a:ext uri="{FF2B5EF4-FFF2-40B4-BE49-F238E27FC236}">
              <a16:creationId xmlns:a16="http://schemas.microsoft.com/office/drawing/2014/main" id="{A7AF4447-9164-2805-9816-6271D7B93B5F}"/>
            </a:ext>
          </a:extLst>
        </xdr:cNvPr>
        <xdr:cNvCxnSpPr>
          <a:cxnSpLocks/>
        </xdr:cNvCxnSpPr>
      </xdr:nvCxnSpPr>
      <xdr:spPr>
        <a:xfrm rot="16200000" flipH="1">
          <a:off x="12458700" y="1733550"/>
          <a:ext cx="2343150" cy="1885950"/>
        </a:xfrm>
        <a:prstGeom prst="curvedConnector3">
          <a:avLst>
            <a:gd name="adj1" fmla="val 8559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190500</xdr:colOff>
      <xdr:row>7</xdr:row>
      <xdr:rowOff>123825</xdr:rowOff>
    </xdr:from>
    <xdr:to>
      <xdr:col>7</xdr:col>
      <xdr:colOff>57150</xdr:colOff>
      <xdr:row>22</xdr:row>
      <xdr:rowOff>9525</xdr:rowOff>
    </xdr:to>
    <xdr:graphicFrame macro="">
      <xdr:nvGraphicFramePr>
        <xdr:cNvPr id="3" name="Chart 2">
          <a:extLst>
            <a:ext uri="{FF2B5EF4-FFF2-40B4-BE49-F238E27FC236}">
              <a16:creationId xmlns:a16="http://schemas.microsoft.com/office/drawing/2014/main" id="{EB877DDD-1762-46F9-2FAD-4348DD2847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1032547</xdr:colOff>
      <xdr:row>161</xdr:row>
      <xdr:rowOff>170927</xdr:rowOff>
    </xdr:from>
    <xdr:to>
      <xdr:col>7</xdr:col>
      <xdr:colOff>368300</xdr:colOff>
      <xdr:row>185</xdr:row>
      <xdr:rowOff>38100</xdr:rowOff>
    </xdr:to>
    <xdr:graphicFrame macro="">
      <xdr:nvGraphicFramePr>
        <xdr:cNvPr id="7" name="Chart 6">
          <a:extLst>
            <a:ext uri="{FF2B5EF4-FFF2-40B4-BE49-F238E27FC236}">
              <a16:creationId xmlns:a16="http://schemas.microsoft.com/office/drawing/2014/main" id="{1B7AEA55-8A4A-184C-6385-6B53E3C9B7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37</xdr:col>
      <xdr:colOff>417286</xdr:colOff>
      <xdr:row>0</xdr:row>
      <xdr:rowOff>293006</xdr:rowOff>
    </xdr:from>
    <xdr:to>
      <xdr:col>54</xdr:col>
      <xdr:colOff>54429</xdr:colOff>
      <xdr:row>41</xdr:row>
      <xdr:rowOff>36284</xdr:rowOff>
    </xdr:to>
    <xdr:graphicFrame macro="">
      <xdr:nvGraphicFramePr>
        <xdr:cNvPr id="2" name="Chart 1">
          <a:extLst>
            <a:ext uri="{FF2B5EF4-FFF2-40B4-BE49-F238E27FC236}">
              <a16:creationId xmlns:a16="http://schemas.microsoft.com/office/drawing/2014/main" id="{941E8ED3-E00C-304D-A49B-1E5629F67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981747</xdr:colOff>
      <xdr:row>159</xdr:row>
      <xdr:rowOff>180598</xdr:rowOff>
    </xdr:from>
    <xdr:to>
      <xdr:col>2</xdr:col>
      <xdr:colOff>1099484</xdr:colOff>
      <xdr:row>174</xdr:row>
      <xdr:rowOff>128945</xdr:rowOff>
    </xdr:to>
    <xdr:graphicFrame macro="">
      <xdr:nvGraphicFramePr>
        <xdr:cNvPr id="2" name="Chart 1">
          <a:extLst>
            <a:ext uri="{FF2B5EF4-FFF2-40B4-BE49-F238E27FC236}">
              <a16:creationId xmlns:a16="http://schemas.microsoft.com/office/drawing/2014/main" id="{CE7CB10F-DE72-1745-8569-B42088972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1032990</xdr:colOff>
      <xdr:row>160</xdr:row>
      <xdr:rowOff>19856</xdr:rowOff>
    </xdr:from>
    <xdr:to>
      <xdr:col>3</xdr:col>
      <xdr:colOff>20427</xdr:colOff>
      <xdr:row>174</xdr:row>
      <xdr:rowOff>161243</xdr:rowOff>
    </xdr:to>
    <xdr:graphicFrame macro="">
      <xdr:nvGraphicFramePr>
        <xdr:cNvPr id="2" name="Chart 1">
          <a:extLst>
            <a:ext uri="{FF2B5EF4-FFF2-40B4-BE49-F238E27FC236}">
              <a16:creationId xmlns:a16="http://schemas.microsoft.com/office/drawing/2014/main" id="{90CF8498-DF74-9B48-9F73-E11D0838D9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967FA34-43AD-0846-95FB-33D64DCC3F2B}">
  <we:reference id="wa200009404" version="1.0.0.8" store="en-US" storeType="OMEX"/>
  <we:alternateReferences>
    <we:reference id="WA200009404" version="1.0.0.8" store="WA200009404" storeType="OMEX"/>
  </we:alternateReferences>
  <we:properties>
    <we:property name="claude.fileId" value="&quot;6a5e8d2e-aa6c-4828-88ae-91fe3c997c6f&quot;"/>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DBABB-7794-42DC-9A1E-7B240E1477A3}">
  <sheetPr>
    <tabColor theme="5" tint="0.59999389629810485"/>
  </sheetPr>
  <dimension ref="A1:H121"/>
  <sheetViews>
    <sheetView zoomScale="107" zoomScaleNormal="70" workbookViewId="0">
      <selection activeCell="B2" sqref="B2"/>
    </sheetView>
  </sheetViews>
  <sheetFormatPr baseColWidth="10" defaultColWidth="8.83203125" defaultRowHeight="15" x14ac:dyDescent="0.2"/>
  <sheetData>
    <row r="1" spans="1:8" x14ac:dyDescent="0.2">
      <c r="B1" s="13" t="s">
        <v>0</v>
      </c>
      <c r="C1" s="13" t="s">
        <v>1</v>
      </c>
      <c r="D1" s="13" t="s">
        <v>2</v>
      </c>
      <c r="E1" s="13" t="s">
        <v>3</v>
      </c>
      <c r="F1" s="13" t="s">
        <v>4</v>
      </c>
      <c r="H1">
        <f>COUNT(B2:B121)</f>
        <v>120</v>
      </c>
    </row>
    <row r="2" spans="1:8" x14ac:dyDescent="0.2">
      <c r="A2" s="1">
        <v>38016</v>
      </c>
      <c r="B2">
        <v>6.2656429682741432E-3</v>
      </c>
      <c r="C2">
        <v>3.4770514603616132E-2</v>
      </c>
      <c r="D2">
        <v>3.260982376995325E-2</v>
      </c>
      <c r="E2">
        <v>6.4599982985540372E-3</v>
      </c>
      <c r="F2">
        <v>1.1827396930966794E-2</v>
      </c>
    </row>
    <row r="3" spans="1:8" x14ac:dyDescent="0.2">
      <c r="A3" s="1">
        <v>38044</v>
      </c>
      <c r="B3">
        <v>8.4282173017939943E-3</v>
      </c>
      <c r="C3">
        <v>-3.2526881720430167E-2</v>
      </c>
      <c r="D3">
        <v>8.396542481908309E-2</v>
      </c>
      <c r="E3">
        <v>1.998999592325168E-2</v>
      </c>
      <c r="F3">
        <v>2.3758424341297602E-2</v>
      </c>
    </row>
    <row r="4" spans="1:8" x14ac:dyDescent="0.2">
      <c r="A4" s="1">
        <v>38077</v>
      </c>
      <c r="B4">
        <v>4.3830411305911809E-3</v>
      </c>
      <c r="C4">
        <v>-2.6674076132259028E-2</v>
      </c>
      <c r="D4">
        <v>-3.5853150441054193E-3</v>
      </c>
      <c r="E4">
        <v>1.122999962763771E-2</v>
      </c>
      <c r="F4">
        <v>1.6515691841171076E-2</v>
      </c>
    </row>
    <row r="5" spans="1:8" x14ac:dyDescent="0.2">
      <c r="A5" s="1">
        <v>38107</v>
      </c>
      <c r="B5">
        <v>-1.7804105065790443E-2</v>
      </c>
      <c r="C5">
        <v>-4.6674279189266255E-2</v>
      </c>
      <c r="D5">
        <v>-8.5476236266292749E-2</v>
      </c>
      <c r="E5">
        <v>-2.839999836017304E-2</v>
      </c>
      <c r="F5">
        <v>-4.3864054913778761E-2</v>
      </c>
    </row>
    <row r="6" spans="1:8" x14ac:dyDescent="0.2">
      <c r="A6" s="1">
        <v>38138</v>
      </c>
      <c r="B6">
        <v>-2.1877217285536377E-3</v>
      </c>
      <c r="C6">
        <v>4.9558317113340244E-2</v>
      </c>
      <c r="D6">
        <v>4.3707135734297298E-2</v>
      </c>
      <c r="E6">
        <v>-6.9499961933691123E-3</v>
      </c>
      <c r="F6">
        <v>1.5257636777510797E-2</v>
      </c>
    </row>
    <row r="7" spans="1:8" x14ac:dyDescent="0.2">
      <c r="A7" s="1">
        <v>38168</v>
      </c>
      <c r="B7">
        <v>8.8462612906230476E-3</v>
      </c>
      <c r="C7">
        <v>2.7674750356633471E-2</v>
      </c>
      <c r="D7">
        <v>-3.4057820299501218E-3</v>
      </c>
      <c r="E7">
        <v>-1.1000051204472783E-3</v>
      </c>
      <c r="F7">
        <v>-1.4189512304110252E-3</v>
      </c>
    </row>
    <row r="8" spans="1:8" x14ac:dyDescent="0.2">
      <c r="A8" s="1">
        <v>38198</v>
      </c>
      <c r="B8">
        <v>8.9616862738517433E-3</v>
      </c>
      <c r="C8">
        <v>-7.5513603553581499E-2</v>
      </c>
      <c r="D8">
        <v>1.9774084992043583E-2</v>
      </c>
      <c r="E8">
        <v>-3.289996510301485E-3</v>
      </c>
      <c r="F8">
        <v>1.474351928904527E-2</v>
      </c>
    </row>
    <row r="9" spans="1:8" x14ac:dyDescent="0.2">
      <c r="A9" s="1">
        <v>38230</v>
      </c>
      <c r="B9">
        <v>1.5418905207830846E-2</v>
      </c>
      <c r="C9">
        <v>-5.330330330330324E-2</v>
      </c>
      <c r="D9">
        <v>-2.4231920390882955E-2</v>
      </c>
      <c r="E9">
        <v>-2.3300046663617957E-3</v>
      </c>
      <c r="F9">
        <v>2.357337376988311E-2</v>
      </c>
    </row>
    <row r="10" spans="1:8" x14ac:dyDescent="0.2">
      <c r="A10" s="1">
        <v>38260</v>
      </c>
      <c r="B10">
        <v>1.5233914296945983E-3</v>
      </c>
      <c r="C10">
        <v>2.9183187946074662E-2</v>
      </c>
      <c r="D10">
        <v>0.12160576765525155</v>
      </c>
      <c r="E10">
        <v>8.3500020813711551E-3</v>
      </c>
      <c r="F10">
        <v>2.2524054632169221E-3</v>
      </c>
    </row>
    <row r="11" spans="1:8" x14ac:dyDescent="0.2">
      <c r="A11" s="1">
        <v>38289</v>
      </c>
      <c r="B11">
        <v>8.0551512078639309E-3</v>
      </c>
      <c r="C11">
        <v>5.2396363075974728E-2</v>
      </c>
      <c r="D11">
        <v>-4.2067679937357161E-2</v>
      </c>
      <c r="E11">
        <v>8.3800005220826534E-3</v>
      </c>
      <c r="F11">
        <v>1.4042126379137265E-2</v>
      </c>
    </row>
    <row r="12" spans="1:8" x14ac:dyDescent="0.2">
      <c r="A12" s="1">
        <v>38321</v>
      </c>
      <c r="B12">
        <v>-2.4905286897548562E-3</v>
      </c>
      <c r="C12">
        <v>4.8616195636256965E-2</v>
      </c>
      <c r="D12">
        <v>5.0911974623314871E-2</v>
      </c>
      <c r="E12">
        <v>2.8050001880210784E-2</v>
      </c>
      <c r="F12">
        <v>-4.573748912340081E-3</v>
      </c>
    </row>
    <row r="13" spans="1:8" x14ac:dyDescent="0.2">
      <c r="A13" s="1">
        <v>38352</v>
      </c>
      <c r="B13">
        <v>7.0429407937542265E-3</v>
      </c>
      <c r="C13">
        <v>2.8487641390867235E-2</v>
      </c>
      <c r="D13">
        <v>5.0918293900485301E-2</v>
      </c>
      <c r="E13">
        <v>6.0599974547017599E-3</v>
      </c>
      <c r="F13">
        <v>1.2207877592492977E-2</v>
      </c>
    </row>
    <row r="14" spans="1:8" x14ac:dyDescent="0.2">
      <c r="A14" s="1">
        <v>38383</v>
      </c>
      <c r="B14">
        <v>5.3219840744269664E-3</v>
      </c>
      <c r="C14">
        <v>-5.2410047522063796E-2</v>
      </c>
      <c r="D14">
        <v>-2.6241659670363737E-2</v>
      </c>
      <c r="E14">
        <v>-5.7600019640531297E-3</v>
      </c>
      <c r="F14">
        <v>2.3324131618960298E-3</v>
      </c>
    </row>
    <row r="15" spans="1:8" x14ac:dyDescent="0.2">
      <c r="A15" s="1">
        <v>38411</v>
      </c>
      <c r="B15">
        <v>-4.6350965979836678E-3</v>
      </c>
      <c r="C15">
        <v>4.298610116060253E-4</v>
      </c>
      <c r="D15">
        <v>5.9643669489554574E-2</v>
      </c>
      <c r="E15">
        <v>1.8060007063214423E-2</v>
      </c>
      <c r="F15">
        <v>-5.8469196895389874E-3</v>
      </c>
    </row>
    <row r="16" spans="1:8" x14ac:dyDescent="0.2">
      <c r="A16" s="1">
        <v>38442</v>
      </c>
      <c r="B16">
        <v>-1.8562159021209279E-3</v>
      </c>
      <c r="C16">
        <v>-2.2916069894013069E-2</v>
      </c>
      <c r="D16">
        <v>1.204954713829931E-2</v>
      </c>
      <c r="E16">
        <v>-6.0100030506643476E-3</v>
      </c>
      <c r="F16">
        <v>-2.8739889188467149E-3</v>
      </c>
    </row>
    <row r="17" spans="1:6" x14ac:dyDescent="0.2">
      <c r="A17" s="1">
        <v>38471</v>
      </c>
      <c r="B17">
        <v>1.1069066446740772E-2</v>
      </c>
      <c r="C17">
        <v>-3.9577836411609502E-2</v>
      </c>
      <c r="D17">
        <v>-4.4170461697952579E-2</v>
      </c>
      <c r="E17">
        <v>-1.0610002179281874E-2</v>
      </c>
      <c r="F17">
        <v>2.1743329173352199E-2</v>
      </c>
    </row>
    <row r="18" spans="1:6" x14ac:dyDescent="0.2">
      <c r="A18" s="1">
        <v>38503</v>
      </c>
      <c r="B18">
        <v>7.8770382336241784E-3</v>
      </c>
      <c r="C18">
        <v>7.7838827838828006E-2</v>
      </c>
      <c r="D18">
        <v>-1.1698171676479574E-2</v>
      </c>
      <c r="E18">
        <v>3.4500029695099244E-3</v>
      </c>
      <c r="F18">
        <v>5.6782242644120018E-3</v>
      </c>
    </row>
    <row r="19" spans="1:6" x14ac:dyDescent="0.2">
      <c r="A19" s="1">
        <v>38533</v>
      </c>
      <c r="B19">
        <v>3.6260632220390665E-3</v>
      </c>
      <c r="C19">
        <v>-1.7417162276975429E-2</v>
      </c>
      <c r="D19">
        <v>-4.1377842976965118E-3</v>
      </c>
      <c r="E19">
        <v>1.0550001702261502E-2</v>
      </c>
      <c r="F19">
        <v>3.1158728781699452E-3</v>
      </c>
    </row>
    <row r="20" spans="1:6" x14ac:dyDescent="0.2">
      <c r="A20" s="1">
        <v>38562</v>
      </c>
      <c r="B20">
        <v>-5.0122935591238038E-3</v>
      </c>
      <c r="C20">
        <v>5.8509871739443664E-2</v>
      </c>
      <c r="D20">
        <v>6.2487700931636914E-2</v>
      </c>
      <c r="E20">
        <v>7.4099945559380487E-3</v>
      </c>
      <c r="F20">
        <v>-1.6957947461352818E-2</v>
      </c>
    </row>
    <row r="21" spans="1:6" x14ac:dyDescent="0.2">
      <c r="A21" s="1">
        <v>38595</v>
      </c>
      <c r="B21">
        <v>8.8594016924239405E-3</v>
      </c>
      <c r="C21">
        <v>-2.3144996596323741E-3</v>
      </c>
      <c r="D21">
        <v>2.1669762347001909E-2</v>
      </c>
      <c r="E21">
        <v>7.2499982455480616E-3</v>
      </c>
      <c r="F21">
        <v>2.2609639154851147E-2</v>
      </c>
    </row>
    <row r="22" spans="1:6" x14ac:dyDescent="0.2">
      <c r="A22" s="1">
        <v>38625</v>
      </c>
      <c r="B22">
        <v>-5.2610852957392096E-3</v>
      </c>
      <c r="C22">
        <v>2.8657205240174566E-3</v>
      </c>
      <c r="D22">
        <v>1.8200841154411895E-2</v>
      </c>
      <c r="E22">
        <v>2.1080005550678793E-2</v>
      </c>
      <c r="F22">
        <v>-3.3695137863297697E-3</v>
      </c>
    </row>
    <row r="23" spans="1:6" x14ac:dyDescent="0.2">
      <c r="A23" s="1">
        <v>38656</v>
      </c>
      <c r="B23">
        <v>-6.967427277477789E-3</v>
      </c>
      <c r="C23">
        <v>-2.1907742550006826E-2</v>
      </c>
      <c r="D23">
        <v>4.7735804905840951E-2</v>
      </c>
      <c r="E23">
        <v>-6.3400048991615332E-3</v>
      </c>
      <c r="F23">
        <v>-1.2013005697185886E-2</v>
      </c>
    </row>
    <row r="24" spans="1:6" x14ac:dyDescent="0.2">
      <c r="A24" s="1">
        <v>38686</v>
      </c>
      <c r="B24">
        <v>3.2530178118670428E-3</v>
      </c>
      <c r="C24">
        <v>6.3995548135781899E-2</v>
      </c>
      <c r="D24">
        <v>9.2947379664604757E-2</v>
      </c>
      <c r="E24">
        <v>1.4620007114644507E-2</v>
      </c>
      <c r="F24">
        <v>1.4634572539424795E-3</v>
      </c>
    </row>
    <row r="25" spans="1:6" x14ac:dyDescent="0.2">
      <c r="A25" s="1">
        <v>38716</v>
      </c>
      <c r="B25">
        <v>9.7830406103471823E-3</v>
      </c>
      <c r="C25">
        <v>-2.9288702928870425E-2</v>
      </c>
      <c r="D25">
        <v>7.3452978543822933E-2</v>
      </c>
      <c r="E25">
        <v>1.2749997693833448E-2</v>
      </c>
      <c r="F25">
        <v>7.7500781551034237E-3</v>
      </c>
    </row>
    <row r="26" spans="1:6" x14ac:dyDescent="0.2">
      <c r="A26" s="1">
        <v>38748</v>
      </c>
      <c r="B26">
        <v>3.2189263424655667E-3</v>
      </c>
      <c r="C26">
        <v>3.2058189655172598E-2</v>
      </c>
      <c r="D26">
        <v>0.11698566078338057</v>
      </c>
      <c r="E26">
        <v>2.4009993160515331E-2</v>
      </c>
      <c r="F26">
        <v>1.0316492681061717E-3</v>
      </c>
    </row>
    <row r="27" spans="1:6" x14ac:dyDescent="0.2">
      <c r="A27" s="1">
        <v>38776</v>
      </c>
      <c r="B27">
        <v>4.6599199811721004E-3</v>
      </c>
      <c r="C27">
        <v>-9.1359958235448513E-3</v>
      </c>
      <c r="D27">
        <v>-1.78204909711982E-2</v>
      </c>
      <c r="E27">
        <v>-4.7199913832056684E-3</v>
      </c>
      <c r="F27">
        <v>-2.9115858052984889E-3</v>
      </c>
    </row>
    <row r="28" spans="1:6" x14ac:dyDescent="0.2">
      <c r="A28" s="1">
        <v>38807</v>
      </c>
      <c r="B28">
        <v>-8.480134932533856E-3</v>
      </c>
      <c r="C28">
        <v>1.8177028451000998E-2</v>
      </c>
      <c r="D28">
        <v>7.6038083167360826E-2</v>
      </c>
      <c r="E28">
        <v>1.1469992218373193E-2</v>
      </c>
      <c r="F28">
        <v>-1.6747137735630857E-2</v>
      </c>
    </row>
    <row r="29" spans="1:6" x14ac:dyDescent="0.2">
      <c r="A29" s="1">
        <v>38835</v>
      </c>
      <c r="B29">
        <v>5.5127659909448568E-5</v>
      </c>
      <c r="C29">
        <v>-1.1384217335058122E-2</v>
      </c>
      <c r="D29">
        <v>0.22182414762569147</v>
      </c>
      <c r="E29">
        <v>2.7640000711400159E-2</v>
      </c>
      <c r="F29">
        <v>2.5581651780792747E-3</v>
      </c>
    </row>
    <row r="30" spans="1:6" x14ac:dyDescent="0.2">
      <c r="A30" s="1">
        <v>38868</v>
      </c>
      <c r="B30">
        <v>-1.897861952198987E-3</v>
      </c>
      <c r="C30">
        <v>-7.0923841926197384E-2</v>
      </c>
      <c r="D30">
        <v>8.8305502955184467E-2</v>
      </c>
      <c r="E30">
        <v>-1.3640000732359936E-2</v>
      </c>
      <c r="F30">
        <v>2.2510136893894028E-3</v>
      </c>
    </row>
    <row r="31" spans="1:6" x14ac:dyDescent="0.2">
      <c r="A31" s="1">
        <v>38898</v>
      </c>
      <c r="B31">
        <v>1.9330303604114807E-3</v>
      </c>
      <c r="C31">
        <v>-1.6478873239436642E-2</v>
      </c>
      <c r="D31">
        <v>-5.1785045792712148E-2</v>
      </c>
      <c r="E31">
        <v>-4.839994333079245E-3</v>
      </c>
      <c r="F31">
        <v>4.1114931597046045E-3</v>
      </c>
    </row>
    <row r="32" spans="1:6" x14ac:dyDescent="0.2">
      <c r="A32" s="1">
        <v>38929</v>
      </c>
      <c r="B32">
        <v>1.4324075313609796E-2</v>
      </c>
      <c r="C32">
        <v>-3.7806100529858222E-2</v>
      </c>
      <c r="D32">
        <v>6.4177382359074109E-2</v>
      </c>
      <c r="E32">
        <v>-2.5999997582957235E-3</v>
      </c>
      <c r="F32">
        <v>1.4702882289511221E-2</v>
      </c>
    </row>
    <row r="33" spans="1:6" x14ac:dyDescent="0.2">
      <c r="A33" s="1">
        <v>38960</v>
      </c>
      <c r="B33">
        <v>1.4533258803800964E-2</v>
      </c>
      <c r="C33">
        <v>8.3792230986753813E-2</v>
      </c>
      <c r="D33">
        <v>1.4740384263686179E-2</v>
      </c>
      <c r="E33">
        <v>2.3199960805679876E-3</v>
      </c>
      <c r="F33">
        <v>1.6141308250161579E-2</v>
      </c>
    </row>
    <row r="34" spans="1:6" x14ac:dyDescent="0.2">
      <c r="A34" s="1">
        <v>38989</v>
      </c>
      <c r="B34">
        <v>6.9941842669116738E-3</v>
      </c>
      <c r="C34">
        <v>4.0098873935731971E-2</v>
      </c>
      <c r="D34">
        <v>1.2227085478887734E-2</v>
      </c>
      <c r="E34">
        <v>-7.6000033023650992E-3</v>
      </c>
      <c r="F34">
        <v>3.1444763210333182E-3</v>
      </c>
    </row>
    <row r="35" spans="1:6" x14ac:dyDescent="0.2">
      <c r="A35" s="1">
        <v>39021</v>
      </c>
      <c r="B35">
        <v>7.249570649117798E-3</v>
      </c>
      <c r="C35">
        <v>4.1193556905201989E-2</v>
      </c>
      <c r="D35">
        <v>7.9672083612065681E-2</v>
      </c>
      <c r="E35">
        <v>1.1370004912351961E-2</v>
      </c>
      <c r="F35">
        <v>-2.1977557532595338E-3</v>
      </c>
    </row>
    <row r="36" spans="1:6" x14ac:dyDescent="0.2">
      <c r="A36" s="1">
        <v>39051</v>
      </c>
      <c r="B36">
        <v>1.1467543833177496E-2</v>
      </c>
      <c r="C36">
        <v>3.2462591935074947E-2</v>
      </c>
      <c r="D36">
        <v>6.8673552083529099E-3</v>
      </c>
      <c r="E36">
        <v>2.3570003354294711E-2</v>
      </c>
      <c r="F36">
        <v>1.1267128364783829E-2</v>
      </c>
    </row>
    <row r="37" spans="1:6" x14ac:dyDescent="0.2">
      <c r="A37" s="1">
        <v>39080</v>
      </c>
      <c r="B37">
        <v>-2.7523346361548739E-3</v>
      </c>
      <c r="C37">
        <v>-1.3387374109555483E-2</v>
      </c>
      <c r="D37">
        <v>-2.554359397922723E-2</v>
      </c>
      <c r="E37">
        <v>1.2699995671763054E-2</v>
      </c>
      <c r="F37">
        <v>-2.2653179473217655E-2</v>
      </c>
    </row>
    <row r="38" spans="1:6" x14ac:dyDescent="0.2">
      <c r="A38" s="1">
        <v>39113</v>
      </c>
      <c r="B38">
        <v>6.4323592547421704E-4</v>
      </c>
      <c r="C38">
        <v>1.5809784638366686E-2</v>
      </c>
      <c r="D38">
        <v>-4.1957403894638423E-2</v>
      </c>
      <c r="E38">
        <v>3.7180278920005971E-3</v>
      </c>
      <c r="F38">
        <v>2.6428193882945816E-3</v>
      </c>
    </row>
    <row r="39" spans="1:6" x14ac:dyDescent="0.2">
      <c r="A39" s="1">
        <v>39141</v>
      </c>
      <c r="B39">
        <v>1.23332212131404E-2</v>
      </c>
      <c r="C39">
        <v>-3.0759803921568518E-2</v>
      </c>
      <c r="D39">
        <v>5.6456706332895568E-2</v>
      </c>
      <c r="E39">
        <v>2.2336360135390976E-3</v>
      </c>
      <c r="F39">
        <v>2.0865984669307114E-2</v>
      </c>
    </row>
    <row r="40" spans="1:6" x14ac:dyDescent="0.2">
      <c r="A40" s="1">
        <v>39171</v>
      </c>
      <c r="B40">
        <v>2.6359508251192487E-3</v>
      </c>
      <c r="C40">
        <v>5.6897205715009669E-3</v>
      </c>
      <c r="D40">
        <v>5.7268659761530838E-2</v>
      </c>
      <c r="E40">
        <v>-8.9686062517790877E-4</v>
      </c>
      <c r="F40">
        <v>4.8289963084695575E-3</v>
      </c>
    </row>
    <row r="41" spans="1:6" x14ac:dyDescent="0.2">
      <c r="A41" s="1">
        <v>39202</v>
      </c>
      <c r="B41">
        <v>4.9340167314715355E-3</v>
      </c>
      <c r="C41">
        <v>5.4060849886849338E-2</v>
      </c>
      <c r="D41">
        <v>9.0326301098141659E-2</v>
      </c>
      <c r="E41">
        <v>1.6273215586270595E-2</v>
      </c>
      <c r="F41">
        <v>7.9101067413001047E-3</v>
      </c>
    </row>
    <row r="42" spans="1:6" x14ac:dyDescent="0.2">
      <c r="A42" s="1">
        <v>39233</v>
      </c>
      <c r="B42">
        <v>-5.7451891369024732E-3</v>
      </c>
      <c r="C42">
        <v>3.9718511450381744E-2</v>
      </c>
      <c r="D42">
        <v>-2.9418604411864502E-2</v>
      </c>
      <c r="E42">
        <v>1.8107338955327679E-2</v>
      </c>
      <c r="F42">
        <v>-1.449714742441377E-2</v>
      </c>
    </row>
    <row r="43" spans="1:6" x14ac:dyDescent="0.2">
      <c r="A43" s="1">
        <v>39262</v>
      </c>
      <c r="B43">
        <v>-4.2011232476893978E-3</v>
      </c>
      <c r="C43">
        <v>6.5389468853962462E-3</v>
      </c>
      <c r="D43">
        <v>-4.967749596074833E-2</v>
      </c>
      <c r="E43">
        <v>1.5065018810388242E-2</v>
      </c>
      <c r="F43">
        <v>-1.6290516542215583E-3</v>
      </c>
    </row>
    <row r="44" spans="1:6" x14ac:dyDescent="0.2">
      <c r="A44" s="1">
        <v>39294</v>
      </c>
      <c r="B44">
        <v>6.7723598898659088E-3</v>
      </c>
      <c r="C44">
        <v>-4.5589240939137854E-3</v>
      </c>
      <c r="D44">
        <v>1.5794534943651461E-2</v>
      </c>
      <c r="E44">
        <v>7.9307758838031983E-3</v>
      </c>
      <c r="F44">
        <v>2.2829931019993754E-2</v>
      </c>
    </row>
    <row r="45" spans="1:6" x14ac:dyDescent="0.2">
      <c r="A45" s="1">
        <v>39325</v>
      </c>
      <c r="B45">
        <v>1.1770068297273228E-2</v>
      </c>
      <c r="C45">
        <v>2.8394779024501826E-2</v>
      </c>
      <c r="D45">
        <v>-7.4911261839076482E-2</v>
      </c>
      <c r="E45">
        <v>-2.1109484891792651E-2</v>
      </c>
      <c r="F45">
        <v>1.0194789634041967E-2</v>
      </c>
    </row>
    <row r="46" spans="1:6" x14ac:dyDescent="0.2">
      <c r="A46" s="1">
        <v>39353</v>
      </c>
      <c r="B46">
        <v>7.6803464512003039E-3</v>
      </c>
      <c r="C46">
        <v>3.7853484747272459E-2</v>
      </c>
      <c r="D46">
        <v>2.8791429527954548E-2</v>
      </c>
      <c r="E46">
        <v>3.2292342383925199E-2</v>
      </c>
      <c r="F46">
        <v>1.0064794230873364E-2</v>
      </c>
    </row>
    <row r="47" spans="1:6" x14ac:dyDescent="0.2">
      <c r="A47" s="1">
        <v>39386</v>
      </c>
      <c r="B47">
        <v>1.0102321154303651E-2</v>
      </c>
      <c r="C47">
        <v>7.1336623042265623E-2</v>
      </c>
      <c r="D47">
        <v>-1.8156305317648891E-2</v>
      </c>
      <c r="E47">
        <v>3.2576309155573968E-2</v>
      </c>
      <c r="F47">
        <v>1.4191868696696641E-2</v>
      </c>
    </row>
    <row r="48" spans="1:6" x14ac:dyDescent="0.2">
      <c r="A48" s="1">
        <v>39416</v>
      </c>
      <c r="B48">
        <v>1.7432646592709933E-2</v>
      </c>
      <c r="C48">
        <v>-8.0204265545208764E-2</v>
      </c>
      <c r="D48">
        <v>-7.5402067574619314E-2</v>
      </c>
      <c r="E48">
        <v>-8.9239256490659669E-3</v>
      </c>
      <c r="F48">
        <v>4.4004393161488187E-2</v>
      </c>
    </row>
    <row r="49" spans="1:6" x14ac:dyDescent="0.2">
      <c r="A49" s="1">
        <v>39447</v>
      </c>
      <c r="B49">
        <v>2.8346103112457666E-3</v>
      </c>
      <c r="C49">
        <v>1.5131722185935059E-2</v>
      </c>
      <c r="D49">
        <v>-4.563643389568528E-2</v>
      </c>
      <c r="E49">
        <v>9.8463949227847181E-3</v>
      </c>
      <c r="F49">
        <v>-2.008935644348564E-3</v>
      </c>
    </row>
    <row r="50" spans="1:6" x14ac:dyDescent="0.2">
      <c r="A50" s="1">
        <v>39478</v>
      </c>
      <c r="B50">
        <v>1.8456845404679401E-2</v>
      </c>
      <c r="C50">
        <v>-0.12504021447721181</v>
      </c>
      <c r="D50">
        <v>9.2744481175928595E-2</v>
      </c>
      <c r="E50">
        <v>1.0826494312505597E-2</v>
      </c>
      <c r="F50">
        <v>4.5834973774114385E-2</v>
      </c>
    </row>
    <row r="51" spans="1:6" x14ac:dyDescent="0.2">
      <c r="A51" s="1">
        <v>39507</v>
      </c>
      <c r="B51">
        <v>1.6487366555373306E-4</v>
      </c>
      <c r="C51">
        <v>-4.0446133104547144E-2</v>
      </c>
      <c r="D51">
        <v>0.14480769746448785</v>
      </c>
      <c r="E51">
        <v>4.2192467737109718E-2</v>
      </c>
      <c r="F51">
        <v>1.8889347646573018E-2</v>
      </c>
    </row>
    <row r="52" spans="1:6" x14ac:dyDescent="0.2">
      <c r="A52" s="1">
        <v>39538</v>
      </c>
      <c r="B52">
        <v>5.6185177553402799E-3</v>
      </c>
      <c r="C52">
        <v>9.4520372972282107E-3</v>
      </c>
      <c r="D52">
        <v>-4.6352863515858767E-2</v>
      </c>
      <c r="E52">
        <v>-1.221171641582508E-2</v>
      </c>
      <c r="F52">
        <v>6.793518744748539E-3</v>
      </c>
    </row>
    <row r="53" spans="1:6" x14ac:dyDescent="0.2">
      <c r="A53" s="1">
        <v>39568</v>
      </c>
      <c r="B53">
        <v>9.5623189989635371E-4</v>
      </c>
      <c r="C53">
        <v>6.9214222447171903E-2</v>
      </c>
      <c r="D53">
        <v>-1.4643393837627583E-2</v>
      </c>
      <c r="E53">
        <v>-3.2812755284550299E-4</v>
      </c>
      <c r="F53">
        <v>-2.8683551646374372E-2</v>
      </c>
    </row>
    <row r="54" spans="1:6" x14ac:dyDescent="0.2">
      <c r="A54" s="1">
        <v>39598</v>
      </c>
      <c r="B54">
        <v>-5.302017086551869E-3</v>
      </c>
      <c r="C54">
        <v>5.5621301775147902E-2</v>
      </c>
      <c r="D54">
        <v>-6.7939604204954152E-2</v>
      </c>
      <c r="E54">
        <v>1.20455535578603E-2</v>
      </c>
      <c r="F54">
        <v>5.3625511118151614E-3</v>
      </c>
    </row>
    <row r="55" spans="1:6" x14ac:dyDescent="0.2">
      <c r="A55" s="1">
        <v>39629</v>
      </c>
      <c r="B55">
        <v>-5.6938622908531134E-4</v>
      </c>
      <c r="C55">
        <v>-9.2488789237668123E-2</v>
      </c>
      <c r="D55">
        <v>4.7934880916490785E-2</v>
      </c>
      <c r="E55">
        <v>1.1923114538996415E-2</v>
      </c>
      <c r="F55">
        <v>1.5995781332395875E-2</v>
      </c>
    </row>
    <row r="56" spans="1:6" x14ac:dyDescent="0.2">
      <c r="A56" s="1">
        <v>39660</v>
      </c>
      <c r="B56">
        <v>-1.3933886112790228E-3</v>
      </c>
      <c r="C56">
        <v>-1.2476837554045717E-2</v>
      </c>
      <c r="D56">
        <v>-5.8785589665540705E-2</v>
      </c>
      <c r="E56">
        <v>-2.6237454050332176E-2</v>
      </c>
      <c r="F56">
        <v>-8.340293521059472E-3</v>
      </c>
    </row>
    <row r="57" spans="1:6" x14ac:dyDescent="0.2">
      <c r="A57" s="1">
        <v>39689</v>
      </c>
      <c r="B57">
        <v>1.2509880743719393E-2</v>
      </c>
      <c r="C57">
        <v>2.1391043282461997E-2</v>
      </c>
      <c r="D57">
        <v>-6.2854029964060754E-2</v>
      </c>
      <c r="E57">
        <v>-1.1787224054501944E-2</v>
      </c>
      <c r="F57">
        <v>1.2032101647194704E-2</v>
      </c>
    </row>
    <row r="58" spans="1:6" x14ac:dyDescent="0.2">
      <c r="A58" s="1">
        <v>39721</v>
      </c>
      <c r="B58">
        <v>7.5218084925834372E-3</v>
      </c>
      <c r="C58">
        <v>-0.12725045927740353</v>
      </c>
      <c r="D58">
        <v>-0.1329293216233064</v>
      </c>
      <c r="E58">
        <v>-1.2144327791636989E-2</v>
      </c>
      <c r="F58">
        <v>-4.1338231622498833E-2</v>
      </c>
    </row>
    <row r="59" spans="1:6" x14ac:dyDescent="0.2">
      <c r="A59" s="1">
        <v>39752</v>
      </c>
      <c r="B59">
        <v>-1.2566284624662361E-2</v>
      </c>
      <c r="C59">
        <v>-0.17793993825428023</v>
      </c>
      <c r="D59">
        <v>-0.26884656103916593</v>
      </c>
      <c r="E59">
        <v>1.6317118143144516E-2</v>
      </c>
      <c r="F59">
        <v>-9.4290249770568213E-2</v>
      </c>
    </row>
    <row r="60" spans="1:6" x14ac:dyDescent="0.2">
      <c r="A60" s="1">
        <v>39780</v>
      </c>
      <c r="B60">
        <v>3.9284057100745118E-2</v>
      </c>
      <c r="C60">
        <v>-0.11283714578354387</v>
      </c>
      <c r="D60">
        <v>-0.10498954460966547</v>
      </c>
      <c r="E60">
        <v>7.3284540037825696E-3</v>
      </c>
      <c r="F60">
        <v>1.5157946625405705E-2</v>
      </c>
    </row>
    <row r="61" spans="1:6" x14ac:dyDescent="0.2">
      <c r="A61" s="1">
        <v>39813</v>
      </c>
      <c r="B61">
        <v>1.6696759791208438E-2</v>
      </c>
      <c r="C61">
        <v>1.7317683278814666E-2</v>
      </c>
      <c r="D61">
        <v>-9.9717688288931461E-2</v>
      </c>
      <c r="E61">
        <v>1.1127579298419121E-2</v>
      </c>
      <c r="F61">
        <v>6.1945291213682641E-2</v>
      </c>
    </row>
    <row r="62" spans="1:6" x14ac:dyDescent="0.2">
      <c r="A62" s="1">
        <v>39843</v>
      </c>
      <c r="B62">
        <v>1.8921781359786394E-3</v>
      </c>
      <c r="C62">
        <v>-3.0641195384906283E-2</v>
      </c>
      <c r="D62">
        <v>-5.6099645740649295E-2</v>
      </c>
      <c r="E62">
        <v>-9.9477657619539972E-4</v>
      </c>
      <c r="F62">
        <v>1.1437752840385729E-2</v>
      </c>
    </row>
    <row r="63" spans="1:6" x14ac:dyDescent="0.2">
      <c r="A63" s="1">
        <v>39871</v>
      </c>
      <c r="B63">
        <v>5.7624999194281212E-3</v>
      </c>
      <c r="C63">
        <v>-4.1365853658536511E-2</v>
      </c>
      <c r="D63">
        <v>-1.4510700277666766E-3</v>
      </c>
      <c r="E63">
        <v>-1.2248652649369252E-3</v>
      </c>
      <c r="F63">
        <v>-3.5237533121523001E-2</v>
      </c>
    </row>
    <row r="64" spans="1:6" x14ac:dyDescent="0.2">
      <c r="A64" s="1">
        <v>39903</v>
      </c>
      <c r="B64">
        <v>1.4176306597878829E-2</v>
      </c>
      <c r="C64">
        <v>0.1213108080602483</v>
      </c>
      <c r="D64">
        <v>0.11037056056641181</v>
      </c>
      <c r="E64">
        <v>-6.1455318507339651E-3</v>
      </c>
      <c r="F64">
        <v>7.2092417832736677E-2</v>
      </c>
    </row>
    <row r="65" spans="1:6" x14ac:dyDescent="0.2">
      <c r="A65" s="1">
        <v>39933</v>
      </c>
      <c r="B65">
        <v>2.8436558039015569E-3</v>
      </c>
      <c r="C65">
        <v>0.12071156289707741</v>
      </c>
      <c r="D65">
        <v>9.6127921279212769E-2</v>
      </c>
      <c r="E65">
        <v>-8.9184079217896617E-4</v>
      </c>
      <c r="F65">
        <v>-8.4260625155561097E-3</v>
      </c>
    </row>
    <row r="66" spans="1:6" x14ac:dyDescent="0.2">
      <c r="A66" s="1">
        <v>39962</v>
      </c>
      <c r="B66">
        <v>2.9238107840727778E-3</v>
      </c>
      <c r="C66">
        <v>2.5591188856495029E-2</v>
      </c>
      <c r="D66">
        <v>5.6807368439951711E-2</v>
      </c>
      <c r="E66">
        <v>3.5352452713481419E-2</v>
      </c>
      <c r="F66">
        <v>6.9977164057573038E-3</v>
      </c>
    </row>
    <row r="67" spans="1:6" x14ac:dyDescent="0.2">
      <c r="A67" s="1">
        <v>39994</v>
      </c>
      <c r="B67">
        <v>1.2503062936273235E-3</v>
      </c>
      <c r="C67">
        <v>4.0587492103600686E-2</v>
      </c>
      <c r="D67">
        <v>5.7130357961978406E-2</v>
      </c>
      <c r="E67">
        <v>-1.169011057235525E-2</v>
      </c>
      <c r="F67">
        <v>-3.9761189674250019E-3</v>
      </c>
    </row>
    <row r="68" spans="1:6" x14ac:dyDescent="0.2">
      <c r="A68" s="1">
        <v>40025</v>
      </c>
      <c r="B68">
        <v>8.1827309236948143E-3</v>
      </c>
      <c r="C68">
        <v>9.1516163302473919E-2</v>
      </c>
      <c r="D68">
        <v>0.15322525562988387</v>
      </c>
      <c r="E68">
        <v>4.9194060562660624E-3</v>
      </c>
      <c r="F68">
        <v>9.2475034792587341E-3</v>
      </c>
    </row>
    <row r="69" spans="1:6" x14ac:dyDescent="0.2">
      <c r="A69" s="1">
        <v>40056</v>
      </c>
      <c r="B69">
        <v>6.6785340835531226E-3</v>
      </c>
      <c r="C69">
        <v>2.502780867630694E-2</v>
      </c>
      <c r="D69">
        <v>4.8938794280777076E-2</v>
      </c>
      <c r="E69">
        <v>3.7467987639923095E-3</v>
      </c>
      <c r="F69">
        <v>4.7295621828562506E-3</v>
      </c>
    </row>
    <row r="70" spans="1:6" x14ac:dyDescent="0.2">
      <c r="A70" s="1">
        <v>40086</v>
      </c>
      <c r="B70">
        <v>8.037740282062833E-3</v>
      </c>
      <c r="C70">
        <v>4.4899620184481792E-2</v>
      </c>
      <c r="D70">
        <v>-7.1144118321104788E-3</v>
      </c>
      <c r="E70">
        <v>1.7088998695201196E-2</v>
      </c>
      <c r="F70">
        <v>2.0502633559067007E-2</v>
      </c>
    </row>
    <row r="71" spans="1:6" x14ac:dyDescent="0.2">
      <c r="A71" s="1">
        <v>40116</v>
      </c>
      <c r="B71">
        <v>7.1456172525254935E-3</v>
      </c>
      <c r="C71">
        <v>-3.7647669739063749E-3</v>
      </c>
      <c r="D71">
        <v>3.8873073590756535E-2</v>
      </c>
      <c r="E71">
        <v>-5.1555780354856084E-3</v>
      </c>
      <c r="F71">
        <v>1.7955418183104976E-2</v>
      </c>
    </row>
    <row r="72" spans="1:6" x14ac:dyDescent="0.2">
      <c r="A72" s="1">
        <v>40147</v>
      </c>
      <c r="B72">
        <v>1.2825665948039466E-2</v>
      </c>
      <c r="C72">
        <v>5.1472504560854837E-2</v>
      </c>
      <c r="D72">
        <v>4.6495078529715794E-2</v>
      </c>
      <c r="E72">
        <v>2.1699879795544774E-2</v>
      </c>
      <c r="F72">
        <v>2.5548312327973388E-2</v>
      </c>
    </row>
    <row r="73" spans="1:6" x14ac:dyDescent="0.2">
      <c r="A73" s="1">
        <v>40178</v>
      </c>
      <c r="B73">
        <v>-1.4076292180772887E-2</v>
      </c>
      <c r="C73">
        <v>5.6016854628826218E-2</v>
      </c>
      <c r="D73">
        <v>7.5519158638387429E-2</v>
      </c>
      <c r="E73">
        <v>-1.3023219320867363E-2</v>
      </c>
      <c r="F73">
        <v>-2.1973737739004684E-2</v>
      </c>
    </row>
    <row r="74" spans="1:6" x14ac:dyDescent="0.2">
      <c r="A74" s="1">
        <v>40207</v>
      </c>
      <c r="B74">
        <v>1.3264864271469223E-2</v>
      </c>
      <c r="C74">
        <v>-8.4379767632906888E-2</v>
      </c>
      <c r="D74">
        <v>-8.7558666306193467E-2</v>
      </c>
      <c r="E74">
        <v>-1.9530570866210351E-2</v>
      </c>
      <c r="F74">
        <v>1.9399751581501423E-2</v>
      </c>
    </row>
    <row r="75" spans="1:6" x14ac:dyDescent="0.2">
      <c r="A75" s="1">
        <v>40235</v>
      </c>
      <c r="B75">
        <v>1.7755895559219415E-3</v>
      </c>
      <c r="C75">
        <v>4.1655985644706517E-2</v>
      </c>
      <c r="D75">
        <v>6.0623913572412258E-2</v>
      </c>
      <c r="E75">
        <v>1.5972913859152449E-3</v>
      </c>
      <c r="F75">
        <v>-1.2994961831195861E-2</v>
      </c>
    </row>
    <row r="76" spans="1:6" x14ac:dyDescent="0.2">
      <c r="A76" s="1">
        <v>40268</v>
      </c>
      <c r="B76">
        <v>3.3045536749654048E-4</v>
      </c>
      <c r="C76">
        <v>6.767564907099799E-2</v>
      </c>
      <c r="D76">
        <v>9.6605879972317954E-2</v>
      </c>
      <c r="E76">
        <v>1.5901781507143165E-2</v>
      </c>
      <c r="F76">
        <v>-4.3810289389067947E-3</v>
      </c>
    </row>
    <row r="77" spans="1:6" x14ac:dyDescent="0.2">
      <c r="A77" s="1">
        <v>40298</v>
      </c>
      <c r="B77">
        <v>6.0243134805275655E-3</v>
      </c>
      <c r="C77">
        <v>1.7863316814567209E-2</v>
      </c>
      <c r="D77">
        <v>-3.2228402163962167E-2</v>
      </c>
      <c r="E77">
        <v>8.1760635077161581E-3</v>
      </c>
      <c r="F77">
        <v>2.8230015513532658E-2</v>
      </c>
    </row>
    <row r="78" spans="1:6" x14ac:dyDescent="0.2">
      <c r="A78" s="1">
        <v>40329</v>
      </c>
      <c r="B78">
        <v>1.1200334338338447E-2</v>
      </c>
      <c r="C78">
        <v>-8.1521739130434701E-2</v>
      </c>
      <c r="D78">
        <v>-0.1131751190339898</v>
      </c>
      <c r="E78">
        <v>-1.5831179029406006E-2</v>
      </c>
      <c r="F78">
        <v>1.2731922912974092E-3</v>
      </c>
    </row>
    <row r="79" spans="1:6" x14ac:dyDescent="0.2">
      <c r="A79" s="1">
        <v>40359</v>
      </c>
      <c r="B79">
        <v>1.122388130199381E-2</v>
      </c>
      <c r="C79">
        <v>-6.2006903353057252E-2</v>
      </c>
      <c r="D79">
        <v>-5.6963880126232436E-2</v>
      </c>
      <c r="E79">
        <v>-1.1593779014537064E-3</v>
      </c>
      <c r="F79">
        <v>1.7432318128602464E-2</v>
      </c>
    </row>
    <row r="80" spans="1:6" x14ac:dyDescent="0.2">
      <c r="A80" s="1">
        <v>40389</v>
      </c>
      <c r="B80">
        <v>8.5770003269654005E-3</v>
      </c>
      <c r="C80">
        <v>7.1888553029307412E-2</v>
      </c>
      <c r="D80">
        <v>0.10671765875183525</v>
      </c>
      <c r="E80">
        <v>-6.2309587989517468E-4</v>
      </c>
      <c r="F80">
        <v>4.1237453958851145E-3</v>
      </c>
    </row>
    <row r="81" spans="1:6" x14ac:dyDescent="0.2">
      <c r="A81" s="1">
        <v>40421</v>
      </c>
      <c r="B81">
        <v>1.5340886066421699E-3</v>
      </c>
      <c r="C81">
        <v>-7.0745463462481561E-2</v>
      </c>
      <c r="D81">
        <v>-1.4172234939479833E-2</v>
      </c>
      <c r="E81">
        <v>1.6890744761737464E-2</v>
      </c>
      <c r="F81">
        <v>1.4908432942208449E-2</v>
      </c>
    </row>
    <row r="82" spans="1:6" x14ac:dyDescent="0.2">
      <c r="A82" s="1">
        <v>40451</v>
      </c>
      <c r="B82">
        <v>-3.8091164468283534E-3</v>
      </c>
      <c r="C82">
        <v>0.12138804591634766</v>
      </c>
      <c r="D82">
        <v>0.10307778351717722</v>
      </c>
      <c r="E82">
        <v>2.7352885379365866E-2</v>
      </c>
      <c r="F82">
        <v>1.8584649295782185E-2</v>
      </c>
    </row>
    <row r="83" spans="1:6" x14ac:dyDescent="0.2">
      <c r="A83" s="1">
        <v>40480</v>
      </c>
      <c r="B83">
        <v>9.794194270860368E-3</v>
      </c>
      <c r="C83">
        <v>6.4595834804094698E-2</v>
      </c>
      <c r="D83">
        <v>1.7491751184392168E-2</v>
      </c>
      <c r="E83">
        <v>2.2308151768663853E-2</v>
      </c>
      <c r="F83">
        <v>2.2509931632182179E-2</v>
      </c>
    </row>
    <row r="84" spans="1:6" x14ac:dyDescent="0.2">
      <c r="A84" s="1">
        <v>40512</v>
      </c>
      <c r="B84">
        <v>-1.7984888097221097E-3</v>
      </c>
      <c r="C84">
        <v>-1.6909814323607386E-2</v>
      </c>
      <c r="D84">
        <v>-1.8656866627788427E-2</v>
      </c>
      <c r="E84">
        <v>-9.1628478682193037E-3</v>
      </c>
      <c r="F84">
        <v>-1.4332176592334211E-2</v>
      </c>
    </row>
    <row r="85" spans="1:6" x14ac:dyDescent="0.2">
      <c r="A85" s="1">
        <v>40543</v>
      </c>
      <c r="B85">
        <v>-5.4972887717157359E-3</v>
      </c>
      <c r="C85">
        <v>5.2501405283867264E-2</v>
      </c>
      <c r="D85">
        <v>0.12620483572381058</v>
      </c>
      <c r="E85">
        <v>3.3396032885429472E-2</v>
      </c>
      <c r="F85">
        <v>-1.9566361435638391E-2</v>
      </c>
    </row>
    <row r="86" spans="1:6" x14ac:dyDescent="0.2">
      <c r="A86" s="1">
        <v>40574</v>
      </c>
      <c r="B86">
        <v>5.151446746194388E-4</v>
      </c>
      <c r="C86">
        <v>4.2191839350566029E-2</v>
      </c>
      <c r="D86">
        <v>1.6867305606979244E-2</v>
      </c>
      <c r="E86">
        <v>-7.2124827356772059E-3</v>
      </c>
      <c r="F86">
        <v>4.809395497632929E-3</v>
      </c>
    </row>
    <row r="87" spans="1:6" x14ac:dyDescent="0.2">
      <c r="A87" s="1">
        <v>40602</v>
      </c>
      <c r="B87">
        <v>2.5107604017218232E-3</v>
      </c>
      <c r="C87">
        <v>1.8960746130982864E-2</v>
      </c>
      <c r="D87">
        <v>2.4439452712319953E-2</v>
      </c>
      <c r="E87">
        <v>1.275295479218741E-2</v>
      </c>
      <c r="F87">
        <v>6.1165183388709465E-3</v>
      </c>
    </row>
    <row r="88" spans="1:6" x14ac:dyDescent="0.2">
      <c r="A88" s="1">
        <v>40633</v>
      </c>
      <c r="B88">
        <v>2.7872352703559589E-3</v>
      </c>
      <c r="C88">
        <v>-2.6252263126131603E-2</v>
      </c>
      <c r="D88">
        <v>-3.7958295158312727E-2</v>
      </c>
      <c r="E88">
        <v>-1.0905528496127914E-2</v>
      </c>
      <c r="F88">
        <v>6.8598248939435447E-3</v>
      </c>
    </row>
    <row r="89" spans="1:6" x14ac:dyDescent="0.2">
      <c r="A89" s="1">
        <v>40662</v>
      </c>
      <c r="B89">
        <v>1.0974086883462908E-2</v>
      </c>
      <c r="C89">
        <v>2.9335812416072748E-2</v>
      </c>
      <c r="D89">
        <v>-5.0468660364161311E-3</v>
      </c>
      <c r="E89">
        <v>2.3708352933925037E-2</v>
      </c>
      <c r="F89">
        <v>2.9504047248661847E-2</v>
      </c>
    </row>
    <row r="90" spans="1:6" x14ac:dyDescent="0.2">
      <c r="A90" s="1">
        <v>40694</v>
      </c>
      <c r="B90">
        <v>1.0741120218579203E-2</v>
      </c>
      <c r="C90">
        <v>-1.6859006522830011E-2</v>
      </c>
      <c r="D90">
        <v>-2.7437374135532155E-2</v>
      </c>
      <c r="E90">
        <v>-2.3014873962964644E-2</v>
      </c>
      <c r="F90">
        <v>6.9046765353686368E-3</v>
      </c>
    </row>
    <row r="91" spans="1:6" x14ac:dyDescent="0.2">
      <c r="A91" s="1">
        <v>40724</v>
      </c>
      <c r="B91">
        <v>9.3485839148033101E-4</v>
      </c>
      <c r="C91">
        <v>-2.6130448096356007E-2</v>
      </c>
      <c r="D91">
        <v>-4.4209618561340536E-3</v>
      </c>
      <c r="E91">
        <v>-1.7408496940163443E-2</v>
      </c>
      <c r="F91">
        <v>1.0535258268982384E-2</v>
      </c>
    </row>
    <row r="92" spans="1:6" x14ac:dyDescent="0.2">
      <c r="A92" s="1">
        <v>40753</v>
      </c>
      <c r="B92">
        <v>9.2948411381117424E-3</v>
      </c>
      <c r="C92">
        <v>1.5931244104391729E-2</v>
      </c>
      <c r="D92">
        <v>4.5302466364798066E-2</v>
      </c>
      <c r="E92">
        <v>1.6556570391669911E-2</v>
      </c>
      <c r="F92">
        <v>4.0664689980820512E-2</v>
      </c>
    </row>
    <row r="93" spans="1:6" x14ac:dyDescent="0.2">
      <c r="A93" s="1">
        <v>40786</v>
      </c>
      <c r="B93">
        <v>1.2453661119937731E-2</v>
      </c>
      <c r="C93">
        <v>-6.0455999174662267E-2</v>
      </c>
      <c r="D93">
        <v>-7.4837536604256516E-2</v>
      </c>
      <c r="E93">
        <v>-5.1121648646952345E-3</v>
      </c>
      <c r="F93">
        <v>1.1614351294218839E-2</v>
      </c>
    </row>
    <row r="94" spans="1:6" x14ac:dyDescent="0.2">
      <c r="A94" s="1">
        <v>40816</v>
      </c>
      <c r="B94">
        <v>1.7068698759490353E-3</v>
      </c>
      <c r="C94">
        <v>-3.3929943999121415E-2</v>
      </c>
      <c r="D94">
        <v>-0.20058644038488704</v>
      </c>
      <c r="E94">
        <v>-1.2433538373822772E-2</v>
      </c>
      <c r="F94">
        <v>-8.3202631880940903E-4</v>
      </c>
    </row>
    <row r="95" spans="1:6" x14ac:dyDescent="0.2">
      <c r="A95" s="1">
        <v>40847</v>
      </c>
      <c r="B95">
        <v>-2.7483248959736528E-5</v>
      </c>
      <c r="C95">
        <v>0.11513980450102301</v>
      </c>
      <c r="D95">
        <v>9.3217606117719676E-2</v>
      </c>
      <c r="E95">
        <v>-9.2411245091531535E-3</v>
      </c>
      <c r="F95">
        <v>1.1275208897651989E-2</v>
      </c>
    </row>
    <row r="96" spans="1:6" x14ac:dyDescent="0.2">
      <c r="A96" s="1">
        <v>40877</v>
      </c>
      <c r="B96">
        <v>1.8194410852883092E-3</v>
      </c>
      <c r="C96">
        <v>-1.7225563143410394E-2</v>
      </c>
      <c r="D96">
        <v>-3.0156198018320812E-2</v>
      </c>
      <c r="E96">
        <v>-6.527056965234701E-3</v>
      </c>
      <c r="F96">
        <v>1.296199895887562E-2</v>
      </c>
    </row>
    <row r="97" spans="1:6" x14ac:dyDescent="0.2">
      <c r="A97" s="1">
        <v>40907</v>
      </c>
      <c r="B97">
        <v>7.0121533016926918E-3</v>
      </c>
      <c r="C97">
        <v>-8.8155984235637197E-3</v>
      </c>
      <c r="D97">
        <v>-4.251515088373814E-2</v>
      </c>
      <c r="E97">
        <v>-2.4774665427476084E-3</v>
      </c>
      <c r="F97">
        <v>2.0602759181309604E-3</v>
      </c>
    </row>
    <row r="98" spans="1:6" x14ac:dyDescent="0.2">
      <c r="A98" s="1">
        <v>40939</v>
      </c>
      <c r="B98">
        <v>4.0755613431917581E-3</v>
      </c>
      <c r="C98">
        <v>7.6174531756827424E-2</v>
      </c>
      <c r="D98">
        <v>0.10917466712485657</v>
      </c>
      <c r="E98">
        <v>1.2674140364055342E-2</v>
      </c>
      <c r="F98">
        <v>2.545106997995239E-2</v>
      </c>
    </row>
    <row r="99" spans="1:6" x14ac:dyDescent="0.2">
      <c r="A99" s="1">
        <v>40968</v>
      </c>
      <c r="B99">
        <v>9.225042191001176E-4</v>
      </c>
      <c r="C99">
        <v>7.3505104521147224E-2</v>
      </c>
      <c r="D99">
        <v>7.8517511604270229E-3</v>
      </c>
      <c r="E99">
        <v>7.894786998136949E-3</v>
      </c>
      <c r="F99">
        <v>-3.2189280242237439E-3</v>
      </c>
    </row>
    <row r="100" spans="1:6" x14ac:dyDescent="0.2">
      <c r="A100" s="1">
        <v>40998</v>
      </c>
      <c r="B100">
        <v>6.5057928663980746E-4</v>
      </c>
      <c r="C100">
        <v>5.053890046191456E-2</v>
      </c>
      <c r="D100">
        <v>-5.3876550097044507E-2</v>
      </c>
      <c r="E100">
        <v>-1.3185557759400779E-2</v>
      </c>
      <c r="F100">
        <v>-5.4597452118900769E-3</v>
      </c>
    </row>
    <row r="101" spans="1:6" x14ac:dyDescent="0.2">
      <c r="A101" s="1">
        <v>41029</v>
      </c>
      <c r="B101">
        <v>6.4853091764145443E-3</v>
      </c>
      <c r="C101">
        <v>-1.8880938011897608E-2</v>
      </c>
      <c r="D101">
        <v>3.0949312899457571E-3</v>
      </c>
      <c r="E101">
        <v>-5.7933653187722811E-3</v>
      </c>
      <c r="F101">
        <v>2.0339931389994792E-2</v>
      </c>
    </row>
    <row r="102" spans="1:6" x14ac:dyDescent="0.2">
      <c r="A102" s="1">
        <v>41060</v>
      </c>
      <c r="B102">
        <v>3.1652383618276936E-3</v>
      </c>
      <c r="C102">
        <v>-7.7152899824253107E-2</v>
      </c>
      <c r="D102">
        <v>-9.6474373693121063E-2</v>
      </c>
      <c r="E102">
        <v>4.0365403664328614E-3</v>
      </c>
      <c r="F102">
        <v>1.8428705630643805E-2</v>
      </c>
    </row>
    <row r="103" spans="1:6" x14ac:dyDescent="0.2">
      <c r="A103" s="1">
        <v>41089</v>
      </c>
      <c r="B103">
        <v>1.15907188392117E-3</v>
      </c>
      <c r="C103">
        <v>2.9708626928204307E-2</v>
      </c>
      <c r="D103">
        <v>3.8363418335760624E-3</v>
      </c>
      <c r="E103">
        <v>-1.4201680418060025E-2</v>
      </c>
      <c r="F103">
        <v>-3.5396042881291612E-3</v>
      </c>
    </row>
    <row r="104" spans="1:6" x14ac:dyDescent="0.2">
      <c r="A104" s="1">
        <v>41121</v>
      </c>
      <c r="B104">
        <v>8.0344317475291582E-3</v>
      </c>
      <c r="C104">
        <v>9.8021083780284179E-3</v>
      </c>
      <c r="D104">
        <v>-2.4762950828857599E-2</v>
      </c>
      <c r="E104">
        <v>2.0088961747473988E-2</v>
      </c>
      <c r="F104">
        <v>1.4306151645207432E-2</v>
      </c>
    </row>
    <row r="105" spans="1:6" x14ac:dyDescent="0.2">
      <c r="A105" s="1">
        <v>41152</v>
      </c>
      <c r="B105">
        <v>1.1272338638066426E-3</v>
      </c>
      <c r="C105">
        <v>5.0091575091575136E-2</v>
      </c>
      <c r="D105">
        <v>2.8132267343761175E-3</v>
      </c>
      <c r="E105">
        <v>-2.2822593880253983E-3</v>
      </c>
      <c r="F105">
        <v>4.2793451728551091E-4</v>
      </c>
    </row>
    <row r="106" spans="1:6" x14ac:dyDescent="0.2">
      <c r="A106" s="1">
        <v>41180</v>
      </c>
      <c r="B106">
        <v>2.07666119617822E-3</v>
      </c>
      <c r="C106">
        <v>1.2121740647074164E-2</v>
      </c>
      <c r="D106">
        <v>0.11025124105342266</v>
      </c>
      <c r="E106">
        <v>-3.0175992760539394E-4</v>
      </c>
      <c r="F106">
        <v>1.0222387115078391E-2</v>
      </c>
    </row>
    <row r="107" spans="1:6" x14ac:dyDescent="0.2">
      <c r="A107" s="1">
        <v>41213</v>
      </c>
      <c r="B107">
        <v>-1.6748465607344665E-3</v>
      </c>
      <c r="C107">
        <v>-6.7551266586248548E-2</v>
      </c>
      <c r="D107">
        <v>-9.2744216873312801E-2</v>
      </c>
      <c r="E107">
        <v>-1.837322095604943E-2</v>
      </c>
      <c r="F107">
        <v>5.7939830717184115E-3</v>
      </c>
    </row>
    <row r="108" spans="1:6" x14ac:dyDescent="0.2">
      <c r="A108" s="1">
        <v>41243</v>
      </c>
      <c r="B108">
        <v>-1.7201286911094904E-3</v>
      </c>
      <c r="C108">
        <v>1.007207540195898E-2</v>
      </c>
      <c r="D108">
        <v>6.9925148238696444E-2</v>
      </c>
      <c r="E108">
        <v>-6.44670878578113E-4</v>
      </c>
      <c r="F108">
        <v>6.4865886557725627E-3</v>
      </c>
    </row>
    <row r="109" spans="1:6" x14ac:dyDescent="0.2">
      <c r="A109" s="1">
        <v>41274</v>
      </c>
      <c r="B109">
        <v>1.3667740940468409E-3</v>
      </c>
      <c r="C109">
        <v>-4.5741469215987429E-4</v>
      </c>
      <c r="D109">
        <v>-7.3716408001648359E-3</v>
      </c>
      <c r="E109">
        <v>1.0210786981236009E-2</v>
      </c>
      <c r="F109">
        <v>-7.6782558963371939E-3</v>
      </c>
    </row>
    <row r="110" spans="1:6" x14ac:dyDescent="0.2">
      <c r="A110" s="1">
        <v>41305</v>
      </c>
      <c r="B110">
        <v>-5.0028944559219468E-3</v>
      </c>
      <c r="C110">
        <v>1.3545670876807581E-2</v>
      </c>
      <c r="D110">
        <v>2.286054249587588E-2</v>
      </c>
      <c r="E110">
        <v>1.526979061451339E-2</v>
      </c>
      <c r="F110">
        <v>-7.9613245648367803E-3</v>
      </c>
    </row>
    <row r="111" spans="1:6" x14ac:dyDescent="0.2">
      <c r="A111" s="1">
        <v>41333</v>
      </c>
      <c r="B111">
        <v>3.3893962604549799E-3</v>
      </c>
      <c r="C111">
        <v>5.869604478959678E-3</v>
      </c>
      <c r="D111">
        <v>-5.6316899264906461E-2</v>
      </c>
      <c r="E111">
        <v>-6.7914589939099823E-3</v>
      </c>
      <c r="F111">
        <v>5.2677673337726549E-3</v>
      </c>
    </row>
    <row r="112" spans="1:6" x14ac:dyDescent="0.2">
      <c r="A112" s="1">
        <v>41362</v>
      </c>
      <c r="B112">
        <v>1.1649927653416547E-3</v>
      </c>
      <c r="C112">
        <v>2.4777807702666355E-2</v>
      </c>
      <c r="D112">
        <v>-4.5254012549631351E-2</v>
      </c>
      <c r="E112">
        <v>4.0739710770019144E-3</v>
      </c>
      <c r="F112">
        <v>5.5291271138560028E-3</v>
      </c>
    </row>
    <row r="113" spans="1:6" x14ac:dyDescent="0.2">
      <c r="A113" s="1">
        <v>41394</v>
      </c>
      <c r="B113">
        <v>5.3187249937567405E-3</v>
      </c>
      <c r="C113">
        <v>8.8480070083223339E-3</v>
      </c>
      <c r="D113">
        <v>-5.0649591620250622E-2</v>
      </c>
      <c r="E113">
        <v>6.5293638901491313E-3</v>
      </c>
      <c r="F113">
        <v>6.5795963885135755E-3</v>
      </c>
    </row>
    <row r="114" spans="1:6" x14ac:dyDescent="0.2">
      <c r="A114" s="1">
        <v>41425</v>
      </c>
      <c r="B114">
        <v>-1.5332656814866508E-2</v>
      </c>
      <c r="C114">
        <v>4.4546717610281394E-2</v>
      </c>
      <c r="D114">
        <v>1.6082698376758131E-2</v>
      </c>
      <c r="E114">
        <v>-1.2510328251848835E-2</v>
      </c>
      <c r="F114">
        <v>-4.7132466049369603E-2</v>
      </c>
    </row>
    <row r="115" spans="1:6" x14ac:dyDescent="0.2">
      <c r="A115" s="1">
        <v>41453</v>
      </c>
      <c r="B115">
        <v>-9.6187393654423303E-3</v>
      </c>
      <c r="C115">
        <v>-3.6412004322886382E-2</v>
      </c>
      <c r="D115">
        <v>-7.10578635133301E-2</v>
      </c>
      <c r="E115">
        <v>-1.5689032159481475E-2</v>
      </c>
      <c r="F115">
        <v>-5.3882066738813572E-2</v>
      </c>
    </row>
    <row r="116" spans="1:6" x14ac:dyDescent="0.2">
      <c r="A116" s="1">
        <v>41486</v>
      </c>
      <c r="B116">
        <v>-8.9967535810864252E-4</v>
      </c>
      <c r="C116">
        <v>4.1497713743421594E-2</v>
      </c>
      <c r="D116">
        <v>9.2457405715129504E-3</v>
      </c>
      <c r="E116">
        <v>-5.6116493981117621E-4</v>
      </c>
      <c r="F116">
        <v>7.4396532573297591E-3</v>
      </c>
    </row>
    <row r="117" spans="1:6" x14ac:dyDescent="0.2">
      <c r="A117" s="1">
        <v>41516</v>
      </c>
      <c r="B117">
        <v>-2.8587702405814541E-3</v>
      </c>
      <c r="C117">
        <v>-6.1298873426109957E-3</v>
      </c>
      <c r="D117">
        <v>1.7376748881822612E-2</v>
      </c>
      <c r="E117">
        <v>-1.0824676613365836E-2</v>
      </c>
      <c r="F117">
        <v>-1.0087124606484865E-2</v>
      </c>
    </row>
    <row r="118" spans="1:6" x14ac:dyDescent="0.2">
      <c r="A118" s="1">
        <v>41547</v>
      </c>
      <c r="B118">
        <v>1.4079143500636437E-2</v>
      </c>
      <c r="C118">
        <v>2.8588098016335994E-2</v>
      </c>
      <c r="D118">
        <v>1.5724227676923608E-2</v>
      </c>
      <c r="E118">
        <v>-1.6629693997630701E-3</v>
      </c>
      <c r="F118">
        <v>1.6455522221116459E-2</v>
      </c>
    </row>
    <row r="119" spans="1:6" x14ac:dyDescent="0.2">
      <c r="A119" s="1">
        <v>41578</v>
      </c>
      <c r="B119">
        <v>6.8130854157055776E-3</v>
      </c>
      <c r="C119">
        <v>4.5701320800583645E-2</v>
      </c>
      <c r="D119">
        <v>4.1885267856307529E-3</v>
      </c>
      <c r="E119">
        <v>8.2944110470013488E-3</v>
      </c>
      <c r="F119">
        <v>8.318373627398401E-3</v>
      </c>
    </row>
    <row r="120" spans="1:6" x14ac:dyDescent="0.2">
      <c r="A120" s="1">
        <v>41607</v>
      </c>
      <c r="B120">
        <v>-6.2234915492658249E-3</v>
      </c>
      <c r="C120">
        <v>3.8744672607516462E-2</v>
      </c>
      <c r="D120">
        <v>-4.795763361854144E-2</v>
      </c>
      <c r="E120">
        <v>5.2379659643575494E-3</v>
      </c>
      <c r="F120">
        <v>-1.1394272343455913E-2</v>
      </c>
    </row>
    <row r="121" spans="1:6" x14ac:dyDescent="0.2">
      <c r="A121" s="1">
        <v>41639</v>
      </c>
      <c r="B121">
        <v>-4.7182962661118655E-3</v>
      </c>
      <c r="C121">
        <v>4.1327862737784438E-2</v>
      </c>
      <c r="D121">
        <v>4.893850458061344E-2</v>
      </c>
      <c r="E121">
        <v>4.7046248627378162E-3</v>
      </c>
      <c r="F121">
        <v>-2.0848048272797404E-2</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A3C2F-A3FD-4601-948D-A576CC32A13C}">
  <sheetPr>
    <tabColor theme="8" tint="0.79998168889431442"/>
  </sheetPr>
  <dimension ref="A1:AD123"/>
  <sheetViews>
    <sheetView topLeftCell="A26" zoomScale="76" zoomScaleNormal="85" workbookViewId="0">
      <selection activeCell="AB1" sqref="AB1:AB1048576"/>
    </sheetView>
  </sheetViews>
  <sheetFormatPr baseColWidth="10" defaultColWidth="8.83203125" defaultRowHeight="15" x14ac:dyDescent="0.2"/>
  <sheetData>
    <row r="1" spans="1:30" x14ac:dyDescent="0.2">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row>
    <row r="2" spans="1:30" x14ac:dyDescent="0.2">
      <c r="B2" t="s">
        <v>32</v>
      </c>
      <c r="C2" t="s">
        <v>33</v>
      </c>
      <c r="D2" t="s">
        <v>34</v>
      </c>
      <c r="E2" t="s">
        <v>35</v>
      </c>
      <c r="F2" t="s">
        <v>36</v>
      </c>
      <c r="G2" t="s">
        <v>37</v>
      </c>
      <c r="H2" t="s">
        <v>38</v>
      </c>
      <c r="I2" t="s">
        <v>39</v>
      </c>
      <c r="J2" t="s">
        <v>40</v>
      </c>
      <c r="K2" t="s">
        <v>41</v>
      </c>
      <c r="L2" t="s">
        <v>42</v>
      </c>
      <c r="M2" t="s">
        <v>43</v>
      </c>
      <c r="N2" t="s">
        <v>44</v>
      </c>
      <c r="O2" t="s">
        <v>45</v>
      </c>
      <c r="P2" t="s">
        <v>46</v>
      </c>
      <c r="Q2" t="s">
        <v>47</v>
      </c>
      <c r="R2" t="s">
        <v>48</v>
      </c>
      <c r="S2" t="s">
        <v>49</v>
      </c>
      <c r="T2" t="s">
        <v>50</v>
      </c>
      <c r="U2" t="s">
        <v>51</v>
      </c>
      <c r="V2" t="s">
        <v>52</v>
      </c>
      <c r="W2" t="s">
        <v>53</v>
      </c>
      <c r="X2" t="s">
        <v>54</v>
      </c>
      <c r="Y2" t="s">
        <v>55</v>
      </c>
      <c r="Z2" t="s">
        <v>56</v>
      </c>
      <c r="AA2" t="s">
        <v>57</v>
      </c>
      <c r="AB2" t="s">
        <v>58</v>
      </c>
    </row>
    <row r="3" spans="1:30" x14ac:dyDescent="0.2">
      <c r="B3" t="s">
        <v>59</v>
      </c>
      <c r="C3" t="s">
        <v>59</v>
      </c>
      <c r="D3" t="s">
        <v>59</v>
      </c>
      <c r="E3" t="s">
        <v>59</v>
      </c>
      <c r="F3" t="s">
        <v>59</v>
      </c>
      <c r="G3" t="s">
        <v>59</v>
      </c>
      <c r="H3" t="s">
        <v>59</v>
      </c>
      <c r="I3" t="s">
        <v>59</v>
      </c>
      <c r="J3" t="s">
        <v>59</v>
      </c>
      <c r="K3" t="s">
        <v>59</v>
      </c>
      <c r="L3" t="s">
        <v>59</v>
      </c>
      <c r="M3" t="s">
        <v>59</v>
      </c>
      <c r="N3" t="s">
        <v>59</v>
      </c>
      <c r="O3" t="s">
        <v>59</v>
      </c>
      <c r="P3" t="s">
        <v>59</v>
      </c>
      <c r="Q3" t="s">
        <v>59</v>
      </c>
      <c r="R3" t="s">
        <v>59</v>
      </c>
      <c r="S3" t="s">
        <v>59</v>
      </c>
      <c r="T3" t="s">
        <v>59</v>
      </c>
      <c r="U3" t="s">
        <v>59</v>
      </c>
      <c r="V3" t="s">
        <v>59</v>
      </c>
      <c r="W3" t="s">
        <v>59</v>
      </c>
      <c r="X3" t="s">
        <v>59</v>
      </c>
      <c r="Y3" t="s">
        <v>59</v>
      </c>
      <c r="Z3" t="s">
        <v>59</v>
      </c>
      <c r="AA3" t="s">
        <v>59</v>
      </c>
      <c r="AB3" t="s">
        <v>59</v>
      </c>
      <c r="AD3">
        <f>COUNT(D4:D123)</f>
        <v>120</v>
      </c>
    </row>
    <row r="4" spans="1:30" x14ac:dyDescent="0.2">
      <c r="A4" s="1">
        <v>38016</v>
      </c>
      <c r="B4">
        <v>4.5136226661621759E-3</v>
      </c>
      <c r="C4">
        <v>2.1072107724726674E-3</v>
      </c>
      <c r="D4">
        <v>8.0453023030973014E-3</v>
      </c>
      <c r="E4">
        <v>3.7328896444264181E-3</v>
      </c>
      <c r="F4">
        <v>-2.0592771687023226E-2</v>
      </c>
      <c r="G4">
        <v>1.8131402072775415E-2</v>
      </c>
      <c r="H4">
        <v>1.9500001757627894E-2</v>
      </c>
      <c r="I4">
        <v>2.7989998174359432E-2</v>
      </c>
      <c r="J4">
        <v>1.5380019766567221E-2</v>
      </c>
      <c r="K4">
        <v>1.2109999197901677E-2</v>
      </c>
      <c r="L4">
        <v>5.1267545875612885E-3</v>
      </c>
      <c r="M4">
        <v>1.2326081607708428E-2</v>
      </c>
      <c r="N4">
        <v>1.6153007630561822E-2</v>
      </c>
      <c r="O4">
        <v>1.6045880594972139E-2</v>
      </c>
      <c r="P4">
        <v>1.0467978462811445E-2</v>
      </c>
      <c r="Q4">
        <v>1.4140665903047855E-2</v>
      </c>
      <c r="R4">
        <v>3.492137072701329E-2</v>
      </c>
      <c r="S4">
        <v>1.1691090270627091E-2</v>
      </c>
      <c r="T4">
        <v>1.8092314197255543E-2</v>
      </c>
      <c r="U4">
        <v>6.0155691600111805E-2</v>
      </c>
      <c r="V4">
        <v>2.0422331878443112E-2</v>
      </c>
      <c r="W4">
        <v>1.7583723898703107E-2</v>
      </c>
      <c r="X4">
        <v>4.3445898834019836E-2</v>
      </c>
      <c r="Y4">
        <v>2.905047632260449E-2</v>
      </c>
      <c r="Z4">
        <v>-3.1291370802744023E-2</v>
      </c>
      <c r="AA4">
        <v>1.8354972059948071E-2</v>
      </c>
      <c r="AB4">
        <v>7.3130599061488333E-4</v>
      </c>
      <c r="AD4" cm="1">
        <f t="array" ref="AD4">SUMPRODUCT(--(Data!A2:A121&lt;&gt;Factors!A4:A123))</f>
        <v>0</v>
      </c>
    </row>
    <row r="5" spans="1:30" x14ac:dyDescent="0.2">
      <c r="A5" s="1">
        <v>38044</v>
      </c>
      <c r="B5">
        <v>1.4482163709197193E-2</v>
      </c>
      <c r="C5">
        <v>5.0261565288749477E-3</v>
      </c>
      <c r="D5">
        <v>1.0824141946975452E-2</v>
      </c>
      <c r="E5">
        <v>5.1522151231468971E-3</v>
      </c>
      <c r="F5">
        <v>5.6063937953703125E-3</v>
      </c>
      <c r="G5">
        <v>6.4882009642222682E-2</v>
      </c>
      <c r="H5">
        <v>1.1099998870124805E-2</v>
      </c>
      <c r="I5">
        <v>1.2020002834621124E-2</v>
      </c>
      <c r="J5">
        <v>1.0909982882428171E-2</v>
      </c>
      <c r="K5">
        <v>5.5000077185720642E-3</v>
      </c>
      <c r="L5">
        <v>3.482482059940839E-3</v>
      </c>
      <c r="M5">
        <v>2.4775375158766044E-2</v>
      </c>
      <c r="N5">
        <v>-1.0965910322259242E-3</v>
      </c>
      <c r="O5">
        <v>1.6745270710005755E-2</v>
      </c>
      <c r="P5">
        <v>2.1644466961615372E-2</v>
      </c>
      <c r="Q5">
        <v>2.308435683325194E-2</v>
      </c>
      <c r="R5">
        <v>4.5857114741192806E-2</v>
      </c>
      <c r="S5">
        <v>2.9289310903013899E-2</v>
      </c>
      <c r="T5">
        <v>-2.9369057084474015E-3</v>
      </c>
      <c r="U5">
        <v>3.3519225554928367E-2</v>
      </c>
      <c r="V5">
        <v>6.3532895335756123E-3</v>
      </c>
      <c r="W5">
        <v>2.1431799727290812E-2</v>
      </c>
      <c r="X5">
        <v>8.9643315474654539E-3</v>
      </c>
      <c r="Y5">
        <v>2.1534399707893837E-2</v>
      </c>
      <c r="Z5">
        <v>-1.5654118524040306E-2</v>
      </c>
      <c r="AA5">
        <v>1.3899443828627511E-2</v>
      </c>
      <c r="AB5">
        <v>7.3077157298584439E-4</v>
      </c>
    </row>
    <row r="6" spans="1:30" x14ac:dyDescent="0.2">
      <c r="A6" s="1">
        <v>38077</v>
      </c>
      <c r="B6">
        <v>-4.7764906332409263E-3</v>
      </c>
      <c r="C6">
        <v>3.2149418248621497E-3</v>
      </c>
      <c r="D6">
        <v>7.4889867841410052E-3</v>
      </c>
      <c r="E6">
        <v>1.1076523950998451E-2</v>
      </c>
      <c r="F6">
        <v>1.8216191177127472E-2</v>
      </c>
      <c r="G6">
        <v>3.0877435445310297E-2</v>
      </c>
      <c r="H6">
        <v>3.5899976739366402E-3</v>
      </c>
      <c r="I6">
        <v>5.7999971080802126E-4</v>
      </c>
      <c r="J6">
        <v>4.4400218583666717E-3</v>
      </c>
      <c r="K6">
        <v>4.3299893811978851E-3</v>
      </c>
      <c r="L6">
        <v>2.4958810951028809E-2</v>
      </c>
      <c r="M6">
        <v>1.7390173366180761E-2</v>
      </c>
      <c r="N6">
        <v>6.6713818330137453E-3</v>
      </c>
      <c r="O6">
        <v>-6.6356141858682216E-3</v>
      </c>
      <c r="P6">
        <v>-4.9301963957668615E-3</v>
      </c>
      <c r="Q6">
        <v>5.6267339088484913E-3</v>
      </c>
      <c r="R6">
        <v>1.2497891061996391E-2</v>
      </c>
      <c r="S6">
        <v>-3.1163745724708702E-2</v>
      </c>
      <c r="T6">
        <v>0.1342724971675584</v>
      </c>
      <c r="U6">
        <v>-1.7081108676692658E-2</v>
      </c>
      <c r="V6">
        <v>-1.8550190416387391E-2</v>
      </c>
      <c r="W6">
        <v>-8.7520788062074306E-3</v>
      </c>
      <c r="X6">
        <v>9.3196652709175432E-3</v>
      </c>
      <c r="Y6">
        <v>2.0896228230804503E-4</v>
      </c>
      <c r="Z6">
        <v>7.6486179477470717E-2</v>
      </c>
      <c r="AA6">
        <v>-1.5086232619203943E-2</v>
      </c>
      <c r="AB6">
        <v>7.910910971824503E-4</v>
      </c>
    </row>
    <row r="7" spans="1:30" x14ac:dyDescent="0.2">
      <c r="A7" s="1">
        <v>38107</v>
      </c>
      <c r="B7">
        <v>-2.0876863765653453E-2</v>
      </c>
      <c r="C7">
        <v>-1.0071722875019007E-2</v>
      </c>
      <c r="D7">
        <v>-2.6016615653694841E-2</v>
      </c>
      <c r="E7">
        <v>-3.656403634352956E-2</v>
      </c>
      <c r="F7">
        <v>1.1406883619535124E-2</v>
      </c>
      <c r="G7">
        <v>-1.7736548307438538E-2</v>
      </c>
      <c r="H7">
        <v>-2.077999745755299E-2</v>
      </c>
      <c r="I7">
        <v>-5.6199909563863226E-3</v>
      </c>
      <c r="J7">
        <v>-7.0900013461940858E-3</v>
      </c>
      <c r="K7">
        <v>-5.0599987510285827E-3</v>
      </c>
      <c r="L7">
        <v>-5.4311022948801191E-2</v>
      </c>
      <c r="M7">
        <v>-4.6496063288188449E-2</v>
      </c>
      <c r="N7">
        <v>-6.6013073304038716E-3</v>
      </c>
      <c r="O7">
        <v>-2.0481467970296485E-2</v>
      </c>
      <c r="P7">
        <v>-8.338931027871932E-2</v>
      </c>
      <c r="Q7">
        <v>-2.2620941014493079E-2</v>
      </c>
      <c r="R7">
        <v>-8.1880639868744942E-2</v>
      </c>
      <c r="S7">
        <v>-8.2941920892145582E-3</v>
      </c>
      <c r="T7">
        <v>-5.4216945090485025E-2</v>
      </c>
      <c r="U7">
        <v>-5.496883656509699E-2</v>
      </c>
      <c r="V7">
        <v>-1.1625293421694494E-2</v>
      </c>
      <c r="W7">
        <v>-2.4439606499827016E-2</v>
      </c>
      <c r="X7">
        <v>-5.0984403791642596E-2</v>
      </c>
      <c r="Y7">
        <v>-3.6717448553788334E-2</v>
      </c>
      <c r="Z7">
        <v>-9.3094149372728308E-2</v>
      </c>
      <c r="AA7">
        <v>-1.5698428278862364E-2</v>
      </c>
      <c r="AB7">
        <v>7.9046576675168012E-4</v>
      </c>
    </row>
    <row r="8" spans="1:30" x14ac:dyDescent="0.2">
      <c r="A8" s="1">
        <v>38138</v>
      </c>
      <c r="B8">
        <v>-2.2641617192471486E-3</v>
      </c>
      <c r="C8">
        <v>-1.1304660603259631E-3</v>
      </c>
      <c r="D8">
        <v>-4.0058706725372151E-3</v>
      </c>
      <c r="E8">
        <v>4.9003611723277274E-3</v>
      </c>
      <c r="F8">
        <v>1.6968154029693983E-2</v>
      </c>
      <c r="G8">
        <v>1.6954736383852254E-2</v>
      </c>
      <c r="H8">
        <v>-1.9099969219866786E-3</v>
      </c>
      <c r="I8">
        <v>-3.1200008209378849E-3</v>
      </c>
      <c r="J8">
        <v>-8.7800170451353132E-3</v>
      </c>
      <c r="K8">
        <v>-3.449993799749862E-3</v>
      </c>
      <c r="L8">
        <v>-1.4827673501862426E-2</v>
      </c>
      <c r="M8">
        <v>1.6443736395469921E-2</v>
      </c>
      <c r="N8">
        <v>-1.5711508756096171E-2</v>
      </c>
      <c r="O8">
        <v>9.1110062055117513E-3</v>
      </c>
      <c r="P8">
        <v>2.6529006996956372E-2</v>
      </c>
      <c r="Q8">
        <v>3.3625107145234256E-3</v>
      </c>
      <c r="R8">
        <v>-1.9950298765845753E-2</v>
      </c>
      <c r="S8">
        <v>1.6240393355223093E-2</v>
      </c>
      <c r="T8">
        <v>-3.5112695996121768E-2</v>
      </c>
      <c r="U8">
        <v>-3.3586760709596541E-2</v>
      </c>
      <c r="V8">
        <v>1.863884818484185E-2</v>
      </c>
      <c r="W8">
        <v>1.0198344223200317E-2</v>
      </c>
      <c r="X8">
        <v>1.5916285728868163E-2</v>
      </c>
      <c r="Y8">
        <v>2.481301063577801E-2</v>
      </c>
      <c r="Z8">
        <v>2.2753716871363849E-2</v>
      </c>
      <c r="AA8">
        <v>1.3722898767690728E-2</v>
      </c>
      <c r="AB8">
        <v>7.8984142414473268E-4</v>
      </c>
    </row>
    <row r="9" spans="1:30" x14ac:dyDescent="0.2">
      <c r="A9" s="1">
        <v>38168</v>
      </c>
      <c r="B9">
        <v>3.3728520634501713E-3</v>
      </c>
      <c r="C9">
        <v>-1.0288595092333708E-4</v>
      </c>
      <c r="D9">
        <v>5.6515784546573578E-3</v>
      </c>
      <c r="E9">
        <v>2.922565977729219E-3</v>
      </c>
      <c r="F9">
        <v>-1.5797071838957955E-2</v>
      </c>
      <c r="G9">
        <v>-4.1462267061582181E-2</v>
      </c>
      <c r="H9">
        <v>1.0649995400360268E-2</v>
      </c>
      <c r="I9">
        <v>1.7579991357553837E-2</v>
      </c>
      <c r="J9">
        <v>3.6000125969946062E-3</v>
      </c>
      <c r="K9">
        <v>1.6100010732003067E-3</v>
      </c>
      <c r="L9">
        <v>1.4683748761058713E-2</v>
      </c>
      <c r="M9">
        <v>-2.6148152171382444E-3</v>
      </c>
      <c r="N9">
        <v>1.4527412749562485E-2</v>
      </c>
      <c r="O9">
        <v>2.052881182659716E-2</v>
      </c>
      <c r="P9">
        <v>4.2358963410190409E-2</v>
      </c>
      <c r="Q9">
        <v>2.1910248976547253E-2</v>
      </c>
      <c r="R9">
        <v>4.259319933332506E-3</v>
      </c>
      <c r="S9">
        <v>1.3375713190780569E-2</v>
      </c>
      <c r="T9">
        <v>5.3855014690084468E-2</v>
      </c>
      <c r="U9">
        <v>-9.0281507693279472E-3</v>
      </c>
      <c r="V9">
        <v>1.2495750518637605E-2</v>
      </c>
      <c r="W9">
        <v>2.3628197992438205E-2</v>
      </c>
      <c r="X9">
        <v>4.2113399073793856E-2</v>
      </c>
      <c r="Y9">
        <v>2.7662370933069003E-2</v>
      </c>
      <c r="Z9">
        <v>-3.2865630135254786E-3</v>
      </c>
      <c r="AA9">
        <v>1.9444936980964389E-2</v>
      </c>
      <c r="AB9">
        <v>6.6779990286547353E-4</v>
      </c>
    </row>
    <row r="10" spans="1:30" x14ac:dyDescent="0.2">
      <c r="A10" s="1">
        <v>38198</v>
      </c>
      <c r="B10">
        <v>1.1548622371622796E-2</v>
      </c>
      <c r="C10">
        <v>3.6528270823688036E-3</v>
      </c>
      <c r="D10">
        <v>9.9122549949146599E-3</v>
      </c>
      <c r="E10">
        <v>-2.074828000888651E-4</v>
      </c>
      <c r="F10">
        <v>-1.2661880678798143E-2</v>
      </c>
      <c r="G10">
        <v>1.766682089762428E-2</v>
      </c>
      <c r="H10">
        <v>-1.8820000186060226E-2</v>
      </c>
      <c r="I10">
        <v>-9.3100039320574979E-3</v>
      </c>
      <c r="J10">
        <v>-5.649998580187221E-3</v>
      </c>
      <c r="K10">
        <v>6.5199865367921994E-3</v>
      </c>
      <c r="L10">
        <v>2.9702253898194586E-2</v>
      </c>
      <c r="M10">
        <v>1.613455314911616E-2</v>
      </c>
      <c r="N10">
        <v>1.3476433079504968E-2</v>
      </c>
      <c r="O10">
        <v>-3.2649903525320934E-2</v>
      </c>
      <c r="P10">
        <v>7.8729651043984994E-4</v>
      </c>
      <c r="Q10">
        <v>-3.2453533169977233E-2</v>
      </c>
      <c r="R10">
        <v>-1.8305483843513382E-2</v>
      </c>
      <c r="S10">
        <v>-2.7519388108189657E-2</v>
      </c>
      <c r="T10">
        <v>-5.9280321638471523E-2</v>
      </c>
      <c r="U10">
        <v>-2.0739512677246386E-2</v>
      </c>
      <c r="V10">
        <v>-5.6532161459125096E-2</v>
      </c>
      <c r="W10">
        <v>-1.4086672504082798E-2</v>
      </c>
      <c r="X10">
        <v>-6.7333187470101086E-2</v>
      </c>
      <c r="Y10">
        <v>-4.3723072754369374E-2</v>
      </c>
      <c r="Z10">
        <v>-8.1166772352567751E-3</v>
      </c>
      <c r="AA10">
        <v>-3.3096937979278374E-2</v>
      </c>
      <c r="AB10">
        <v>9.7069708184194248E-4</v>
      </c>
    </row>
    <row r="11" spans="1:30" x14ac:dyDescent="0.2">
      <c r="A11" s="1">
        <v>38230</v>
      </c>
      <c r="B11">
        <v>1.8101549802851391E-2</v>
      </c>
      <c r="C11">
        <v>7.1252819356160124E-3</v>
      </c>
      <c r="D11">
        <v>1.9075174108971638E-2</v>
      </c>
      <c r="E11">
        <v>2.1887266998019905E-2</v>
      </c>
      <c r="F11">
        <v>2.9192779783393519E-3</v>
      </c>
      <c r="G11">
        <v>-1.8225954391624777E-2</v>
      </c>
      <c r="H11">
        <v>-3.6700004274193843E-3</v>
      </c>
      <c r="I11">
        <v>4.9100023455581621E-3</v>
      </c>
      <c r="J11">
        <v>-9.0006462964087319E-5</v>
      </c>
      <c r="K11">
        <v>8.2500150848257015E-3</v>
      </c>
      <c r="L11">
        <v>4.1283114327875792E-2</v>
      </c>
      <c r="M11">
        <v>2.597651165995507E-2</v>
      </c>
      <c r="N11">
        <v>1.8171957263638072E-2</v>
      </c>
      <c r="O11">
        <v>4.395219435098241E-3</v>
      </c>
      <c r="P11">
        <v>1.8400078716918067E-4</v>
      </c>
      <c r="Q11">
        <v>4.4161093643362292E-3</v>
      </c>
      <c r="R11">
        <v>4.1469493913232069E-2</v>
      </c>
      <c r="S11">
        <v>6.0337247778319281E-4</v>
      </c>
      <c r="T11">
        <v>7.2436225530556619E-3</v>
      </c>
      <c r="U11">
        <v>4.8217875776296326E-2</v>
      </c>
      <c r="V11">
        <v>-4.9383484064629002E-3</v>
      </c>
      <c r="W11">
        <v>1.4221380375331938E-2</v>
      </c>
      <c r="X11">
        <v>-5.1393450372384519E-3</v>
      </c>
      <c r="Y11">
        <v>4.3296667176706549E-3</v>
      </c>
      <c r="Z11">
        <v>4.8075693645313944E-2</v>
      </c>
      <c r="AA11">
        <v>4.0449416052368292E-3</v>
      </c>
      <c r="AB11">
        <v>1.0909752106187387E-3</v>
      </c>
    </row>
    <row r="12" spans="1:30" x14ac:dyDescent="0.2">
      <c r="A12" s="1">
        <v>38260</v>
      </c>
      <c r="B12">
        <v>3.7546187029973144E-3</v>
      </c>
      <c r="C12">
        <v>-8.1437369572956442E-4</v>
      </c>
      <c r="D12">
        <v>2.7134996608124684E-3</v>
      </c>
      <c r="E12">
        <v>1.1817089718343832E-2</v>
      </c>
      <c r="F12">
        <v>-5.2064615412968918E-3</v>
      </c>
      <c r="G12">
        <v>6.84664513582951E-2</v>
      </c>
      <c r="H12">
        <v>1.9870005724299533E-2</v>
      </c>
      <c r="I12">
        <v>1.3649998798765273E-2</v>
      </c>
      <c r="J12">
        <v>8.2399999444353611E-3</v>
      </c>
      <c r="K12">
        <v>3.5599860348356493E-3</v>
      </c>
      <c r="L12">
        <v>1.6634612140230098E-2</v>
      </c>
      <c r="M12">
        <v>1.5744976158673651E-3</v>
      </c>
      <c r="N12">
        <v>1.3931552851262685E-2</v>
      </c>
      <c r="O12">
        <v>1.8917543914197976E-2</v>
      </c>
      <c r="P12">
        <v>7.5638448893099453E-2</v>
      </c>
      <c r="Q12">
        <v>2.6135668636710019E-2</v>
      </c>
      <c r="R12">
        <v>5.7694842357185028E-2</v>
      </c>
      <c r="S12">
        <v>4.0104961928549177E-2</v>
      </c>
      <c r="T12">
        <v>-2.3458120451717579E-2</v>
      </c>
      <c r="U12">
        <v>3.8444515192222806E-2</v>
      </c>
      <c r="V12">
        <v>9.510898262141243E-3</v>
      </c>
      <c r="W12">
        <v>1.5501419447746523E-2</v>
      </c>
      <c r="X12">
        <v>4.6945558942841137E-2</v>
      </c>
      <c r="Y12">
        <v>3.2462292843398854E-2</v>
      </c>
      <c r="Z12">
        <v>2.0495303159692613E-2</v>
      </c>
      <c r="AA12">
        <v>1.0830590712639587E-2</v>
      </c>
      <c r="AB12">
        <v>1.2108736453351199E-3</v>
      </c>
    </row>
    <row r="13" spans="1:30" x14ac:dyDescent="0.2">
      <c r="A13" s="1">
        <v>38289</v>
      </c>
      <c r="B13">
        <v>6.7472551964213867E-3</v>
      </c>
      <c r="C13">
        <v>3.1582700830319332E-3</v>
      </c>
      <c r="D13">
        <v>8.3857442348007627E-3</v>
      </c>
      <c r="E13">
        <v>2.3953957382419455E-2</v>
      </c>
      <c r="F13">
        <v>-2.2843062786001567E-2</v>
      </c>
      <c r="G13">
        <v>1.6922450702526737E-2</v>
      </c>
      <c r="H13">
        <v>4.7499926469913856E-3</v>
      </c>
      <c r="I13">
        <v>1.4890002029396276E-2</v>
      </c>
      <c r="J13">
        <v>7.7799953911141806E-3</v>
      </c>
      <c r="K13">
        <v>3.1099990615002238E-3</v>
      </c>
      <c r="L13">
        <v>1.6096913375373223E-2</v>
      </c>
      <c r="M13">
        <v>1.42003546363485E-2</v>
      </c>
      <c r="N13">
        <v>1.9280205655527016E-2</v>
      </c>
      <c r="O13">
        <v>2.4470421531105124E-2</v>
      </c>
      <c r="P13">
        <v>6.2899423572478685E-2</v>
      </c>
      <c r="Q13">
        <v>3.4099708566677878E-2</v>
      </c>
      <c r="R13">
        <v>2.3892911485387414E-2</v>
      </c>
      <c r="S13">
        <v>3.6095655772475643E-2</v>
      </c>
      <c r="T13">
        <v>2.6112688929746275E-2</v>
      </c>
      <c r="U13">
        <v>6.5278837094531195E-3</v>
      </c>
      <c r="V13">
        <v>1.5596336929305066E-2</v>
      </c>
      <c r="W13">
        <v>1.6623797715174193E-2</v>
      </c>
      <c r="X13">
        <v>1.9683992329490696E-2</v>
      </c>
      <c r="Y13">
        <v>2.7577688633357855E-2</v>
      </c>
      <c r="Z13">
        <v>2.462641960549905E-2</v>
      </c>
      <c r="AA13">
        <v>1.5277271954742933E-2</v>
      </c>
      <c r="AB13">
        <v>1.2094092036039061E-3</v>
      </c>
    </row>
    <row r="14" spans="1:30" x14ac:dyDescent="0.2">
      <c r="A14" s="1">
        <v>38321</v>
      </c>
      <c r="B14">
        <v>-8.6422779012063078E-3</v>
      </c>
      <c r="C14">
        <v>-5.1287259432286625E-3</v>
      </c>
      <c r="D14">
        <v>-7.9764103668484854E-3</v>
      </c>
      <c r="E14">
        <v>2.6496978688449468E-2</v>
      </c>
      <c r="F14">
        <v>-3.8898974290914712E-2</v>
      </c>
      <c r="G14">
        <v>-1.197844472941012E-2</v>
      </c>
      <c r="H14">
        <v>3.3700004209549883E-2</v>
      </c>
      <c r="I14">
        <v>4.0329999084645074E-2</v>
      </c>
      <c r="J14">
        <v>2.6389990525552465E-2</v>
      </c>
      <c r="K14">
        <v>1.0670006618136441E-2</v>
      </c>
      <c r="L14">
        <v>6.9900375632860889E-3</v>
      </c>
      <c r="M14">
        <v>-7.0595322049834541E-3</v>
      </c>
      <c r="N14">
        <v>1.0404040198261466E-2</v>
      </c>
      <c r="O14">
        <v>5.2531244752250128E-2</v>
      </c>
      <c r="P14">
        <v>4.0706624388523016E-2</v>
      </c>
      <c r="Q14">
        <v>6.8313244667091544E-2</v>
      </c>
      <c r="R14">
        <v>9.2572782884412064E-2</v>
      </c>
      <c r="S14">
        <v>7.3360511654733118E-2</v>
      </c>
      <c r="T14">
        <v>4.8261416619140185E-2</v>
      </c>
      <c r="U14">
        <v>8.8702667766163756E-2</v>
      </c>
      <c r="V14">
        <v>3.4398423802710631E-2</v>
      </c>
      <c r="W14">
        <v>5.0557961117084771E-2</v>
      </c>
      <c r="X14">
        <v>8.6738480071613777E-2</v>
      </c>
      <c r="Y14">
        <v>6.0929688331028631E-2</v>
      </c>
      <c r="Z14">
        <v>5.2269280130673224E-2</v>
      </c>
      <c r="AA14">
        <v>4.0461567250511088E-2</v>
      </c>
      <c r="AB14">
        <v>1.3891405447847838E-3</v>
      </c>
    </row>
    <row r="15" spans="1:30" x14ac:dyDescent="0.2">
      <c r="A15" s="1">
        <v>38352</v>
      </c>
      <c r="B15">
        <v>9.7161350901135979E-3</v>
      </c>
      <c r="C15">
        <v>2.1437321355655126E-3</v>
      </c>
      <c r="D15">
        <v>9.2011221695278422E-3</v>
      </c>
      <c r="E15">
        <v>1.5321933507419283E-2</v>
      </c>
      <c r="F15">
        <v>-1.0706751640103152E-2</v>
      </c>
      <c r="G15">
        <v>-4.9106104596640554E-2</v>
      </c>
      <c r="H15">
        <v>1.7610002929475455E-2</v>
      </c>
      <c r="I15">
        <v>2.7990000567262863E-2</v>
      </c>
      <c r="J15">
        <v>1.5049999769568556E-2</v>
      </c>
      <c r="K15">
        <v>7.4600061925895744E-3</v>
      </c>
      <c r="L15">
        <v>2.5041357163709366E-2</v>
      </c>
      <c r="M15">
        <v>1.3768153469411848E-2</v>
      </c>
      <c r="N15">
        <v>1.5081435720420755E-2</v>
      </c>
      <c r="O15">
        <v>3.8173111154495398E-2</v>
      </c>
      <c r="P15">
        <v>1.8426113644857356E-2</v>
      </c>
      <c r="Q15">
        <v>4.3862591379709714E-2</v>
      </c>
      <c r="R15">
        <v>4.8028047629377291E-2</v>
      </c>
      <c r="S15">
        <v>4.2347220809738406E-2</v>
      </c>
      <c r="T15">
        <v>5.1289939640253301E-2</v>
      </c>
      <c r="U15">
        <v>3.0686400949865966E-2</v>
      </c>
      <c r="V15">
        <v>3.9208485422053796E-2</v>
      </c>
      <c r="W15">
        <v>3.3486511344854364E-2</v>
      </c>
      <c r="X15">
        <v>2.9599682759381185E-2</v>
      </c>
      <c r="Y15">
        <v>4.2566524293649488E-2</v>
      </c>
      <c r="Z15">
        <v>-2.7719259341390412E-2</v>
      </c>
      <c r="AA15">
        <v>3.4028662429531842E-2</v>
      </c>
      <c r="AB15">
        <v>1.9300361881784411E-3</v>
      </c>
    </row>
    <row r="16" spans="1:30" x14ac:dyDescent="0.2">
      <c r="A16" s="1">
        <v>38383</v>
      </c>
      <c r="B16">
        <v>5.2499574790305648E-3</v>
      </c>
      <c r="C16">
        <v>-4.0745645309159251E-4</v>
      </c>
      <c r="D16">
        <v>6.2794738148423956E-3</v>
      </c>
      <c r="E16">
        <v>-1.0524263850465232E-2</v>
      </c>
      <c r="F16">
        <v>1.1685047102853563E-2</v>
      </c>
      <c r="G16">
        <v>1.0434130850706991E-2</v>
      </c>
      <c r="H16">
        <v>-5.8200013025290209E-3</v>
      </c>
      <c r="I16">
        <v>-1.4799960669028556E-3</v>
      </c>
      <c r="J16">
        <v>1.700118604137657E-4</v>
      </c>
      <c r="K16">
        <v>3.0099912635810355E-3</v>
      </c>
      <c r="L16">
        <v>6.2656245055536797E-3</v>
      </c>
      <c r="M16">
        <v>5.4076539101497456E-3</v>
      </c>
      <c r="N16">
        <v>-1.0189610172925967E-3</v>
      </c>
      <c r="O16">
        <v>-2.2514368519943706E-2</v>
      </c>
      <c r="P16">
        <v>-3.9803123636326765E-2</v>
      </c>
      <c r="Q16">
        <v>-1.8347112099657115E-2</v>
      </c>
      <c r="R16">
        <v>2.5397322652287446E-3</v>
      </c>
      <c r="S16">
        <v>-1.8534401782040022E-2</v>
      </c>
      <c r="T16">
        <v>-2.3222332364813525E-2</v>
      </c>
      <c r="U16">
        <v>6.3491432959930094E-3</v>
      </c>
      <c r="V16">
        <v>-3.3348502855081064E-2</v>
      </c>
      <c r="W16">
        <v>-1.7750647812493137E-2</v>
      </c>
      <c r="X16">
        <v>-4.1723392089842659E-2</v>
      </c>
      <c r="Y16">
        <v>-2.4751523078180737E-2</v>
      </c>
      <c r="Z16">
        <v>-3.615007412475757E-2</v>
      </c>
      <c r="AA16">
        <v>-2.4375009724664221E-2</v>
      </c>
      <c r="AB16">
        <v>1.6855285335901637E-3</v>
      </c>
    </row>
    <row r="17" spans="1:28" x14ac:dyDescent="0.2">
      <c r="A17" s="1">
        <v>38411</v>
      </c>
      <c r="B17">
        <v>-4.6337596049937924E-3</v>
      </c>
      <c r="C17">
        <v>-2.4457352491592532E-3</v>
      </c>
      <c r="D17">
        <v>-5.9031974282449662E-3</v>
      </c>
      <c r="E17">
        <v>1.9035658999762006E-3</v>
      </c>
      <c r="F17">
        <v>9.3400955197846525E-3</v>
      </c>
      <c r="G17">
        <v>7.0644959787616202E-2</v>
      </c>
      <c r="H17">
        <v>2.1280000844599911E-2</v>
      </c>
      <c r="I17">
        <v>1.384999414646737E-2</v>
      </c>
      <c r="J17">
        <v>1.4190008623000905E-2</v>
      </c>
      <c r="K17">
        <v>7.829997568413738E-3</v>
      </c>
      <c r="L17">
        <v>6.6668763168653555E-3</v>
      </c>
      <c r="M17">
        <v>-7.1714246310853325E-3</v>
      </c>
      <c r="N17">
        <v>1.4283981620110575E-2</v>
      </c>
      <c r="O17">
        <v>3.167802302041145E-2</v>
      </c>
      <c r="P17">
        <v>6.4074851791710685E-2</v>
      </c>
      <c r="Q17">
        <v>4.3209332549552171E-2</v>
      </c>
      <c r="R17">
        <v>8.7248134900927976E-2</v>
      </c>
      <c r="S17">
        <v>5.0024980588060597E-2</v>
      </c>
      <c r="T17">
        <v>2.0603704969080594E-2</v>
      </c>
      <c r="U17">
        <v>5.6097577021506195E-2</v>
      </c>
      <c r="V17">
        <v>1.06425047805494E-2</v>
      </c>
      <c r="W17">
        <v>3.3142020198579702E-2</v>
      </c>
      <c r="X17">
        <v>1.6938441078386823E-2</v>
      </c>
      <c r="Y17">
        <v>3.0884604291007589E-2</v>
      </c>
      <c r="Z17">
        <v>3.0880265026029141E-2</v>
      </c>
      <c r="AA17">
        <v>2.1044219802652586E-2</v>
      </c>
      <c r="AB17">
        <v>1.6225961538460787E-3</v>
      </c>
    </row>
    <row r="18" spans="1:28" x14ac:dyDescent="0.2">
      <c r="A18" s="1">
        <v>38442</v>
      </c>
      <c r="B18">
        <v>-7.0461486158993614E-3</v>
      </c>
      <c r="C18">
        <v>-5.1077740320759624E-5</v>
      </c>
      <c r="D18">
        <v>-5.1360091306827949E-3</v>
      </c>
      <c r="E18">
        <v>-1.2098136671757076E-2</v>
      </c>
      <c r="F18">
        <v>-1.138706122284594E-2</v>
      </c>
      <c r="G18">
        <v>3.5651904388571687E-2</v>
      </c>
      <c r="H18">
        <v>-1.0530006434326777E-2</v>
      </c>
      <c r="I18">
        <v>-1.9799979756719432E-3</v>
      </c>
      <c r="J18">
        <v>-5.1600136702056876E-3</v>
      </c>
      <c r="K18">
        <v>-3.499992680666475E-3</v>
      </c>
      <c r="L18">
        <v>-2.5459998125644367E-2</v>
      </c>
      <c r="M18">
        <v>-4.4377508572096547E-3</v>
      </c>
      <c r="N18">
        <v>-2.7312913501592706E-2</v>
      </c>
      <c r="O18">
        <v>-1.941144346706003E-2</v>
      </c>
      <c r="P18">
        <v>1.38467253479857E-2</v>
      </c>
      <c r="Q18">
        <v>-2.5122096806684646E-2</v>
      </c>
      <c r="R18">
        <v>-6.6087072553618342E-2</v>
      </c>
      <c r="S18">
        <v>-2.5181548143827892E-2</v>
      </c>
      <c r="T18">
        <v>-2.0691901079616937E-2</v>
      </c>
      <c r="U18">
        <v>-4.5972715380302676E-2</v>
      </c>
      <c r="V18">
        <v>-1.821934407955017E-2</v>
      </c>
      <c r="W18">
        <v>-1.37217084549065E-2</v>
      </c>
      <c r="X18">
        <v>-2.8626755767868439E-2</v>
      </c>
      <c r="Y18">
        <v>-7.8604959262686958E-3</v>
      </c>
      <c r="Z18">
        <v>-1.675657064156999E-2</v>
      </c>
      <c r="AA18">
        <v>-1.7708050346111448E-2</v>
      </c>
      <c r="AB18">
        <v>2.2799544009122208E-3</v>
      </c>
    </row>
    <row r="19" spans="1:28" x14ac:dyDescent="0.2">
      <c r="A19" s="1">
        <v>38471</v>
      </c>
      <c r="B19">
        <v>1.4397937670063143E-2</v>
      </c>
      <c r="C19">
        <v>5.8231598304132604E-3</v>
      </c>
      <c r="D19">
        <v>1.3533959597638923E-2</v>
      </c>
      <c r="E19">
        <v>1.3086725952309086E-2</v>
      </c>
      <c r="F19">
        <v>1.6603273248471329E-2</v>
      </c>
      <c r="G19">
        <v>-5.8346126220019001E-2</v>
      </c>
      <c r="H19">
        <v>-2.231999534298712E-2</v>
      </c>
      <c r="I19">
        <v>-1.7059994942389856E-2</v>
      </c>
      <c r="J19">
        <v>-1.5129993096155925E-2</v>
      </c>
      <c r="K19">
        <v>-8.4399998456237135E-3</v>
      </c>
      <c r="L19">
        <v>1.5771252724708251E-2</v>
      </c>
      <c r="M19">
        <v>2.5283828043532353E-2</v>
      </c>
      <c r="N19">
        <v>-1.0727702179801346E-2</v>
      </c>
      <c r="O19">
        <v>-2.1789260219858386E-2</v>
      </c>
      <c r="P19">
        <v>-5.4339677651825014E-2</v>
      </c>
      <c r="Q19">
        <v>-2.3510452881489785E-2</v>
      </c>
      <c r="R19">
        <v>-2.6844789308245298E-2</v>
      </c>
      <c r="S19">
        <v>-2.5346442849104589E-2</v>
      </c>
      <c r="T19">
        <v>-2.5729157188531748E-2</v>
      </c>
      <c r="U19">
        <v>-1.3183153770812917E-2</v>
      </c>
      <c r="V19">
        <v>-1.9043376817335589E-2</v>
      </c>
      <c r="W19">
        <v>-1.7910567502248065E-2</v>
      </c>
      <c r="X19">
        <v>-5.7268924889543382E-2</v>
      </c>
      <c r="Y19">
        <v>-3.1864635557269594E-2</v>
      </c>
      <c r="Z19">
        <v>1.4100618652970631E-2</v>
      </c>
      <c r="AA19">
        <v>-1.8966009743952905E-2</v>
      </c>
      <c r="AB19">
        <v>2.2149057168510122E-3</v>
      </c>
    </row>
    <row r="20" spans="1:28" x14ac:dyDescent="0.2">
      <c r="A20" s="1">
        <v>38503</v>
      </c>
      <c r="B20">
        <v>5.0434595426038786E-3</v>
      </c>
      <c r="C20">
        <v>3.8088466812249422E-3</v>
      </c>
      <c r="D20">
        <v>1.0818747026689834E-2</v>
      </c>
      <c r="E20">
        <v>-1.3397377359409934E-2</v>
      </c>
      <c r="F20">
        <v>1.4100088649252607E-2</v>
      </c>
      <c r="G20">
        <v>-7.7624597574791343E-3</v>
      </c>
      <c r="H20">
        <v>1.5520002761930884E-2</v>
      </c>
      <c r="I20">
        <v>1.2000003710082918E-2</v>
      </c>
      <c r="J20">
        <v>2.1699911997266064E-3</v>
      </c>
      <c r="K20">
        <v>-1.0400040198949023E-3</v>
      </c>
      <c r="L20">
        <v>2.9916687705125122E-2</v>
      </c>
      <c r="M20">
        <v>6.918928210748021E-3</v>
      </c>
      <c r="N20">
        <v>1.7902943555205164E-2</v>
      </c>
      <c r="O20">
        <v>1.7767001235027724E-2</v>
      </c>
      <c r="P20">
        <v>2.1800775825666863E-2</v>
      </c>
      <c r="Q20">
        <v>4.8335685648370763E-4</v>
      </c>
      <c r="R20">
        <v>3.4807749863061677E-2</v>
      </c>
      <c r="S20">
        <v>3.5489554564691606E-3</v>
      </c>
      <c r="T20">
        <v>-9.110727380168826E-3</v>
      </c>
      <c r="U20">
        <v>2.8306568473708271E-2</v>
      </c>
      <c r="V20">
        <v>4.8382484297935013E-2</v>
      </c>
      <c r="W20">
        <v>2.4072907980054126E-2</v>
      </c>
      <c r="X20">
        <v>6.5451217261581096E-2</v>
      </c>
      <c r="Y20">
        <v>4.7913658317980445E-2</v>
      </c>
      <c r="Z20">
        <v>-3.9457630240106734E-2</v>
      </c>
      <c r="AA20">
        <v>3.1818997505050683E-2</v>
      </c>
      <c r="AB20">
        <v>2.389200812328296E-3</v>
      </c>
    </row>
    <row r="21" spans="1:28" x14ac:dyDescent="0.2">
      <c r="A21" s="1">
        <v>38533</v>
      </c>
      <c r="B21">
        <v>5.3472182872160712E-3</v>
      </c>
      <c r="C21">
        <v>1.8719012445613803E-3</v>
      </c>
      <c r="D21">
        <v>5.4529078117773189E-3</v>
      </c>
      <c r="E21">
        <v>-4.4845892626027561E-3</v>
      </c>
      <c r="F21">
        <v>1.8214999503042284E-2</v>
      </c>
      <c r="G21">
        <v>1.6833418122208954E-2</v>
      </c>
      <c r="H21">
        <v>1.9599992148424672E-2</v>
      </c>
      <c r="I21">
        <v>1.3249994311450353E-2</v>
      </c>
      <c r="J21">
        <v>1.3040001049762218E-2</v>
      </c>
      <c r="K21">
        <v>9.5900100040369196E-3</v>
      </c>
      <c r="L21">
        <v>1.77717857580586E-2</v>
      </c>
      <c r="M21">
        <v>3.6562030971027948E-3</v>
      </c>
      <c r="N21">
        <v>1.903105530393856E-2</v>
      </c>
      <c r="O21">
        <v>8.6531828857665527E-3</v>
      </c>
      <c r="P21">
        <v>6.0591780288590247E-2</v>
      </c>
      <c r="Q21">
        <v>1.3269484377116836E-2</v>
      </c>
      <c r="R21">
        <v>3.3975257979492524E-2</v>
      </c>
      <c r="S21">
        <v>1.3773770800561858E-2</v>
      </c>
      <c r="T21">
        <v>-9.9346408188638602E-4</v>
      </c>
      <c r="U21">
        <v>2.7932745207806642E-2</v>
      </c>
      <c r="V21">
        <v>-3.6864905444146112E-3</v>
      </c>
      <c r="W21">
        <v>1.094834104713871E-2</v>
      </c>
      <c r="X21">
        <v>3.8570657741423542E-2</v>
      </c>
      <c r="Y21">
        <v>2.6887302360390164E-2</v>
      </c>
      <c r="Z21">
        <v>4.3738765727980855E-2</v>
      </c>
      <c r="AA21">
        <v>1.4193890792315589E-3</v>
      </c>
      <c r="AB21">
        <v>2.2643308306518062E-3</v>
      </c>
    </row>
    <row r="22" spans="1:28" x14ac:dyDescent="0.2">
      <c r="A22" s="1">
        <v>38562</v>
      </c>
      <c r="B22">
        <v>-5.8462084189330188E-3</v>
      </c>
      <c r="C22">
        <v>-2.9793465636519523E-3</v>
      </c>
      <c r="D22">
        <v>-9.0953845160560709E-3</v>
      </c>
      <c r="E22">
        <v>-8.006846642818255E-3</v>
      </c>
      <c r="F22">
        <v>9.2662285426652335E-3</v>
      </c>
      <c r="G22">
        <v>4.4831598920809901E-2</v>
      </c>
      <c r="H22">
        <v>2.9490001801677712E-2</v>
      </c>
      <c r="I22">
        <v>2.3509999328833242E-2</v>
      </c>
      <c r="J22">
        <v>1.8030012270868534E-2</v>
      </c>
      <c r="K22">
        <v>1.339998793534658E-2</v>
      </c>
      <c r="L22">
        <v>-2.4686897880541459E-3</v>
      </c>
      <c r="M22">
        <v>-1.8193157898467094E-2</v>
      </c>
      <c r="N22">
        <v>1.5700184222827041E-2</v>
      </c>
      <c r="O22">
        <v>3.4931641732260044E-2</v>
      </c>
      <c r="P22">
        <v>5.4773159538174188E-2</v>
      </c>
      <c r="Q22">
        <v>3.0655737862611332E-2</v>
      </c>
      <c r="R22">
        <v>6.9897665679739429E-2</v>
      </c>
      <c r="S22">
        <v>3.6421759490267602E-2</v>
      </c>
      <c r="T22">
        <v>9.9612362030405688E-3</v>
      </c>
      <c r="U22">
        <v>6.4112676056337969E-2</v>
      </c>
      <c r="V22">
        <v>4.8875218404193399E-2</v>
      </c>
      <c r="W22">
        <v>2.8931998296957362E-2</v>
      </c>
      <c r="X22">
        <v>6.3355502965530164E-2</v>
      </c>
      <c r="Y22">
        <v>5.2718279032534232E-2</v>
      </c>
      <c r="Z22">
        <v>-1.3088404133180243E-2</v>
      </c>
      <c r="AA22">
        <v>3.7188506134778532E-2</v>
      </c>
      <c r="AB22">
        <v>2.4375743162903252E-3</v>
      </c>
    </row>
    <row r="23" spans="1:28" x14ac:dyDescent="0.2">
      <c r="A23" s="1">
        <v>38595</v>
      </c>
      <c r="B23">
        <v>8.8760150983278052E-3</v>
      </c>
      <c r="C23">
        <v>6.2803889789304623E-3</v>
      </c>
      <c r="D23">
        <v>1.2811324135459712E-2</v>
      </c>
      <c r="E23">
        <v>1.6459134151590282E-2</v>
      </c>
      <c r="F23">
        <v>-1.8044189328234039E-2</v>
      </c>
      <c r="G23">
        <v>7.5479996736767196E-2</v>
      </c>
      <c r="H23">
        <v>7.4099996043719418E-3</v>
      </c>
      <c r="I23">
        <v>8.8700061158561994E-3</v>
      </c>
      <c r="J23">
        <v>8.4599893882217891E-3</v>
      </c>
      <c r="K23">
        <v>6.9099986116976098E-3</v>
      </c>
      <c r="L23">
        <v>1.940604816804492E-2</v>
      </c>
      <c r="M23">
        <v>2.4976539377752127E-2</v>
      </c>
      <c r="N23">
        <v>3.6197695104032146E-3</v>
      </c>
      <c r="O23">
        <v>7.5351762647715148E-3</v>
      </c>
      <c r="P23">
        <v>5.8969456516537733E-2</v>
      </c>
      <c r="Q23">
        <v>2.5266166781464872E-2</v>
      </c>
      <c r="R23">
        <v>8.5634936686380669E-3</v>
      </c>
      <c r="S23">
        <v>1.4909845837994151E-2</v>
      </c>
      <c r="T23">
        <v>6.957700433215197E-2</v>
      </c>
      <c r="U23">
        <v>-2.9189608922772781E-2</v>
      </c>
      <c r="V23">
        <v>-1.2878843090505909E-2</v>
      </c>
      <c r="W23">
        <v>-4.348777725055597E-3</v>
      </c>
      <c r="X23">
        <v>-1.8540469539417903E-2</v>
      </c>
      <c r="Y23">
        <v>-7.0020746887966556E-3</v>
      </c>
      <c r="Z23">
        <v>1.2563983248022215E-2</v>
      </c>
      <c r="AA23">
        <v>-9.1240639354249753E-3</v>
      </c>
      <c r="AB23">
        <v>2.7874977759325681E-3</v>
      </c>
    </row>
    <row r="24" spans="1:28" x14ac:dyDescent="0.2">
      <c r="A24" s="1">
        <v>38625</v>
      </c>
      <c r="B24">
        <v>-5.3323723411603519E-3</v>
      </c>
      <c r="C24">
        <v>-2.6676062009260981E-3</v>
      </c>
      <c r="D24">
        <v>-1.0301153954404674E-2</v>
      </c>
      <c r="E24">
        <v>-1.592027546558461E-2</v>
      </c>
      <c r="F24">
        <v>-5.3317605846069371E-3</v>
      </c>
      <c r="G24">
        <v>4.6525663816047613E-2</v>
      </c>
      <c r="H24">
        <v>2.2530001798349852E-2</v>
      </c>
      <c r="I24">
        <v>9.9799919184655472E-3</v>
      </c>
      <c r="J24">
        <v>1.5259997371717793E-2</v>
      </c>
      <c r="K24">
        <v>1.1750014089297434E-2</v>
      </c>
      <c r="L24">
        <v>1.6904994522900285E-2</v>
      </c>
      <c r="M24">
        <v>-5.2538911190929127E-3</v>
      </c>
      <c r="N24">
        <v>-1.0014796775536183E-2</v>
      </c>
      <c r="O24">
        <v>2.5973664260334095E-2</v>
      </c>
      <c r="P24">
        <v>5.9904330265644123E-2</v>
      </c>
      <c r="Q24">
        <v>4.4541855203619862E-2</v>
      </c>
      <c r="R24">
        <v>9.3114933702441061E-2</v>
      </c>
      <c r="S24">
        <v>2.4263858792367143E-2</v>
      </c>
      <c r="T24">
        <v>0.10332081835623241</v>
      </c>
      <c r="U24">
        <v>5.4396170393261833E-2</v>
      </c>
      <c r="V24">
        <v>4.6048521083328353E-3</v>
      </c>
      <c r="W24">
        <v>1.4040413927448814E-2</v>
      </c>
      <c r="X24">
        <v>3.1366078388861407E-3</v>
      </c>
      <c r="Y24">
        <v>1.3264073019905842E-2</v>
      </c>
      <c r="Z24">
        <v>7.8354779411764719E-2</v>
      </c>
      <c r="AA24">
        <v>8.0993155538693351E-3</v>
      </c>
      <c r="AB24">
        <v>2.95718003312051E-3</v>
      </c>
    </row>
    <row r="25" spans="1:28" x14ac:dyDescent="0.2">
      <c r="A25" s="1">
        <v>38656</v>
      </c>
      <c r="B25">
        <v>-5.3169019742199675E-3</v>
      </c>
      <c r="C25">
        <v>-2.0186727226845225E-4</v>
      </c>
      <c r="D25">
        <v>-7.9139379560264622E-3</v>
      </c>
      <c r="E25">
        <v>-1.4886017188058376E-2</v>
      </c>
      <c r="F25">
        <v>1.5479728415770611E-2</v>
      </c>
      <c r="G25">
        <v>-6.2839566867097796E-2</v>
      </c>
      <c r="H25">
        <v>-1.8729997739467041E-2</v>
      </c>
      <c r="I25">
        <v>-1.7979998465396774E-2</v>
      </c>
      <c r="J25">
        <v>-1.5100003441222198E-2</v>
      </c>
      <c r="K25">
        <v>-3.5500020063405913E-3</v>
      </c>
      <c r="L25">
        <v>-1.4789798532665821E-2</v>
      </c>
      <c r="M25">
        <v>-1.2573985443629532E-2</v>
      </c>
      <c r="N25">
        <v>-7.2941845031662123E-3</v>
      </c>
      <c r="O25">
        <v>-2.4261103619902302E-2</v>
      </c>
      <c r="P25">
        <v>-7.2185866178392954E-2</v>
      </c>
      <c r="Q25">
        <v>-2.9205697748800108E-2</v>
      </c>
      <c r="R25">
        <v>-6.5361641200026854E-2</v>
      </c>
      <c r="S25">
        <v>-3.1489657651462499E-2</v>
      </c>
      <c r="T25">
        <v>-1.1993002596094815E-2</v>
      </c>
      <c r="U25">
        <v>-6.565827811524827E-2</v>
      </c>
      <c r="V25">
        <v>-9.7199283778962586E-3</v>
      </c>
      <c r="W25">
        <v>-2.53975387332247E-2</v>
      </c>
      <c r="X25">
        <v>-3.1049360651151048E-2</v>
      </c>
      <c r="Y25">
        <v>-3.0040518550069284E-2</v>
      </c>
      <c r="Z25">
        <v>-8.7577242701897262E-3</v>
      </c>
      <c r="AA25">
        <v>-1.6670866376760629E-2</v>
      </c>
      <c r="AB25">
        <v>2.6536148130675841E-3</v>
      </c>
    </row>
    <row r="26" spans="1:28" x14ac:dyDescent="0.2">
      <c r="A26" s="1">
        <v>38686</v>
      </c>
      <c r="B26">
        <v>4.3906889879998801E-3</v>
      </c>
      <c r="C26">
        <v>3.2810055019936168E-3</v>
      </c>
      <c r="D26">
        <v>4.4226044226045591E-3</v>
      </c>
      <c r="E26">
        <v>-7.0979041242693608E-3</v>
      </c>
      <c r="F26">
        <v>1.7130578217226189E-2</v>
      </c>
      <c r="G26">
        <v>2.5825890455182243E-3</v>
      </c>
      <c r="H26">
        <v>2.1349999795595043E-2</v>
      </c>
      <c r="I26">
        <v>1.2900004676325239E-2</v>
      </c>
      <c r="J26">
        <v>1.7020022033619187E-2</v>
      </c>
      <c r="K26">
        <v>8.2399924131282276E-3</v>
      </c>
      <c r="L26">
        <v>1.5277777777777724E-2</v>
      </c>
      <c r="M26">
        <v>1.9717784724810894E-3</v>
      </c>
      <c r="N26">
        <v>4.8246766231576643E-3</v>
      </c>
      <c r="O26">
        <v>3.3319511341782349E-2</v>
      </c>
      <c r="P26">
        <v>5.3787112926897862E-2</v>
      </c>
      <c r="Q26">
        <v>2.4455937897053248E-2</v>
      </c>
      <c r="R26">
        <v>8.272415229286656E-2</v>
      </c>
      <c r="S26">
        <v>1.6862286619337086E-2</v>
      </c>
      <c r="T26">
        <v>4.2685092241760092E-2</v>
      </c>
      <c r="U26">
        <v>7.3704346114576103E-2</v>
      </c>
      <c r="V26">
        <v>4.3145157320719996E-2</v>
      </c>
      <c r="W26">
        <v>3.2700060561681399E-2</v>
      </c>
      <c r="X26">
        <v>4.8545977369828908E-2</v>
      </c>
      <c r="Y26">
        <v>4.4367678387252418E-2</v>
      </c>
      <c r="Z26">
        <v>5.9953997291429362E-2</v>
      </c>
      <c r="AA26">
        <v>3.7822297888814305E-2</v>
      </c>
      <c r="AB26">
        <v>3.0582838322650296E-3</v>
      </c>
    </row>
    <row r="27" spans="1:28" x14ac:dyDescent="0.2">
      <c r="A27" s="1">
        <v>38716</v>
      </c>
      <c r="B27">
        <v>6.8721604866854857E-3</v>
      </c>
      <c r="C27">
        <v>3.8740189172872252E-3</v>
      </c>
      <c r="D27">
        <v>9.5075016307892835E-3</v>
      </c>
      <c r="E27">
        <v>9.8715136837612683E-3</v>
      </c>
      <c r="F27">
        <v>-8.8466749600635275E-3</v>
      </c>
      <c r="G27">
        <v>3.18839218632605E-2</v>
      </c>
      <c r="H27">
        <v>2.3160002416199532E-2</v>
      </c>
      <c r="I27">
        <v>1.5669995623428523E-2</v>
      </c>
      <c r="J27">
        <v>2.0079989311307056E-2</v>
      </c>
      <c r="K27">
        <v>1.4750003071391182E-2</v>
      </c>
      <c r="L27">
        <v>1.8482405332246765E-2</v>
      </c>
      <c r="M27">
        <v>8.4798523002940218E-3</v>
      </c>
      <c r="N27">
        <v>9.1542824365375974E-3</v>
      </c>
      <c r="O27">
        <v>2.2154619452262603E-2</v>
      </c>
      <c r="P27">
        <v>4.4162516368845051E-2</v>
      </c>
      <c r="Q27">
        <v>4.6533800024711303E-2</v>
      </c>
      <c r="R27">
        <v>5.910676623910649E-2</v>
      </c>
      <c r="S27">
        <v>3.5183909760595045E-2</v>
      </c>
      <c r="T27">
        <v>8.5759572389355609E-2</v>
      </c>
      <c r="U27">
        <v>6.1593102855669768E-2</v>
      </c>
      <c r="V27">
        <v>-3.134922161733944E-3</v>
      </c>
      <c r="W27">
        <v>6.141113544567034E-3</v>
      </c>
      <c r="X27">
        <v>-4.5701972313353378E-3</v>
      </c>
      <c r="Y27">
        <v>1.0330685434833287E-2</v>
      </c>
      <c r="Z27">
        <v>4.8511397744787965E-2</v>
      </c>
      <c r="AA27">
        <v>3.4811930795775048E-4</v>
      </c>
      <c r="AB27">
        <v>3.2248607446496713E-3</v>
      </c>
    </row>
    <row r="28" spans="1:28" x14ac:dyDescent="0.2">
      <c r="A28" s="1">
        <v>38748</v>
      </c>
      <c r="B28">
        <v>2.8999352306577908E-3</v>
      </c>
      <c r="C28">
        <v>1.5035333032626941E-3</v>
      </c>
      <c r="D28">
        <v>5.6540070755950467E-5</v>
      </c>
      <c r="E28">
        <v>1.2614297684363729E-2</v>
      </c>
      <c r="F28">
        <v>-1.525014858581264E-2</v>
      </c>
      <c r="G28">
        <v>1.8495043068421868E-2</v>
      </c>
      <c r="H28">
        <v>3.9519993243043006E-2</v>
      </c>
      <c r="I28">
        <v>3.3220002740831589E-2</v>
      </c>
      <c r="J28">
        <v>2.8360008065332343E-2</v>
      </c>
      <c r="K28">
        <v>2.1990005541465685E-2</v>
      </c>
      <c r="L28">
        <v>1.197416552354813E-2</v>
      </c>
      <c r="M28">
        <v>7.8054041780206695E-4</v>
      </c>
      <c r="N28">
        <v>1.5849539574548599E-2</v>
      </c>
      <c r="O28">
        <v>4.465328921492584E-2</v>
      </c>
      <c r="P28">
        <v>8.7731620336271909E-2</v>
      </c>
      <c r="Q28">
        <v>6.1398727211881665E-2</v>
      </c>
      <c r="R28">
        <v>0.11169557684680753</v>
      </c>
      <c r="S28">
        <v>6.5335820876455175E-2</v>
      </c>
      <c r="T28">
        <v>5.0420853864193926E-2</v>
      </c>
      <c r="U28">
        <v>7.2340907741869298E-2</v>
      </c>
      <c r="V28">
        <v>1.7555911799518542E-2</v>
      </c>
      <c r="W28">
        <v>3.8839153867429754E-2</v>
      </c>
      <c r="X28">
        <v>8.9672014390816956E-2</v>
      </c>
      <c r="Y28">
        <v>5.1385643094193689E-2</v>
      </c>
      <c r="Z28">
        <v>0.10038684719535773</v>
      </c>
      <c r="AA28">
        <v>2.6477522337827297E-2</v>
      </c>
      <c r="AB28">
        <v>3.2144944476915072E-3</v>
      </c>
    </row>
    <row r="29" spans="1:28" x14ac:dyDescent="0.2">
      <c r="A29" s="1">
        <v>38776</v>
      </c>
      <c r="B29">
        <v>4.0444706814408704E-3</v>
      </c>
      <c r="C29">
        <v>7.5063804233588272E-4</v>
      </c>
      <c r="D29">
        <v>3.3195221826463062E-3</v>
      </c>
      <c r="E29">
        <v>-3.5465658484864493E-3</v>
      </c>
      <c r="F29">
        <v>8.5467051043546238E-3</v>
      </c>
      <c r="G29">
        <v>-6.2602923342056527E-2</v>
      </c>
      <c r="H29">
        <v>2.0000521520402437E-4</v>
      </c>
      <c r="I29">
        <v>9.6500029984780689E-3</v>
      </c>
      <c r="J29">
        <v>3.4699830436075718E-3</v>
      </c>
      <c r="K29">
        <v>6.2299895645896441E-3</v>
      </c>
      <c r="L29">
        <v>2.2224732427776672E-2</v>
      </c>
      <c r="M29">
        <v>-3.4033381074605185E-3</v>
      </c>
      <c r="N29">
        <v>6.3223564385455067E-3</v>
      </c>
      <c r="O29">
        <v>-1.488387708936556E-3</v>
      </c>
      <c r="P29">
        <v>-1.8330019464374847E-2</v>
      </c>
      <c r="Q29">
        <v>-2.2120397336190534E-3</v>
      </c>
      <c r="R29">
        <v>-1.1866761801044845E-3</v>
      </c>
      <c r="S29">
        <v>8.3197029945170087E-4</v>
      </c>
      <c r="T29">
        <v>-8.4818376546085261E-3</v>
      </c>
      <c r="U29">
        <v>3.5728124072198497E-4</v>
      </c>
      <c r="V29">
        <v>-1.5890373835297789E-3</v>
      </c>
      <c r="W29">
        <v>6.1040730924395437E-3</v>
      </c>
      <c r="X29">
        <v>-2.7531066673018856E-3</v>
      </c>
      <c r="Y29">
        <v>-1.2017083746082013E-3</v>
      </c>
      <c r="Z29">
        <v>-1.2919669537704404E-2</v>
      </c>
      <c r="AA29">
        <v>2.7137217101349531E-3</v>
      </c>
      <c r="AB29">
        <v>3.2041945819980544E-3</v>
      </c>
    </row>
    <row r="30" spans="1:28" x14ac:dyDescent="0.2">
      <c r="A30" s="1">
        <v>38807</v>
      </c>
      <c r="B30">
        <v>-6.350829199998298E-3</v>
      </c>
      <c r="C30">
        <v>1.2001200120013156E-3</v>
      </c>
      <c r="D30">
        <v>-9.8129185986605139E-3</v>
      </c>
      <c r="E30">
        <v>-9.9131723640223379E-3</v>
      </c>
      <c r="F30">
        <v>-7.1459917909100223E-4</v>
      </c>
      <c r="G30">
        <v>2.2241968650842381E-2</v>
      </c>
      <c r="H30">
        <v>2.5459996900657478E-2</v>
      </c>
      <c r="I30">
        <v>2.4759997125974209E-2</v>
      </c>
      <c r="J30">
        <v>1.6610014203980672E-2</v>
      </c>
      <c r="K30">
        <v>1.3340007882701288E-2</v>
      </c>
      <c r="L30">
        <v>-1.8978949113210741E-2</v>
      </c>
      <c r="M30">
        <v>-2.0532449238036987E-2</v>
      </c>
      <c r="N30">
        <v>6.2504846253206292E-3</v>
      </c>
      <c r="O30">
        <v>2.1988605112132742E-2</v>
      </c>
      <c r="P30">
        <v>1.5139600646626228E-2</v>
      </c>
      <c r="Q30">
        <v>3.2958457605959168E-2</v>
      </c>
      <c r="R30">
        <v>8.8091317196419272E-3</v>
      </c>
      <c r="S30">
        <v>3.8845804630574632E-2</v>
      </c>
      <c r="T30">
        <v>2.5221812910520391E-2</v>
      </c>
      <c r="U30">
        <v>1.8516655432256446E-2</v>
      </c>
      <c r="V30">
        <v>1.476565552060416E-2</v>
      </c>
      <c r="W30">
        <v>1.3546930598331564E-2</v>
      </c>
      <c r="X30">
        <v>4.8517048356713222E-2</v>
      </c>
      <c r="Y30">
        <v>2.4780505649947271E-2</v>
      </c>
      <c r="Z30">
        <v>3.9355355711868878E-2</v>
      </c>
      <c r="AA30">
        <v>1.2447071513409957E-2</v>
      </c>
      <c r="AB30">
        <v>3.8327526132404532E-3</v>
      </c>
    </row>
    <row r="31" spans="1:28" x14ac:dyDescent="0.2">
      <c r="A31" s="1">
        <v>38835</v>
      </c>
      <c r="B31">
        <v>1.3389486780868154E-5</v>
      </c>
      <c r="C31">
        <v>3.0965937468785398E-3</v>
      </c>
      <c r="D31">
        <v>-1.8129344335596764E-3</v>
      </c>
      <c r="E31">
        <v>1.8928887317047449E-2</v>
      </c>
      <c r="F31">
        <v>-1.3247739300647932E-2</v>
      </c>
      <c r="G31">
        <v>6.7798585878097617E-2</v>
      </c>
      <c r="H31">
        <v>1.7599999738024508E-2</v>
      </c>
      <c r="I31">
        <v>1.6289995721916917E-2</v>
      </c>
      <c r="J31">
        <v>1.7169992265817502E-2</v>
      </c>
      <c r="K31">
        <v>1.1150000831339657E-2</v>
      </c>
      <c r="L31">
        <v>-8.4480865084057832E-4</v>
      </c>
      <c r="M31">
        <v>1.0169097565237983E-4</v>
      </c>
      <c r="N31">
        <v>6.4259186864736861E-3</v>
      </c>
      <c r="O31">
        <v>3.0360819054311428E-2</v>
      </c>
      <c r="P31">
        <v>4.8663034020955953E-2</v>
      </c>
      <c r="Q31">
        <v>4.7758740911719944E-2</v>
      </c>
      <c r="R31">
        <v>7.1214272670013568E-2</v>
      </c>
      <c r="S31">
        <v>5.1079582099633036E-2</v>
      </c>
      <c r="T31">
        <v>2.9087969886800735E-2</v>
      </c>
      <c r="U31">
        <v>6.7549080133349815E-2</v>
      </c>
      <c r="V31">
        <v>-1.3600246009989325E-3</v>
      </c>
      <c r="W31">
        <v>2.5411515501068571E-2</v>
      </c>
      <c r="X31">
        <v>-1.6290233287374889E-4</v>
      </c>
      <c r="Y31">
        <v>7.0106478552574014E-3</v>
      </c>
      <c r="Z31">
        <v>0.12125417630429203</v>
      </c>
      <c r="AA31">
        <v>1.3428044983798237E-2</v>
      </c>
      <c r="AB31">
        <v>3.760268425315072E-3</v>
      </c>
    </row>
    <row r="32" spans="1:28" x14ac:dyDescent="0.2">
      <c r="A32" s="1">
        <v>38868</v>
      </c>
      <c r="B32">
        <v>4.8536239705683215E-3</v>
      </c>
      <c r="C32">
        <v>1.4439354710216179E-3</v>
      </c>
      <c r="D32">
        <v>-1.0669316349301017E-3</v>
      </c>
      <c r="E32">
        <v>1.2897983485114839E-2</v>
      </c>
      <c r="F32">
        <v>-3.8803572384822793E-2</v>
      </c>
      <c r="G32">
        <v>9.5660201987437521E-3</v>
      </c>
      <c r="H32">
        <v>-2.3229997736975982E-2</v>
      </c>
      <c r="I32">
        <v>-5.4199986073308892E-3</v>
      </c>
      <c r="J32">
        <v>-1.9659986305595956E-2</v>
      </c>
      <c r="K32">
        <v>2.0399909390167448E-3</v>
      </c>
      <c r="L32">
        <v>-2.0489839632479301E-2</v>
      </c>
      <c r="M32">
        <v>2.1352933486338266E-3</v>
      </c>
      <c r="N32">
        <v>-6.312058459371217E-4</v>
      </c>
      <c r="O32">
        <v>-3.4158993176808483E-2</v>
      </c>
      <c r="P32">
        <v>-2.6737603259780474E-2</v>
      </c>
      <c r="Q32">
        <v>-3.8833748106733901E-2</v>
      </c>
      <c r="R32">
        <v>-0.10478907541097682</v>
      </c>
      <c r="S32">
        <v>-2.7614889580822366E-2</v>
      </c>
      <c r="T32">
        <v>-6.219224982578675E-2</v>
      </c>
      <c r="U32">
        <v>-7.4637292275805844E-2</v>
      </c>
      <c r="V32">
        <v>-3.389554763432856E-2</v>
      </c>
      <c r="W32">
        <v>-2.5259369227847883E-2</v>
      </c>
      <c r="X32">
        <v>-5.6160209647636683E-2</v>
      </c>
      <c r="Y32">
        <v>-3.3655133840651663E-2</v>
      </c>
      <c r="Z32">
        <v>-1.4088811466642093E-2</v>
      </c>
      <c r="AA32">
        <v>-2.8781322835419565E-2</v>
      </c>
      <c r="AB32">
        <v>3.9767160394212908E-3</v>
      </c>
    </row>
    <row r="33" spans="1:28" x14ac:dyDescent="0.2">
      <c r="A33" s="1">
        <v>38898</v>
      </c>
      <c r="B33">
        <v>-3.624813134810001E-3</v>
      </c>
      <c r="C33">
        <v>1.7898871376722525E-3</v>
      </c>
      <c r="D33">
        <v>2.1198359573098013E-3</v>
      </c>
      <c r="E33">
        <v>-7.9451695573354852E-3</v>
      </c>
      <c r="F33">
        <v>1.0886103844492068E-2</v>
      </c>
      <c r="G33">
        <v>-1.5536902073337577E-2</v>
      </c>
      <c r="H33">
        <v>-5.3499994571417631E-3</v>
      </c>
      <c r="I33">
        <v>-1.1599962117382345E-3</v>
      </c>
      <c r="J33">
        <v>-6.2600113383721734E-3</v>
      </c>
      <c r="K33">
        <v>5.5200083485933416E-3</v>
      </c>
      <c r="L33">
        <v>-5.7547332681262553E-5</v>
      </c>
      <c r="M33">
        <v>3.594723873025174E-3</v>
      </c>
      <c r="N33">
        <v>-3.7914957628306656E-3</v>
      </c>
      <c r="O33">
        <v>-2.9319239237168837E-4</v>
      </c>
      <c r="P33">
        <v>-1.6125817350932214E-2</v>
      </c>
      <c r="Q33">
        <v>-6.6123106022719647E-5</v>
      </c>
      <c r="R33">
        <v>-2.4445601734898181E-3</v>
      </c>
      <c r="S33">
        <v>3.253133459946822E-3</v>
      </c>
      <c r="T33">
        <v>-1.1088244192566821E-2</v>
      </c>
      <c r="U33">
        <v>-3.8846309600588658E-3</v>
      </c>
      <c r="V33">
        <v>-3.9456266437060128E-3</v>
      </c>
      <c r="W33">
        <v>6.3962077306449761E-3</v>
      </c>
      <c r="X33">
        <v>6.4293965157180555E-3</v>
      </c>
      <c r="Y33">
        <v>1.1575795988825188E-3</v>
      </c>
      <c r="Z33">
        <v>-4.5489770613763247E-2</v>
      </c>
      <c r="AA33">
        <v>1.3556020448159956E-3</v>
      </c>
      <c r="AB33">
        <v>3.9609644087255091E-3</v>
      </c>
    </row>
    <row r="34" spans="1:28" x14ac:dyDescent="0.2">
      <c r="A34" s="1">
        <v>38929</v>
      </c>
      <c r="B34">
        <v>1.0644481020471108E-2</v>
      </c>
      <c r="C34">
        <v>7.4941684450839929E-3</v>
      </c>
      <c r="D34">
        <v>1.3521979318368738E-2</v>
      </c>
      <c r="E34">
        <v>9.9619177322134433E-3</v>
      </c>
      <c r="F34">
        <v>4.7628961936019287E-3</v>
      </c>
      <c r="G34">
        <v>3.2100849829908462E-2</v>
      </c>
      <c r="H34">
        <v>-5.4199990973956558E-3</v>
      </c>
      <c r="I34">
        <v>-4.3700025114713492E-3</v>
      </c>
      <c r="J34">
        <v>-2.2099992923791945E-3</v>
      </c>
      <c r="K34">
        <v>4.1799913982214498E-3</v>
      </c>
      <c r="L34">
        <v>3.2717541436463993E-2</v>
      </c>
      <c r="M34">
        <v>1.6696033969785473E-2</v>
      </c>
      <c r="N34">
        <v>1.0669347759211911E-2</v>
      </c>
      <c r="O34">
        <v>6.2408414299601755E-3</v>
      </c>
      <c r="P34">
        <v>2.7886081549204356E-3</v>
      </c>
      <c r="Q34">
        <v>9.8988528275958387E-3</v>
      </c>
      <c r="R34">
        <v>1.4115016148700477E-2</v>
      </c>
      <c r="S34">
        <v>1.5245368113472102E-2</v>
      </c>
      <c r="T34">
        <v>-5.534649798209279E-3</v>
      </c>
      <c r="U34">
        <v>1.1543750815592446E-3</v>
      </c>
      <c r="V34">
        <v>-1.9046225927594751E-2</v>
      </c>
      <c r="W34">
        <v>2.4303330434667814E-2</v>
      </c>
      <c r="X34">
        <v>-3.2538653759900504E-2</v>
      </c>
      <c r="Y34">
        <v>-2.1885120926947166E-2</v>
      </c>
      <c r="Z34">
        <v>3.3936835268328247E-2</v>
      </c>
      <c r="AA34">
        <v>6.1685354666292103E-3</v>
      </c>
      <c r="AB34">
        <v>4.0596946652182719E-3</v>
      </c>
    </row>
    <row r="35" spans="1:28" x14ac:dyDescent="0.2">
      <c r="A35" s="1">
        <v>38960</v>
      </c>
      <c r="B35">
        <v>1.3140651281620563E-2</v>
      </c>
      <c r="C35">
        <v>7.1428571428571175E-3</v>
      </c>
      <c r="D35">
        <v>1.5308293129329797E-2</v>
      </c>
      <c r="E35">
        <v>1.1555066104359746E-2</v>
      </c>
      <c r="F35">
        <v>-8.9175033428448014E-3</v>
      </c>
      <c r="G35">
        <v>-3.6037350895916642E-2</v>
      </c>
      <c r="H35">
        <v>1.0300000006055132E-2</v>
      </c>
      <c r="I35">
        <v>1.0550003534475216E-2</v>
      </c>
      <c r="J35">
        <v>8.1299984132738867E-3</v>
      </c>
      <c r="K35">
        <v>7.1100053103143601E-3</v>
      </c>
      <c r="L35">
        <v>2.6024687230070676E-2</v>
      </c>
      <c r="M35">
        <v>1.8765803903741718E-2</v>
      </c>
      <c r="N35">
        <v>1.6180280770001776E-2</v>
      </c>
      <c r="O35">
        <v>2.5957133148268863E-2</v>
      </c>
      <c r="P35">
        <v>4.0040927298972129E-2</v>
      </c>
      <c r="Q35">
        <v>2.7494786743174515E-2</v>
      </c>
      <c r="R35">
        <v>2.5478294275835589E-2</v>
      </c>
      <c r="S35">
        <v>3.1561129788069353E-2</v>
      </c>
      <c r="T35">
        <v>1.5006946592500015E-2</v>
      </c>
      <c r="U35">
        <v>3.4716651961177458E-2</v>
      </c>
      <c r="V35">
        <v>3.1199326197662636E-2</v>
      </c>
      <c r="W35">
        <v>1.6738821696903106E-2</v>
      </c>
      <c r="X35">
        <v>2.9607334484016423E-2</v>
      </c>
      <c r="Y35">
        <v>2.5390429889114552E-2</v>
      </c>
      <c r="Z35">
        <v>-1.4840989399293347E-2</v>
      </c>
      <c r="AA35">
        <v>2.3792987680645084E-2</v>
      </c>
      <c r="AB35">
        <v>4.2710706150341782E-3</v>
      </c>
    </row>
    <row r="36" spans="1:28" x14ac:dyDescent="0.2">
      <c r="A36" s="1">
        <v>38989</v>
      </c>
      <c r="B36">
        <v>6.3670590717406217E-3</v>
      </c>
      <c r="C36">
        <v>5.1357300073369139E-3</v>
      </c>
      <c r="D36">
        <v>8.7839974699557288E-3</v>
      </c>
      <c r="E36">
        <v>-7.4683065693026407E-5</v>
      </c>
      <c r="F36">
        <v>4.8198668540990752E-3</v>
      </c>
      <c r="G36">
        <v>-6.021215724744422E-2</v>
      </c>
      <c r="H36">
        <v>1.5799976682417949E-3</v>
      </c>
      <c r="I36">
        <v>2.3299989251119868E-3</v>
      </c>
      <c r="J36">
        <v>7.499931159544726E-4</v>
      </c>
      <c r="K36">
        <v>3.699991909853928E-3</v>
      </c>
      <c r="L36">
        <v>5.5943296309370893E-3</v>
      </c>
      <c r="M36">
        <v>2.5169072021193895E-3</v>
      </c>
      <c r="N36">
        <v>1.3153809344647271E-2</v>
      </c>
      <c r="O36">
        <v>1.1923676605370748E-2</v>
      </c>
      <c r="P36">
        <v>-3.0231076523300704E-2</v>
      </c>
      <c r="Q36">
        <v>1.5458105384675846E-3</v>
      </c>
      <c r="R36">
        <v>8.3242174036832761E-3</v>
      </c>
      <c r="S36">
        <v>8.561413216371605E-3</v>
      </c>
      <c r="T36">
        <v>-1.6396402873833371E-2</v>
      </c>
      <c r="U36">
        <v>3.4845467715131528E-2</v>
      </c>
      <c r="V36">
        <v>2.7478553725654331E-2</v>
      </c>
      <c r="W36">
        <v>1.993275020135532E-2</v>
      </c>
      <c r="X36">
        <v>8.325548439194641E-3</v>
      </c>
      <c r="Y36">
        <v>1.81085293974379E-2</v>
      </c>
      <c r="Z36">
        <v>-4.6229874063446474E-2</v>
      </c>
      <c r="AA36">
        <v>2.577030812324943E-2</v>
      </c>
      <c r="AB36">
        <v>4.3663169832719451E-3</v>
      </c>
    </row>
    <row r="37" spans="1:28" x14ac:dyDescent="0.2">
      <c r="A37" s="1">
        <v>39021</v>
      </c>
      <c r="B37">
        <v>4.9471146406840916E-3</v>
      </c>
      <c r="C37">
        <v>3.8442822384427977E-3</v>
      </c>
      <c r="D37">
        <v>6.61488662993448E-3</v>
      </c>
      <c r="E37">
        <v>9.6735856267800013E-3</v>
      </c>
      <c r="F37">
        <v>9.7587305939204061E-3</v>
      </c>
      <c r="G37">
        <v>4.7435725313821564E-2</v>
      </c>
      <c r="H37">
        <v>1.8630001768126014E-2</v>
      </c>
      <c r="I37">
        <v>2.3289996694176418E-2</v>
      </c>
      <c r="J37">
        <v>1.6250018524567089E-2</v>
      </c>
      <c r="K37">
        <v>1.2270006257134147E-2</v>
      </c>
      <c r="L37">
        <v>1.8553026006643547E-2</v>
      </c>
      <c r="M37">
        <v>-1.5995437822950986E-3</v>
      </c>
      <c r="N37">
        <v>1.4601856058147566E-2</v>
      </c>
      <c r="O37">
        <v>3.6702742471125926E-2</v>
      </c>
      <c r="P37">
        <v>4.7810320925324223E-2</v>
      </c>
      <c r="Q37">
        <v>3.8894253589236261E-2</v>
      </c>
      <c r="R37">
        <v>4.7496971993728376E-2</v>
      </c>
      <c r="S37">
        <v>4.2887538123392188E-2</v>
      </c>
      <c r="T37">
        <v>1.7406588826998304E-2</v>
      </c>
      <c r="U37">
        <v>3.0324595367738905E-2</v>
      </c>
      <c r="V37">
        <v>3.5153351092670704E-2</v>
      </c>
      <c r="W37">
        <v>3.2733066057011539E-2</v>
      </c>
      <c r="X37">
        <v>5.757747359860188E-2</v>
      </c>
      <c r="Y37">
        <v>3.9378570944423874E-2</v>
      </c>
      <c r="Z37">
        <v>1.3872639144242083E-2</v>
      </c>
      <c r="AA37">
        <v>3.2585952679720531E-2</v>
      </c>
      <c r="AB37">
        <v>3.89566395663965E-3</v>
      </c>
    </row>
    <row r="38" spans="1:28" x14ac:dyDescent="0.2">
      <c r="A38" s="1">
        <v>39051</v>
      </c>
      <c r="B38">
        <v>6.3279161933560424E-3</v>
      </c>
      <c r="C38">
        <v>5.1383974017160661E-3</v>
      </c>
      <c r="D38">
        <v>1.1601199050103261E-2</v>
      </c>
      <c r="E38">
        <v>2.435446899414595E-2</v>
      </c>
      <c r="F38">
        <v>-1.0899592113796097E-2</v>
      </c>
      <c r="G38">
        <v>5.4689127223438216E-2</v>
      </c>
      <c r="H38">
        <v>1.9999998384493622E-2</v>
      </c>
      <c r="I38">
        <v>1.8690004151639572E-2</v>
      </c>
      <c r="J38">
        <v>1.7829984452331971E-2</v>
      </c>
      <c r="K38">
        <v>1.3730003206245955E-2</v>
      </c>
      <c r="L38">
        <v>1.2673666348499202E-2</v>
      </c>
      <c r="M38">
        <v>1.241284192782155E-2</v>
      </c>
      <c r="N38">
        <v>1.5962361235484002E-2</v>
      </c>
      <c r="O38">
        <v>2.4488136683699979E-2</v>
      </c>
      <c r="P38">
        <v>2.8468319028823741E-2</v>
      </c>
      <c r="Q38">
        <v>2.9884138245642733E-2</v>
      </c>
      <c r="R38">
        <v>7.4321304684008549E-2</v>
      </c>
      <c r="S38">
        <v>3.5553293691257037E-2</v>
      </c>
      <c r="T38">
        <v>7.0885379740746046E-3</v>
      </c>
      <c r="U38">
        <v>7.682695191442579E-2</v>
      </c>
      <c r="V38">
        <v>1.9844377737549213E-2</v>
      </c>
      <c r="W38">
        <v>2.2828565852197835E-2</v>
      </c>
      <c r="X38">
        <v>2.6305150010006884E-2</v>
      </c>
      <c r="Y38">
        <v>3.5980136984987698E-2</v>
      </c>
      <c r="Z38">
        <v>6.8249258160237414E-2</v>
      </c>
      <c r="AA38">
        <v>1.9015869324568335E-2</v>
      </c>
      <c r="AB38">
        <v>4.1617456835949529E-3</v>
      </c>
    </row>
    <row r="39" spans="1:28" x14ac:dyDescent="0.2">
      <c r="A39" s="1">
        <v>39080</v>
      </c>
      <c r="B39">
        <v>-2.8721037728258736E-3</v>
      </c>
      <c r="C39">
        <v>4.8227634434683253E-5</v>
      </c>
      <c r="D39">
        <v>-5.8033480854339237E-3</v>
      </c>
      <c r="E39">
        <v>-1.3256312785288049E-2</v>
      </c>
      <c r="F39">
        <v>-7.2635427019593912E-3</v>
      </c>
      <c r="G39">
        <v>-4.5928784104028564E-2</v>
      </c>
      <c r="H39">
        <v>1.3459997480990804E-2</v>
      </c>
      <c r="I39">
        <v>1.6500000131154158E-2</v>
      </c>
      <c r="J39">
        <v>1.7860009511927233E-2</v>
      </c>
      <c r="K39">
        <v>1.6109996488427036E-2</v>
      </c>
      <c r="L39">
        <v>6.6502592030162067E-3</v>
      </c>
      <c r="M39">
        <v>-2.4954762183249102E-2</v>
      </c>
      <c r="N39">
        <v>1.1008940063797601E-2</v>
      </c>
      <c r="O39">
        <v>2.0331026971068811E-2</v>
      </c>
      <c r="P39">
        <v>-7.0141472325560006E-3</v>
      </c>
      <c r="Q39">
        <v>3.1392350724843698E-2</v>
      </c>
      <c r="R39">
        <v>4.5029251350316324E-2</v>
      </c>
      <c r="S39">
        <v>3.2110494304481207E-2</v>
      </c>
      <c r="T39">
        <v>2.4848665252951596E-2</v>
      </c>
      <c r="U39">
        <v>4.2582910289357789E-2</v>
      </c>
      <c r="V39">
        <v>3.3862167312690428E-3</v>
      </c>
      <c r="W39">
        <v>2.2448443469157642E-2</v>
      </c>
      <c r="X39">
        <v>3.3486155991233613E-3</v>
      </c>
      <c r="Y39">
        <v>-1.1293577472104577E-4</v>
      </c>
      <c r="Z39">
        <v>-1.743827160493816E-2</v>
      </c>
      <c r="AA39">
        <v>1.4027649897837557E-2</v>
      </c>
      <c r="AB39">
        <v>4.3125175021001549E-3</v>
      </c>
    </row>
    <row r="40" spans="1:28" x14ac:dyDescent="0.2">
      <c r="A40" s="1">
        <v>39113</v>
      </c>
      <c r="B40">
        <v>-2.4309209581916402E-3</v>
      </c>
      <c r="C40">
        <v>2.0736882716048122E-3</v>
      </c>
      <c r="D40">
        <v>-4.1030881544612541E-4</v>
      </c>
      <c r="E40">
        <v>-9.8284604926325292E-3</v>
      </c>
      <c r="F40">
        <v>1.8212096298326097E-2</v>
      </c>
      <c r="G40">
        <v>2.1049413577987064E-3</v>
      </c>
      <c r="H40">
        <v>1.1574504171453892E-2</v>
      </c>
      <c r="I40">
        <v>1.5743450899027067E-2</v>
      </c>
      <c r="J40">
        <v>1.2942254448817581E-2</v>
      </c>
      <c r="K40">
        <v>1.3668709876681673E-2</v>
      </c>
      <c r="L40">
        <v>-3.0430711610487382E-3</v>
      </c>
      <c r="M40">
        <v>2.3074317649383058E-3</v>
      </c>
      <c r="N40">
        <v>1.0743760194982688E-2</v>
      </c>
      <c r="O40">
        <v>1.1805221213033734E-2</v>
      </c>
      <c r="P40">
        <v>-2.9549773495600729E-3</v>
      </c>
      <c r="Q40">
        <v>6.7669144694795236E-3</v>
      </c>
      <c r="R40">
        <v>-1.0558207568926892E-2</v>
      </c>
      <c r="S40">
        <v>5.9080187214641811E-3</v>
      </c>
      <c r="T40">
        <v>8.4590583416581655E-3</v>
      </c>
      <c r="U40">
        <v>-1.1397856425865327E-2</v>
      </c>
      <c r="V40">
        <v>2.5705948254719502E-2</v>
      </c>
      <c r="W40">
        <v>1.2787818592956413E-2</v>
      </c>
      <c r="X40">
        <v>1.6734361721397972E-2</v>
      </c>
      <c r="Y40">
        <v>3.3790126817129007E-2</v>
      </c>
      <c r="Z40">
        <v>2.5914873566828867E-2</v>
      </c>
      <c r="AA40">
        <v>1.5123549546755433E-2</v>
      </c>
      <c r="AB40">
        <v>4.1267008699532592E-3</v>
      </c>
    </row>
    <row r="41" spans="1:28" x14ac:dyDescent="0.2">
      <c r="A41" s="1">
        <v>39141</v>
      </c>
      <c r="B41">
        <v>1.1358544661345116E-2</v>
      </c>
      <c r="C41">
        <v>8.0850859040377809E-3</v>
      </c>
      <c r="D41">
        <v>1.5420003407735416E-2</v>
      </c>
      <c r="E41">
        <v>2.0578465702402404E-2</v>
      </c>
      <c r="F41">
        <v>-4.1584881046627942E-3</v>
      </c>
      <c r="G41">
        <v>3.3675051797994016E-2</v>
      </c>
      <c r="H41">
        <v>6.2700995372684254E-3</v>
      </c>
      <c r="I41">
        <v>1.0238926024925155E-2</v>
      </c>
      <c r="J41">
        <v>8.1972118953617112E-3</v>
      </c>
      <c r="K41">
        <v>7.5626638461523399E-3</v>
      </c>
      <c r="L41">
        <v>1.7166262294226575E-2</v>
      </c>
      <c r="M41">
        <v>2.2753673183472545E-2</v>
      </c>
      <c r="N41">
        <v>1.3929154529927379E-2</v>
      </c>
      <c r="O41">
        <v>-5.2036010261659049E-3</v>
      </c>
      <c r="P41">
        <v>7.0428775947497524E-3</v>
      </c>
      <c r="Q41">
        <v>8.068964942177459E-3</v>
      </c>
      <c r="R41">
        <v>-5.9357129401097497E-3</v>
      </c>
      <c r="S41">
        <v>-3.5980727459571371E-3</v>
      </c>
      <c r="T41">
        <v>4.0226713632214306E-2</v>
      </c>
      <c r="U41">
        <v>-1.727752120795234E-3</v>
      </c>
      <c r="V41">
        <v>-1.8796556083841787E-2</v>
      </c>
      <c r="W41">
        <v>-1.5589837828832498E-2</v>
      </c>
      <c r="X41">
        <v>-7.9350447289877613E-3</v>
      </c>
      <c r="Y41">
        <v>1.6173578498275276E-3</v>
      </c>
      <c r="Z41">
        <v>2.4724433557868908E-2</v>
      </c>
      <c r="AA41">
        <v>-1.9558946984686632E-2</v>
      </c>
      <c r="AB41">
        <v>3.776518938131801E-3</v>
      </c>
    </row>
    <row r="42" spans="1:28" x14ac:dyDescent="0.2">
      <c r="A42" s="1">
        <v>39171</v>
      </c>
      <c r="B42">
        <v>-4.6020953762182515E-4</v>
      </c>
      <c r="C42">
        <v>3.8669021816966076E-3</v>
      </c>
      <c r="D42">
        <v>3.0508965822573231E-5</v>
      </c>
      <c r="E42">
        <v>2.3638204866058832E-3</v>
      </c>
      <c r="F42">
        <v>-1.0068311116900874E-2</v>
      </c>
      <c r="G42">
        <v>9.748494378706285E-3</v>
      </c>
      <c r="H42">
        <v>1.0088263415928944E-2</v>
      </c>
      <c r="I42">
        <v>1.3578598692955968E-2</v>
      </c>
      <c r="J42">
        <v>1.1549314300771663E-2</v>
      </c>
      <c r="K42">
        <v>7.5347264703666816E-3</v>
      </c>
      <c r="L42">
        <v>9.7463387109184563E-3</v>
      </c>
      <c r="M42">
        <v>3.0425055928411382E-3</v>
      </c>
      <c r="N42">
        <v>2.3225471050023483E-3</v>
      </c>
      <c r="O42">
        <v>1.830533251641886E-2</v>
      </c>
      <c r="P42">
        <v>2.7360638426487061E-2</v>
      </c>
      <c r="Q42">
        <v>2.5490282295157263E-2</v>
      </c>
      <c r="R42">
        <v>3.9674942986541728E-2</v>
      </c>
      <c r="S42">
        <v>3.6241624556313745E-2</v>
      </c>
      <c r="T42">
        <v>-1.3218156502027067E-2</v>
      </c>
      <c r="U42">
        <v>2.2712918228572798E-2</v>
      </c>
      <c r="V42">
        <v>5.423695981131349E-3</v>
      </c>
      <c r="W42">
        <v>1.5461069107478798E-2</v>
      </c>
      <c r="X42">
        <v>1.0705386257281457E-2</v>
      </c>
      <c r="Y42">
        <v>8.0182968808395483E-3</v>
      </c>
      <c r="Z42">
        <v>-8.3065660715621048E-3</v>
      </c>
      <c r="AA42">
        <v>1.1184933798575436E-2</v>
      </c>
      <c r="AB42">
        <v>4.4815757441629689E-3</v>
      </c>
    </row>
    <row r="43" spans="1:28" x14ac:dyDescent="0.2">
      <c r="A43" s="1">
        <v>39202</v>
      </c>
      <c r="B43">
        <v>2.4974671912918467E-3</v>
      </c>
      <c r="C43">
        <v>3.5191173673199128E-3</v>
      </c>
      <c r="D43">
        <v>5.3922951957470211E-3</v>
      </c>
      <c r="E43">
        <v>1.1302712511944701E-2</v>
      </c>
      <c r="F43">
        <v>-1.6778601902058599E-2</v>
      </c>
      <c r="G43">
        <v>1.1551155115511413E-2</v>
      </c>
      <c r="H43">
        <v>1.8579199439153982E-2</v>
      </c>
      <c r="I43">
        <v>1.9871204607506243E-2</v>
      </c>
      <c r="J43">
        <v>1.67607619123884E-2</v>
      </c>
      <c r="K43">
        <v>1.4190543098566266E-2</v>
      </c>
      <c r="L43">
        <v>8.6616373288628257E-3</v>
      </c>
      <c r="M43">
        <v>7.8096584475386699E-3</v>
      </c>
      <c r="N43">
        <v>1.3232765661495227E-2</v>
      </c>
      <c r="O43">
        <v>4.411264519882141E-2</v>
      </c>
      <c r="P43">
        <v>6.0489952447093653E-2</v>
      </c>
      <c r="Q43">
        <v>4.4433897222892149E-2</v>
      </c>
      <c r="R43">
        <v>4.744471425658503E-2</v>
      </c>
      <c r="S43">
        <v>6.45963224269408E-2</v>
      </c>
      <c r="T43">
        <v>-1.9463151704948611E-2</v>
      </c>
      <c r="U43">
        <v>4.460948653374186E-2</v>
      </c>
      <c r="V43">
        <v>4.707987296336702E-2</v>
      </c>
      <c r="W43">
        <v>3.6952443000032753E-2</v>
      </c>
      <c r="X43">
        <v>1.796242738372178E-2</v>
      </c>
      <c r="Y43">
        <v>3.8087297433941458E-2</v>
      </c>
      <c r="Z43">
        <v>2.2085298061133907E-2</v>
      </c>
      <c r="AA43">
        <v>4.4295311164845419E-2</v>
      </c>
      <c r="AB43">
        <v>4.2963370972184389E-3</v>
      </c>
    </row>
    <row r="44" spans="1:28" x14ac:dyDescent="0.2">
      <c r="A44" s="1">
        <v>39233</v>
      </c>
      <c r="B44">
        <v>-3.5767585607181518E-3</v>
      </c>
      <c r="C44">
        <v>-9.9516633494456386E-4</v>
      </c>
      <c r="D44">
        <v>-7.5785161583977745E-3</v>
      </c>
      <c r="E44">
        <v>-1.5592660392496294E-2</v>
      </c>
      <c r="F44">
        <v>-8.1103122545266304E-3</v>
      </c>
      <c r="G44">
        <v>1.2942217513529641E-3</v>
      </c>
      <c r="H44">
        <v>2.2375281001884462E-2</v>
      </c>
      <c r="I44">
        <v>2.1749318823270469E-2</v>
      </c>
      <c r="J44">
        <v>2.1465347532600321E-2</v>
      </c>
      <c r="K44">
        <v>1.4873412800849639E-2</v>
      </c>
      <c r="L44">
        <v>-3.8529337698313126E-3</v>
      </c>
      <c r="M44">
        <v>-1.6758026624902E-2</v>
      </c>
      <c r="N44">
        <v>7.1149950057087796E-3</v>
      </c>
      <c r="O44">
        <v>2.8008880796148938E-2</v>
      </c>
      <c r="P44">
        <v>8.5348680660472631E-2</v>
      </c>
      <c r="Q44">
        <v>1.7524113795163831E-2</v>
      </c>
      <c r="R44">
        <v>4.8543087963331732E-2</v>
      </c>
      <c r="S44">
        <v>1.7583720667805558E-2</v>
      </c>
      <c r="T44">
        <v>1.6319067468345327E-2</v>
      </c>
      <c r="U44">
        <v>5.7726267620773264E-2</v>
      </c>
      <c r="V44">
        <v>3.5975204898190061E-2</v>
      </c>
      <c r="W44">
        <v>3.6069086857789978E-2</v>
      </c>
      <c r="X44">
        <v>4.095547629371854E-2</v>
      </c>
      <c r="Y44">
        <v>3.7715213397701453E-2</v>
      </c>
      <c r="Z44">
        <v>-2.6457366054978282E-2</v>
      </c>
      <c r="AA44">
        <v>3.4895052392196035E-2</v>
      </c>
      <c r="AB44">
        <v>4.2231119398890016E-3</v>
      </c>
    </row>
    <row r="45" spans="1:28" x14ac:dyDescent="0.2">
      <c r="A45" s="1">
        <v>39262</v>
      </c>
      <c r="B45">
        <v>-2.9891201529990141E-3</v>
      </c>
      <c r="C45">
        <v>4.3641193491770203E-3</v>
      </c>
      <c r="D45">
        <v>-2.9582406494370606E-3</v>
      </c>
      <c r="E45">
        <v>-4.4349055764421053E-3</v>
      </c>
      <c r="F45">
        <v>-3.0252512005165544E-3</v>
      </c>
      <c r="G45">
        <v>-1.3968545972658064E-2</v>
      </c>
      <c r="H45">
        <v>8.8806685601052759E-3</v>
      </c>
      <c r="I45">
        <v>3.5466971581854523E-5</v>
      </c>
      <c r="J45">
        <v>5.2586548845623415E-3</v>
      </c>
      <c r="K45">
        <v>5.6216336303123171E-3</v>
      </c>
      <c r="L45">
        <v>-1.8884141871223781E-2</v>
      </c>
      <c r="M45">
        <v>-2.3823704586062311E-3</v>
      </c>
      <c r="N45">
        <v>-1.6854025295065078E-2</v>
      </c>
      <c r="O45">
        <v>-7.7133210223236937E-3</v>
      </c>
      <c r="P45">
        <v>-1.7446361993578297E-3</v>
      </c>
      <c r="Q45">
        <v>1.2217760153203638E-3</v>
      </c>
      <c r="R45">
        <v>4.6875219762754661E-2</v>
      </c>
      <c r="S45">
        <v>-1.9682344953553255E-4</v>
      </c>
      <c r="T45">
        <v>-2.9978710461697755E-3</v>
      </c>
      <c r="U45">
        <v>5.0198711550676123E-2</v>
      </c>
      <c r="V45">
        <v>-1.492726451014581E-2</v>
      </c>
      <c r="W45">
        <v>-2.3365628246531989E-2</v>
      </c>
      <c r="X45">
        <v>-1.4628736748642512E-2</v>
      </c>
      <c r="Y45">
        <v>-2.2546089304975703E-2</v>
      </c>
      <c r="Z45">
        <v>-1.6426949280847869E-2</v>
      </c>
      <c r="AA45">
        <v>-1.661319172040443E-2</v>
      </c>
      <c r="AB45">
        <v>3.9868924085200153E-3</v>
      </c>
    </row>
    <row r="46" spans="1:28" x14ac:dyDescent="0.2">
      <c r="A46" s="1">
        <v>39294</v>
      </c>
      <c r="B46">
        <v>8.0686498134023843E-3</v>
      </c>
      <c r="C46">
        <v>8.9264629480942936E-3</v>
      </c>
      <c r="D46">
        <v>8.3413833816337046E-3</v>
      </c>
      <c r="E46">
        <v>2.0308132647347099E-2</v>
      </c>
      <c r="F46">
        <v>-1.7842303182547647E-2</v>
      </c>
      <c r="G46">
        <v>2.0751214069487878E-2</v>
      </c>
      <c r="H46">
        <v>1.6733250746530093E-3</v>
      </c>
      <c r="I46">
        <v>-8.8229959797648805E-3</v>
      </c>
      <c r="J46">
        <v>1.9128343868641817E-3</v>
      </c>
      <c r="K46">
        <v>-5.8038811087262054E-3</v>
      </c>
      <c r="L46">
        <v>-9.0182942540582012E-3</v>
      </c>
      <c r="M46">
        <v>2.3700104130510047E-2</v>
      </c>
      <c r="N46">
        <v>-3.1400491812909603E-2</v>
      </c>
      <c r="O46">
        <v>-2.2146246439036732E-2</v>
      </c>
      <c r="P46">
        <v>-2.5575163608990703E-3</v>
      </c>
      <c r="Q46">
        <v>-1.472800529368723E-2</v>
      </c>
      <c r="R46">
        <v>5.2762111021842806E-2</v>
      </c>
      <c r="S46">
        <v>-2.1294408858832936E-2</v>
      </c>
      <c r="T46">
        <v>-1.6271411658740353E-3</v>
      </c>
      <c r="U46">
        <v>7.1997815839312196E-2</v>
      </c>
      <c r="V46">
        <v>-1.5502960114456732E-2</v>
      </c>
      <c r="W46">
        <v>-4.6244040499334504E-2</v>
      </c>
      <c r="X46">
        <v>-6.8394715557971164E-2</v>
      </c>
      <c r="Y46">
        <v>-3.7229974020897783E-2</v>
      </c>
      <c r="Z46">
        <v>2.2550604171476918E-2</v>
      </c>
      <c r="AA46">
        <v>-3.1004851070053685E-2</v>
      </c>
      <c r="AB46">
        <v>3.8078659631179956E-3</v>
      </c>
    </row>
    <row r="47" spans="1:28" x14ac:dyDescent="0.2">
      <c r="A47" s="1">
        <v>39325</v>
      </c>
      <c r="B47">
        <v>2.7516274840062582E-3</v>
      </c>
      <c r="C47">
        <v>1.03922853665388E-2</v>
      </c>
      <c r="D47">
        <v>1.225650461519745E-2</v>
      </c>
      <c r="E47">
        <v>1.2312677681552975E-2</v>
      </c>
      <c r="F47">
        <v>1.4166367241053024E-5</v>
      </c>
      <c r="G47">
        <v>-3.6310313108506853E-2</v>
      </c>
      <c r="H47">
        <v>-1.6674133179190087E-2</v>
      </c>
      <c r="I47">
        <v>-1.6983800572715091E-2</v>
      </c>
      <c r="J47">
        <v>-2.1834293319518805E-2</v>
      </c>
      <c r="K47">
        <v>-6.8813849554499873E-3</v>
      </c>
      <c r="L47">
        <v>1.2116484659386195E-2</v>
      </c>
      <c r="M47">
        <v>1.3345630119893537E-2</v>
      </c>
      <c r="N47">
        <v>1.1146386435790356E-2</v>
      </c>
      <c r="O47">
        <v>-7.5872769108320526E-4</v>
      </c>
      <c r="P47">
        <v>6.4970777916117939E-5</v>
      </c>
      <c r="Q47">
        <v>-1.5627053200740759E-2</v>
      </c>
      <c r="R47">
        <v>-2.1250800797351754E-2</v>
      </c>
      <c r="S47">
        <v>-1.1041480569503714E-2</v>
      </c>
      <c r="T47">
        <v>-2.9376211605817715E-2</v>
      </c>
      <c r="U47">
        <v>-1.3349925368082105E-2</v>
      </c>
      <c r="V47">
        <v>1.5934412506347861E-2</v>
      </c>
      <c r="W47">
        <v>1.1204951829179022E-2</v>
      </c>
      <c r="X47">
        <v>2.2665868970896508E-2</v>
      </c>
      <c r="Y47">
        <v>1.7096679359389633E-3</v>
      </c>
      <c r="Z47">
        <v>1.3548095739876587E-2</v>
      </c>
      <c r="AA47">
        <v>1.4990179852146124E-2</v>
      </c>
      <c r="AB47">
        <v>4.9314474611175108E-3</v>
      </c>
    </row>
    <row r="48" spans="1:28" x14ac:dyDescent="0.2">
      <c r="A48" s="1">
        <v>39353</v>
      </c>
      <c r="B48">
        <v>1.1351253045520426E-2</v>
      </c>
      <c r="C48">
        <v>6.9495922905855601E-3</v>
      </c>
      <c r="D48">
        <v>7.5863415806631807E-3</v>
      </c>
      <c r="E48">
        <v>2.2443580979919941E-2</v>
      </c>
      <c r="F48">
        <v>-2.0607908842006029E-2</v>
      </c>
      <c r="G48">
        <v>8.0045742195005598E-2</v>
      </c>
      <c r="H48">
        <v>3.1763644374525057E-2</v>
      </c>
      <c r="I48">
        <v>1.5478596362731967E-2</v>
      </c>
      <c r="J48">
        <v>1.8790037969382833E-2</v>
      </c>
      <c r="K48">
        <v>1.3501838333186411E-2</v>
      </c>
      <c r="L48">
        <v>2.2709756974772732E-2</v>
      </c>
      <c r="M48">
        <v>8.8736013705232875E-3</v>
      </c>
      <c r="N48">
        <v>2.4439569479673739E-2</v>
      </c>
      <c r="O48">
        <v>4.7555520744348767E-2</v>
      </c>
      <c r="P48">
        <v>9.7768762216722482E-2</v>
      </c>
      <c r="Q48">
        <v>5.3499827428537206E-2</v>
      </c>
      <c r="R48">
        <v>0.1104412067666134</v>
      </c>
      <c r="S48">
        <v>5.0626511614357828E-2</v>
      </c>
      <c r="T48">
        <v>2.3069123273363301E-2</v>
      </c>
      <c r="U48">
        <v>0.1219579935173567</v>
      </c>
      <c r="V48">
        <v>4.1890197461662781E-2</v>
      </c>
      <c r="W48">
        <v>3.4347835309060715E-2</v>
      </c>
      <c r="X48">
        <v>1.7164697027457709E-2</v>
      </c>
      <c r="Y48">
        <v>3.2891185518654442E-2</v>
      </c>
      <c r="Z48">
        <v>0.1044111094608644</v>
      </c>
      <c r="AA48">
        <v>3.7398563473544977E-2</v>
      </c>
      <c r="AB48">
        <v>3.5051768766178881E-3</v>
      </c>
    </row>
    <row r="49" spans="1:28" x14ac:dyDescent="0.2">
      <c r="A49" s="1">
        <v>39386</v>
      </c>
      <c r="B49">
        <v>4.0896827952738857E-3</v>
      </c>
      <c r="C49">
        <v>3.910922977822695E-3</v>
      </c>
      <c r="D49">
        <v>8.9828840648855657E-3</v>
      </c>
      <c r="E49">
        <v>1.6299287191395395E-2</v>
      </c>
      <c r="F49">
        <v>-2.5964633607540311E-2</v>
      </c>
      <c r="G49">
        <v>3.3336489654440138E-2</v>
      </c>
      <c r="H49">
        <v>3.0928418491879661E-2</v>
      </c>
      <c r="I49">
        <v>2.258997329142054E-2</v>
      </c>
      <c r="J49">
        <v>3.0656165055060747E-2</v>
      </c>
      <c r="K49">
        <v>2.100254545926461E-2</v>
      </c>
      <c r="L49">
        <v>2.3838231600100457E-2</v>
      </c>
      <c r="M49">
        <v>1.3770413510393986E-2</v>
      </c>
      <c r="N49">
        <v>6.0544718439454748E-3</v>
      </c>
      <c r="O49">
        <v>3.0671637315150546E-2</v>
      </c>
      <c r="P49">
        <v>9.3588242852965964E-2</v>
      </c>
      <c r="Q49">
        <v>3.9291022767718786E-2</v>
      </c>
      <c r="R49">
        <v>0.11152077628680535</v>
      </c>
      <c r="S49">
        <v>4.6601836987526069E-2</v>
      </c>
      <c r="T49">
        <v>-3.8163244046423017E-3</v>
      </c>
      <c r="U49">
        <v>0.10674689040780727</v>
      </c>
      <c r="V49">
        <v>3.403417935361297E-2</v>
      </c>
      <c r="W49">
        <v>1.109762776143608E-4</v>
      </c>
      <c r="X49">
        <v>2.8690600058766114E-2</v>
      </c>
      <c r="Y49">
        <v>1.6138388968661932E-2</v>
      </c>
      <c r="Z49">
        <v>7.1543840774609846E-2</v>
      </c>
      <c r="AA49">
        <v>1.5906728367117706E-2</v>
      </c>
      <c r="AB49">
        <v>3.0092965769250579E-3</v>
      </c>
    </row>
    <row r="50" spans="1:28" x14ac:dyDescent="0.2">
      <c r="A50" s="1">
        <v>39416</v>
      </c>
      <c r="B50">
        <v>9.1649073546364868E-3</v>
      </c>
      <c r="C50">
        <v>1.7324350336862304E-2</v>
      </c>
      <c r="D50">
        <v>1.7983139882821408E-2</v>
      </c>
      <c r="E50">
        <v>1.9110524799121453E-2</v>
      </c>
      <c r="F50">
        <v>-2.40553493081338E-2</v>
      </c>
      <c r="G50">
        <v>-3.1361332870531E-2</v>
      </c>
      <c r="H50">
        <v>-2.8902418153653686E-2</v>
      </c>
      <c r="I50">
        <v>-2.5234798615809684E-2</v>
      </c>
      <c r="J50">
        <v>-1.4675704327976047E-2</v>
      </c>
      <c r="K50">
        <v>-5.3199225929806415E-3</v>
      </c>
      <c r="L50">
        <v>-3.7047032557225856E-3</v>
      </c>
      <c r="M50">
        <v>4.6900558776188594E-2</v>
      </c>
      <c r="N50">
        <v>-2.0463649833127984E-2</v>
      </c>
      <c r="O50">
        <v>-4.0875929932494448E-2</v>
      </c>
      <c r="P50">
        <v>-0.11122583941191488</v>
      </c>
      <c r="Q50">
        <v>-3.2883470158366457E-2</v>
      </c>
      <c r="R50">
        <v>-7.0907016543068968E-2</v>
      </c>
      <c r="S50">
        <v>-3.2008504490839695E-2</v>
      </c>
      <c r="T50">
        <v>-1.832898110621406E-2</v>
      </c>
      <c r="U50">
        <v>-8.5420246456172855E-2</v>
      </c>
      <c r="V50">
        <v>-3.6837044372011407E-2</v>
      </c>
      <c r="W50">
        <v>-4.8873595160041305E-2</v>
      </c>
      <c r="X50">
        <v>-7.1805867227709541E-2</v>
      </c>
      <c r="Y50">
        <v>-4.7756086437650946E-2</v>
      </c>
      <c r="Z50">
        <v>-1.6629016064257041E-2</v>
      </c>
      <c r="AA50">
        <v>-4.1806451293472713E-2</v>
      </c>
      <c r="AB50">
        <v>3.857487275649607E-3</v>
      </c>
    </row>
    <row r="51" spans="1:28" x14ac:dyDescent="0.2">
      <c r="A51" s="1">
        <v>39447</v>
      </c>
      <c r="B51">
        <v>4.0355597424130973E-3</v>
      </c>
      <c r="C51">
        <v>2.4778123169797439E-3</v>
      </c>
      <c r="D51">
        <v>2.8087645065066891E-3</v>
      </c>
      <c r="E51">
        <v>-2.9812829750922587E-3</v>
      </c>
      <c r="F51">
        <v>2.0945290767721891E-2</v>
      </c>
      <c r="G51">
        <v>4.632329122125034E-2</v>
      </c>
      <c r="H51">
        <v>5.2813529695130423E-3</v>
      </c>
      <c r="I51">
        <v>-2.6816447868270865E-3</v>
      </c>
      <c r="J51">
        <v>3.3379196444245363E-3</v>
      </c>
      <c r="K51">
        <v>6.4364700458012791E-3</v>
      </c>
      <c r="L51">
        <v>6.2302994483847129E-3</v>
      </c>
      <c r="M51">
        <v>-4.6936913288584403E-3</v>
      </c>
      <c r="N51">
        <v>2.9318244708032015E-3</v>
      </c>
      <c r="O51">
        <v>-1.29011334812138E-2</v>
      </c>
      <c r="P51">
        <v>2.7107421195977643E-2</v>
      </c>
      <c r="Q51">
        <v>-2.2507516426582552E-2</v>
      </c>
      <c r="R51">
        <v>3.527012000027252E-3</v>
      </c>
      <c r="S51">
        <v>-1.7518162730481124E-2</v>
      </c>
      <c r="T51">
        <v>-3.9581021299200714E-2</v>
      </c>
      <c r="U51">
        <v>-3.9158143081150509E-3</v>
      </c>
      <c r="V51">
        <v>-3.6159777309874297E-3</v>
      </c>
      <c r="W51">
        <v>-9.6705838491357721E-3</v>
      </c>
      <c r="X51">
        <v>-6.2400554834252109E-4</v>
      </c>
      <c r="Y51">
        <v>-3.1637217253294159E-3</v>
      </c>
      <c r="Z51">
        <v>6.4003573479676001E-2</v>
      </c>
      <c r="AA51">
        <v>-6.9378179976782306E-3</v>
      </c>
      <c r="AB51">
        <v>2.7752575118749068E-3</v>
      </c>
    </row>
    <row r="52" spans="1:28" x14ac:dyDescent="0.2">
      <c r="A52" s="1">
        <v>39478</v>
      </c>
      <c r="B52">
        <v>1.8854692017284735E-2</v>
      </c>
      <c r="C52">
        <v>1.7391695128527562E-2</v>
      </c>
      <c r="D52">
        <v>1.6798147209958758E-2</v>
      </c>
      <c r="E52">
        <v>2.7778826626435604E-2</v>
      </c>
      <c r="F52">
        <v>-8.5628386352027963E-3</v>
      </c>
      <c r="G52">
        <v>4.2236773610235812E-2</v>
      </c>
      <c r="H52">
        <v>-4.473907154721235E-2</v>
      </c>
      <c r="I52">
        <v>-2.5282621069873668E-2</v>
      </c>
      <c r="J52">
        <v>-2.8342341803256788E-2</v>
      </c>
      <c r="K52">
        <v>-1.2919280819289058E-2</v>
      </c>
      <c r="L52">
        <v>8.4432588531850872E-3</v>
      </c>
      <c r="M52">
        <v>4.7007554112689975E-2</v>
      </c>
      <c r="N52">
        <v>-1.3587122109753103E-2</v>
      </c>
      <c r="O52">
        <v>-7.6419631027269785E-2</v>
      </c>
      <c r="P52">
        <v>-6.3897386108355381E-2</v>
      </c>
      <c r="Q52">
        <v>-9.2378504141737094E-2</v>
      </c>
      <c r="R52">
        <v>-0.12479492408792203</v>
      </c>
      <c r="S52">
        <v>-0.10434058974481175</v>
      </c>
      <c r="T52">
        <v>-4.5703119696458572E-2</v>
      </c>
      <c r="U52">
        <v>-0.13852237409157608</v>
      </c>
      <c r="V52">
        <v>-7.7976795890217332E-2</v>
      </c>
      <c r="W52">
        <v>-4.0052448873232782E-2</v>
      </c>
      <c r="X52">
        <v>-6.8194268076713471E-2</v>
      </c>
      <c r="Y52">
        <v>-6.5151560316394352E-2</v>
      </c>
      <c r="Z52">
        <v>0.11083123425692687</v>
      </c>
      <c r="AA52">
        <v>-5.9981389556644782E-2</v>
      </c>
      <c r="AB52">
        <v>3.7788067486295152E-3</v>
      </c>
    </row>
    <row r="53" spans="1:28" x14ac:dyDescent="0.2">
      <c r="A53" s="1">
        <v>39507</v>
      </c>
      <c r="B53">
        <v>-3.2464282824035795E-2</v>
      </c>
      <c r="C53">
        <v>1.0468660276514052E-2</v>
      </c>
      <c r="D53">
        <v>1.3879892662163051E-3</v>
      </c>
      <c r="E53">
        <v>1.67274975589633E-2</v>
      </c>
      <c r="F53">
        <v>-6.789176129103569E-3</v>
      </c>
      <c r="G53">
        <v>0.12283980799461625</v>
      </c>
      <c r="H53">
        <v>1.3089943317002417E-2</v>
      </c>
      <c r="I53">
        <v>4.0779079798907159E-3</v>
      </c>
      <c r="J53">
        <v>1.2406877158998464E-2</v>
      </c>
      <c r="K53">
        <v>-9.224231862039467E-4</v>
      </c>
      <c r="L53">
        <v>-1.6745134203757228E-3</v>
      </c>
      <c r="M53">
        <v>1.8790070590211094E-2</v>
      </c>
      <c r="N53">
        <v>-1.1872954750983822E-2</v>
      </c>
      <c r="O53">
        <v>-5.7878421889349108E-3</v>
      </c>
      <c r="P53">
        <v>6.163057129647509E-2</v>
      </c>
      <c r="Q53">
        <v>1.4326995118802532E-2</v>
      </c>
      <c r="R53">
        <v>7.3813913025466915E-2</v>
      </c>
      <c r="S53">
        <v>1.6057426993257407E-2</v>
      </c>
      <c r="T53">
        <v>6.8882010172737207E-3</v>
      </c>
      <c r="U53">
        <v>5.8082730086136625E-2</v>
      </c>
      <c r="V53">
        <v>-1.9860994839332013E-2</v>
      </c>
      <c r="W53">
        <v>-4.1898323533492099E-2</v>
      </c>
      <c r="X53">
        <v>-3.7066937760086183E-2</v>
      </c>
      <c r="Y53">
        <v>-2.2875577938459513E-2</v>
      </c>
      <c r="Z53">
        <v>5.1614296512255686E-2</v>
      </c>
      <c r="AA53">
        <v>-3.2485800781493213E-2</v>
      </c>
      <c r="AB53">
        <v>1.3255567338281704E-3</v>
      </c>
    </row>
    <row r="54" spans="1:28" x14ac:dyDescent="0.2">
      <c r="A54" s="1">
        <v>39538</v>
      </c>
      <c r="B54">
        <v>2.3179996971568695E-2</v>
      </c>
      <c r="C54">
        <v>2.5354082881623441E-3</v>
      </c>
      <c r="D54">
        <v>3.4118533471703127E-3</v>
      </c>
      <c r="E54">
        <v>2.039968566454764E-2</v>
      </c>
      <c r="F54">
        <v>-3.2174577075751332E-2</v>
      </c>
      <c r="G54">
        <v>-6.3420230138012568E-2</v>
      </c>
      <c r="H54">
        <v>-2.8427074938194297E-2</v>
      </c>
      <c r="I54">
        <v>-1.4133835923330174E-2</v>
      </c>
      <c r="J54">
        <v>-2.5935990429313827E-2</v>
      </c>
      <c r="K54">
        <v>-1.9929319898305486E-2</v>
      </c>
      <c r="L54">
        <v>-4.1325327564001313E-4</v>
      </c>
      <c r="M54">
        <v>7.0818861482309092E-3</v>
      </c>
      <c r="N54">
        <v>-5.192468662843619E-3</v>
      </c>
      <c r="O54">
        <v>-9.58509321692258E-3</v>
      </c>
      <c r="P54">
        <v>-5.5277286418095373E-2</v>
      </c>
      <c r="Q54">
        <v>-1.0521810118292341E-2</v>
      </c>
      <c r="R54">
        <v>-5.292028442121155E-2</v>
      </c>
      <c r="S54">
        <v>4.1613620840481591E-3</v>
      </c>
      <c r="T54">
        <v>-4.0561051026140049E-2</v>
      </c>
      <c r="U54">
        <v>-6.1225718541052632E-2</v>
      </c>
      <c r="V54">
        <v>-6.0885267919185138E-3</v>
      </c>
      <c r="W54">
        <v>-7.5195402234838893E-3</v>
      </c>
      <c r="X54">
        <v>4.188920448264799E-3</v>
      </c>
      <c r="Y54">
        <v>-1.4477424853488574E-2</v>
      </c>
      <c r="Z54">
        <v>-5.8527569565663851E-2</v>
      </c>
      <c r="AA54">
        <v>-4.3180490828256257E-3</v>
      </c>
      <c r="AB54">
        <v>2.1180831347631379E-3</v>
      </c>
    </row>
    <row r="55" spans="1:28" x14ac:dyDescent="0.2">
      <c r="A55" s="1">
        <v>39568</v>
      </c>
      <c r="B55">
        <v>3.943141339512346E-3</v>
      </c>
      <c r="C55">
        <v>-8.851486875381509E-3</v>
      </c>
      <c r="D55">
        <v>-2.0897383222588939E-3</v>
      </c>
      <c r="E55">
        <v>-1.9087691797609496E-2</v>
      </c>
      <c r="F55">
        <v>1.2439561501902396E-3</v>
      </c>
      <c r="G55">
        <v>3.5635901871284847E-2</v>
      </c>
      <c r="H55">
        <v>2.445344462101362E-2</v>
      </c>
      <c r="I55">
        <v>1.0000555006381306E-2</v>
      </c>
      <c r="J55">
        <v>9.7373502364541675E-3</v>
      </c>
      <c r="K55">
        <v>1.3855987571611772E-2</v>
      </c>
      <c r="L55">
        <v>1.0116731517509692E-2</v>
      </c>
      <c r="M55">
        <v>-3.3313263928264614E-2</v>
      </c>
      <c r="N55">
        <v>4.1657065448883035E-2</v>
      </c>
      <c r="O55">
        <v>5.255810668978933E-2</v>
      </c>
      <c r="P55">
        <v>7.0533753130318511E-2</v>
      </c>
      <c r="Q55">
        <v>5.4277987431536445E-2</v>
      </c>
      <c r="R55">
        <v>8.1152985445111847E-2</v>
      </c>
      <c r="S55">
        <v>4.5254373708004891E-2</v>
      </c>
      <c r="T55">
        <v>7.2655778265415805E-2</v>
      </c>
      <c r="U55">
        <v>8.138424095946295E-2</v>
      </c>
      <c r="V55">
        <v>5.2500067033054876E-2</v>
      </c>
      <c r="W55">
        <v>4.8745828429385352E-2</v>
      </c>
      <c r="X55">
        <v>4.1870607254374637E-2</v>
      </c>
      <c r="Y55">
        <v>6.7576016688514207E-2</v>
      </c>
      <c r="Z55">
        <v>-4.2916348565819606E-2</v>
      </c>
      <c r="AA55">
        <v>4.8703372600695793E-2</v>
      </c>
      <c r="AB55">
        <v>1.1624834874504053E-3</v>
      </c>
    </row>
    <row r="56" spans="1:28" x14ac:dyDescent="0.2">
      <c r="A56" s="1">
        <v>39598</v>
      </c>
      <c r="B56">
        <v>4.6614276107574959E-3</v>
      </c>
      <c r="C56">
        <v>-3.5194228146584461E-3</v>
      </c>
      <c r="D56">
        <v>-7.332950003904215E-3</v>
      </c>
      <c r="E56">
        <v>-1.1057650010709796E-2</v>
      </c>
      <c r="F56">
        <v>3.8663819298117019E-3</v>
      </c>
      <c r="G56">
        <v>2.7339959739513642E-2</v>
      </c>
      <c r="H56">
        <v>2.3819151656885085E-2</v>
      </c>
      <c r="I56">
        <v>1.5184348414409632E-2</v>
      </c>
      <c r="J56">
        <v>1.8462281598387476E-2</v>
      </c>
      <c r="K56">
        <v>1.2715857948602638E-2</v>
      </c>
      <c r="L56">
        <v>1.2278505392910866E-3</v>
      </c>
      <c r="M56">
        <v>7.1172010110416295E-3</v>
      </c>
      <c r="N56">
        <v>4.2835093270232605E-3</v>
      </c>
      <c r="O56">
        <v>1.524861312111514E-2</v>
      </c>
      <c r="P56">
        <v>7.5740986802772303E-2</v>
      </c>
      <c r="Q56">
        <v>9.737784781734371E-3</v>
      </c>
      <c r="R56">
        <v>1.8553448011962237E-2</v>
      </c>
      <c r="S56">
        <v>4.4223580310984723E-3</v>
      </c>
      <c r="T56">
        <v>2.5169636663656014E-2</v>
      </c>
      <c r="U56">
        <v>-3.3318870392278543E-2</v>
      </c>
      <c r="V56">
        <v>3.6653489461042854E-2</v>
      </c>
      <c r="W56">
        <v>-1.586388625085311E-3</v>
      </c>
      <c r="X56">
        <v>4.5936801260307636E-2</v>
      </c>
      <c r="Y56">
        <v>4.5316465395976335E-2</v>
      </c>
      <c r="Z56">
        <v>1.0198849068429272E-2</v>
      </c>
      <c r="AA56">
        <v>1.2952649864323096E-2</v>
      </c>
      <c r="AB56">
        <v>5.8056684435547901E-4</v>
      </c>
    </row>
    <row r="57" spans="1:28" x14ac:dyDescent="0.2">
      <c r="A57" s="1">
        <v>39629</v>
      </c>
      <c r="B57">
        <v>-8.6880374127796811E-3</v>
      </c>
      <c r="C57">
        <v>2.8254823186615319E-3</v>
      </c>
      <c r="D57">
        <v>-8.0807791873460655E-4</v>
      </c>
      <c r="E57">
        <v>8.517583537215323E-4</v>
      </c>
      <c r="F57">
        <v>9.5007206516557474E-3</v>
      </c>
      <c r="G57">
        <v>9.0990040622232149E-2</v>
      </c>
      <c r="H57">
        <v>-2.439663959835614E-2</v>
      </c>
      <c r="I57">
        <v>-1.5989686471403308E-2</v>
      </c>
      <c r="J57">
        <v>-8.081337807452682E-3</v>
      </c>
      <c r="K57">
        <v>-6.2802390314177226E-3</v>
      </c>
      <c r="L57">
        <v>-1.9260826700651656E-2</v>
      </c>
      <c r="M57">
        <v>1.5442717245768511E-2</v>
      </c>
      <c r="N57">
        <v>-2.6794579341624658E-2</v>
      </c>
      <c r="O57">
        <v>-7.9757778450268657E-2</v>
      </c>
      <c r="P57">
        <v>-3.6277478850183065E-2</v>
      </c>
      <c r="Q57">
        <v>-8.1787992954752031E-2</v>
      </c>
      <c r="R57">
        <v>-9.9754013464526059E-2</v>
      </c>
      <c r="S57">
        <v>-8.703257807463094E-2</v>
      </c>
      <c r="T57">
        <v>-6.8170218991036369E-2</v>
      </c>
      <c r="U57">
        <v>-0.11899187884463247</v>
      </c>
      <c r="V57">
        <v>-7.2021968817796989E-2</v>
      </c>
      <c r="W57">
        <v>-9.5721734563733119E-2</v>
      </c>
      <c r="X57">
        <v>-7.6987821453425309E-2</v>
      </c>
      <c r="Y57">
        <v>-7.9947428958405675E-2</v>
      </c>
      <c r="Z57">
        <v>4.3880428652002257E-2</v>
      </c>
      <c r="AA57">
        <v>-8.4303846880255384E-2</v>
      </c>
      <c r="AB57">
        <v>1.740689946196694E-3</v>
      </c>
    </row>
    <row r="58" spans="1:28" x14ac:dyDescent="0.2">
      <c r="A58" s="1">
        <v>39660</v>
      </c>
      <c r="B58">
        <v>8.5508559313751675E-3</v>
      </c>
      <c r="C58">
        <v>4.0942108738719618E-3</v>
      </c>
      <c r="D58">
        <v>-8.1588835212031974E-4</v>
      </c>
      <c r="E58">
        <v>1.3773233889398107E-3</v>
      </c>
      <c r="F58">
        <v>-7.210150816291061E-3</v>
      </c>
      <c r="G58">
        <v>-0.1185424145646562</v>
      </c>
      <c r="H58">
        <v>-2.8445472240312908E-2</v>
      </c>
      <c r="I58">
        <v>-1.4316305322182088E-2</v>
      </c>
      <c r="J58">
        <v>-2.6122942477532662E-2</v>
      </c>
      <c r="K58">
        <v>-8.1509853234239538E-3</v>
      </c>
      <c r="L58">
        <v>1.1131270534006754E-2</v>
      </c>
      <c r="M58">
        <v>-9.2004044393724227E-3</v>
      </c>
      <c r="N58">
        <v>-1.6026927020641013E-2</v>
      </c>
      <c r="O58">
        <v>-2.4434083450654787E-2</v>
      </c>
      <c r="P58">
        <v>-6.9882337542000683E-2</v>
      </c>
      <c r="Q58">
        <v>-3.2095160451253046E-2</v>
      </c>
      <c r="R58">
        <v>-3.7719956034473867E-2</v>
      </c>
      <c r="S58">
        <v>-2.8740248974102989E-2</v>
      </c>
      <c r="T58">
        <v>-3.4081305673937745E-2</v>
      </c>
      <c r="U58">
        <v>-9.181373357523781E-3</v>
      </c>
      <c r="V58">
        <v>-1.9012315578744277E-2</v>
      </c>
      <c r="W58">
        <v>-3.6105040927442156E-3</v>
      </c>
      <c r="X58">
        <v>3.7006344117884948E-2</v>
      </c>
      <c r="Y58">
        <v>-2.5435657726498362E-2</v>
      </c>
      <c r="Z58">
        <v>-1.2210935811540868E-2</v>
      </c>
      <c r="AA58">
        <v>-8.4062238643820564E-3</v>
      </c>
      <c r="AB58">
        <v>1.6850086883259952E-3</v>
      </c>
    </row>
    <row r="59" spans="1:28" x14ac:dyDescent="0.2">
      <c r="A59" s="1">
        <v>39689</v>
      </c>
      <c r="B59">
        <v>1.1800656539349808E-2</v>
      </c>
      <c r="C59">
        <v>4.9544019642231429E-3</v>
      </c>
      <c r="D59">
        <v>9.4906561803869138E-3</v>
      </c>
      <c r="E59">
        <v>-1.6528350348578802E-2</v>
      </c>
      <c r="F59">
        <v>4.526581706817967E-2</v>
      </c>
      <c r="G59">
        <v>-7.2841922156990702E-2</v>
      </c>
      <c r="H59">
        <v>-2.1743570199466378E-2</v>
      </c>
      <c r="I59">
        <v>-5.0456983866700167E-3</v>
      </c>
      <c r="J59">
        <v>-1.3897780726167874E-2</v>
      </c>
      <c r="K59">
        <v>-1.4401191239722388E-3</v>
      </c>
      <c r="L59">
        <v>8.0746847720660764E-3</v>
      </c>
      <c r="M59">
        <v>1.3194722111155466E-2</v>
      </c>
      <c r="N59">
        <v>3.2272735985667822E-3</v>
      </c>
      <c r="O59">
        <v>-1.4048919430536877E-2</v>
      </c>
      <c r="P59">
        <v>-1.9799354450705686E-2</v>
      </c>
      <c r="Q59">
        <v>-4.0523795711187471E-2</v>
      </c>
      <c r="R59">
        <v>-7.9875529745828788E-2</v>
      </c>
      <c r="S59">
        <v>-3.9377722002687743E-2</v>
      </c>
      <c r="T59">
        <v>-3.9781576978686117E-2</v>
      </c>
      <c r="U59">
        <v>-6.9000850811970493E-2</v>
      </c>
      <c r="V59">
        <v>1.0767427405425245E-2</v>
      </c>
      <c r="W59">
        <v>1.6987887673261426E-2</v>
      </c>
      <c r="X59">
        <v>3.6143924961122842E-2</v>
      </c>
      <c r="Y59">
        <v>1.8482615246259604E-2</v>
      </c>
      <c r="Z59">
        <v>-9.0744995077125079E-2</v>
      </c>
      <c r="AA59">
        <v>1.4464896142462713E-2</v>
      </c>
      <c r="AB59">
        <v>1.3667665457604006E-3</v>
      </c>
    </row>
    <row r="60" spans="1:28" x14ac:dyDescent="0.2">
      <c r="A60" s="1">
        <v>39721</v>
      </c>
      <c r="B60">
        <v>-3.1034173138067001E-2</v>
      </c>
      <c r="C60">
        <v>7.8530605121940322E-3</v>
      </c>
      <c r="D60">
        <v>-1.3431628540614082E-2</v>
      </c>
      <c r="E60">
        <v>-2.352781095671086E-2</v>
      </c>
      <c r="F60">
        <v>2.0170284239121594E-2</v>
      </c>
      <c r="G60">
        <v>-0.11527921242911654</v>
      </c>
      <c r="H60">
        <v>-8.1403794542048158E-2</v>
      </c>
      <c r="I60">
        <v>-6.0063508319736503E-2</v>
      </c>
      <c r="J60">
        <v>-6.5295530508631461E-2</v>
      </c>
      <c r="K60">
        <v>-5.898082472588384E-2</v>
      </c>
      <c r="L60">
        <v>-6.8433839270680585E-2</v>
      </c>
      <c r="M60">
        <v>-4.6319311100378124E-2</v>
      </c>
      <c r="N60">
        <v>-8.2973922679955736E-2</v>
      </c>
      <c r="O60">
        <v>-0.11893628051926086</v>
      </c>
      <c r="P60">
        <v>-0.14228457744616552</v>
      </c>
      <c r="Q60">
        <v>-0.14458974413199233</v>
      </c>
      <c r="R60">
        <v>-0.17500246535451813</v>
      </c>
      <c r="S60">
        <v>-0.15084501058432165</v>
      </c>
      <c r="T60">
        <v>-0.1120999699138564</v>
      </c>
      <c r="U60">
        <v>-0.16556538738144522</v>
      </c>
      <c r="V60">
        <v>-0.11580462484802945</v>
      </c>
      <c r="W60">
        <v>-7.3470348542245656E-2</v>
      </c>
      <c r="X60">
        <v>-7.9680402145486329E-2</v>
      </c>
      <c r="Y60">
        <v>-0.12261931382723545</v>
      </c>
      <c r="Z60">
        <v>4.7885459904950967E-2</v>
      </c>
      <c r="AA60">
        <v>-8.9107486449930717E-2</v>
      </c>
      <c r="AB60">
        <v>1.942359178959574E-3</v>
      </c>
    </row>
    <row r="61" spans="1:28" x14ac:dyDescent="0.2">
      <c r="A61" s="1">
        <v>39752</v>
      </c>
      <c r="B61">
        <v>-1.5610617500904089E-3</v>
      </c>
      <c r="C61">
        <v>9.5666854248734889E-3</v>
      </c>
      <c r="D61">
        <v>-2.3604208769948953E-2</v>
      </c>
      <c r="E61">
        <v>-3.686211424561181E-2</v>
      </c>
      <c r="F61">
        <v>6.687683550318102E-2</v>
      </c>
      <c r="G61">
        <v>-0.21283224323004146</v>
      </c>
      <c r="H61">
        <v>-9.4583509938527044E-2</v>
      </c>
      <c r="I61">
        <v>-8.1909506896957196E-2</v>
      </c>
      <c r="J61">
        <v>-5.7196273130460606E-2</v>
      </c>
      <c r="K61">
        <v>-8.0311738926092557E-2</v>
      </c>
      <c r="L61">
        <v>-0.1489103491014252</v>
      </c>
      <c r="M61">
        <v>-7.6398581963264323E-2</v>
      </c>
      <c r="N61">
        <v>-0.16298381261577977</v>
      </c>
      <c r="O61">
        <v>-0.18960072153063423</v>
      </c>
      <c r="P61">
        <v>-0.26996127979917695</v>
      </c>
      <c r="Q61">
        <v>-0.20178309556852858</v>
      </c>
      <c r="R61">
        <v>-0.27367714218414352</v>
      </c>
      <c r="S61">
        <v>-0.21244625281688312</v>
      </c>
      <c r="T61">
        <v>-0.14782280659595293</v>
      </c>
      <c r="U61">
        <v>-0.24065749876195197</v>
      </c>
      <c r="V61">
        <v>-0.17605926158179841</v>
      </c>
      <c r="W61">
        <v>-0.17311333855126609</v>
      </c>
      <c r="X61">
        <v>-0.20802932881659753</v>
      </c>
      <c r="Y61">
        <v>-0.22351567537423978</v>
      </c>
      <c r="Z61">
        <v>-0.16889603306734025</v>
      </c>
      <c r="AA61">
        <v>-0.16794757601381294</v>
      </c>
      <c r="AB61">
        <v>1.2050717803624433E-3</v>
      </c>
    </row>
    <row r="62" spans="1:28" x14ac:dyDescent="0.2">
      <c r="A62" s="1">
        <v>39780</v>
      </c>
      <c r="B62">
        <v>1.2384272259801321E-2</v>
      </c>
      <c r="C62">
        <v>1.2091587342423438E-2</v>
      </c>
      <c r="D62">
        <v>3.254984863105026E-2</v>
      </c>
      <c r="E62">
        <v>2.8915086290507208E-2</v>
      </c>
      <c r="F62">
        <v>2.9583905005991618E-2</v>
      </c>
      <c r="G62">
        <v>-6.9582655416398742E-2</v>
      </c>
      <c r="H62">
        <v>-3.7716664327074323E-2</v>
      </c>
      <c r="I62">
        <v>-3.656644757432348E-2</v>
      </c>
      <c r="J62">
        <v>-2.6423082314796176E-2</v>
      </c>
      <c r="K62">
        <v>-2.8024411644779201E-2</v>
      </c>
      <c r="L62">
        <v>2.4786869330420735E-2</v>
      </c>
      <c r="M62">
        <v>4.687583587439148E-2</v>
      </c>
      <c r="N62">
        <v>-8.4323008128609489E-2</v>
      </c>
      <c r="O62">
        <v>-6.4728681996604753E-2</v>
      </c>
      <c r="P62">
        <v>-5.7100863161496651E-2</v>
      </c>
      <c r="Q62">
        <v>-5.4050895985443215E-2</v>
      </c>
      <c r="R62">
        <v>-7.5277352901314654E-2</v>
      </c>
      <c r="S62">
        <v>-6.8574737694734988E-2</v>
      </c>
      <c r="T62">
        <v>-1.2458674046970653E-2</v>
      </c>
      <c r="U62">
        <v>-5.9215642009682101E-2</v>
      </c>
      <c r="V62">
        <v>-7.9529317520706244E-2</v>
      </c>
      <c r="W62">
        <v>-7.170882887284169E-2</v>
      </c>
      <c r="X62">
        <v>-0.11828683319803523</v>
      </c>
      <c r="Y62">
        <v>-0.1017713266153466</v>
      </c>
      <c r="Z62">
        <v>0.13013745941838772</v>
      </c>
      <c r="AA62">
        <v>-7.1754904074988968E-2</v>
      </c>
      <c r="AB62">
        <v>6.2797634622424603E-4</v>
      </c>
    </row>
    <row r="63" spans="1:28" x14ac:dyDescent="0.2">
      <c r="A63" s="1">
        <v>39813</v>
      </c>
      <c r="B63">
        <v>1.6680676535632211E-2</v>
      </c>
      <c r="C63">
        <v>5.6346381969158976E-3</v>
      </c>
      <c r="D63">
        <v>3.7309173919246597E-2</v>
      </c>
      <c r="E63">
        <v>6.2130939937454999E-2</v>
      </c>
      <c r="F63">
        <v>-2.6363857622397235E-2</v>
      </c>
      <c r="G63">
        <v>-4.483936559577073E-2</v>
      </c>
      <c r="H63">
        <v>2.1940494483372319E-3</v>
      </c>
      <c r="I63">
        <v>-1.4988431307215277E-2</v>
      </c>
      <c r="J63">
        <v>-1.7190822580770204E-2</v>
      </c>
      <c r="K63">
        <v>-2.3592003921266702E-3</v>
      </c>
      <c r="L63">
        <v>7.7683699449345722E-2</v>
      </c>
      <c r="M63">
        <v>3.4186287159702067E-2</v>
      </c>
      <c r="N63">
        <v>7.4744089720586881E-2</v>
      </c>
      <c r="O63">
        <v>3.208350366868773E-2</v>
      </c>
      <c r="P63">
        <v>-2.856835595586138E-2</v>
      </c>
      <c r="Q63">
        <v>6.0122163432005937E-2</v>
      </c>
      <c r="R63">
        <v>7.7992504344548852E-2</v>
      </c>
      <c r="S63">
        <v>5.2498744833874511E-2</v>
      </c>
      <c r="T63">
        <v>8.1263792903767174E-2</v>
      </c>
      <c r="U63">
        <v>9.8956840526578826E-2</v>
      </c>
      <c r="V63">
        <v>1.8073274640504344E-2</v>
      </c>
      <c r="W63">
        <v>1.3880665745674703E-2</v>
      </c>
      <c r="X63">
        <v>5.8040841206949079E-2</v>
      </c>
      <c r="Y63">
        <v>4.2713607076041882E-2</v>
      </c>
      <c r="Z63">
        <v>7.8234826722082929E-2</v>
      </c>
      <c r="AA63">
        <v>1.0640066384777214E-2</v>
      </c>
      <c r="AB63">
        <v>5.2298519951810007E-5</v>
      </c>
    </row>
    <row r="64" spans="1:28" x14ac:dyDescent="0.2">
      <c r="A64" s="1">
        <v>39843</v>
      </c>
      <c r="B64">
        <v>3.3640794005973529E-2</v>
      </c>
      <c r="C64">
        <v>-3.1174958924885532E-3</v>
      </c>
      <c r="D64">
        <v>-8.8233271439377425E-3</v>
      </c>
      <c r="E64">
        <v>-3.2701175380325243E-2</v>
      </c>
      <c r="F64">
        <v>5.4165362135727424E-3</v>
      </c>
      <c r="G64">
        <v>-5.3752224597018006E-2</v>
      </c>
      <c r="H64">
        <v>-8.8116576153515203E-3</v>
      </c>
      <c r="I64">
        <v>3.6957216704314177E-3</v>
      </c>
      <c r="J64">
        <v>1.1136160111223647E-2</v>
      </c>
      <c r="K64">
        <v>2.0547026166424676E-2</v>
      </c>
      <c r="L64">
        <v>8.5160156035384293E-3</v>
      </c>
      <c r="M64">
        <v>1.0796388027620951E-2</v>
      </c>
      <c r="N64">
        <v>5.3079254411582122E-2</v>
      </c>
      <c r="O64">
        <v>-8.7605707139503108E-2</v>
      </c>
      <c r="P64">
        <v>-3.5605660293377528E-2</v>
      </c>
      <c r="Q64">
        <v>-9.813280585911921E-2</v>
      </c>
      <c r="R64">
        <v>-6.4580662704424419E-2</v>
      </c>
      <c r="S64">
        <v>-0.11058828909304796</v>
      </c>
      <c r="T64">
        <v>-6.7967791250383214E-2</v>
      </c>
      <c r="U64">
        <v>-5.4491086971025893E-2</v>
      </c>
      <c r="V64">
        <v>-4.8104662647895147E-2</v>
      </c>
      <c r="W64">
        <v>-0.11498953737347528</v>
      </c>
      <c r="X64">
        <v>-0.1112214210158804</v>
      </c>
      <c r="Y64">
        <v>-7.3963247517634945E-2</v>
      </c>
      <c r="Z64">
        <v>5.192449407629951E-2</v>
      </c>
      <c r="AA64">
        <v>-8.4286319939214538E-2</v>
      </c>
      <c r="AB64">
        <v>-5.2295784959688341E-5</v>
      </c>
    </row>
    <row r="65" spans="1:28" x14ac:dyDescent="0.2">
      <c r="A65" s="1">
        <v>39871</v>
      </c>
      <c r="B65">
        <v>-3.865695165264027E-3</v>
      </c>
      <c r="C65">
        <v>-1.0142416430715118E-3</v>
      </c>
      <c r="D65">
        <v>-3.7744489235188583E-3</v>
      </c>
      <c r="E65">
        <v>-2.2339857219173309E-2</v>
      </c>
      <c r="F65">
        <v>2.7528807642979602E-2</v>
      </c>
      <c r="G65">
        <v>-4.4333157854478555E-2</v>
      </c>
      <c r="H65">
        <v>-2.2039646735757534E-2</v>
      </c>
      <c r="I65">
        <v>-1.4119806964453585E-2</v>
      </c>
      <c r="J65">
        <v>-2.1065470394521224E-3</v>
      </c>
      <c r="K65">
        <v>5.1834774386301241E-3</v>
      </c>
      <c r="L65">
        <v>-1.1930703857049418E-2</v>
      </c>
      <c r="M65">
        <v>-3.9271878475319877E-2</v>
      </c>
      <c r="N65">
        <v>-3.4666707427051691E-2</v>
      </c>
      <c r="O65">
        <v>-0.10235912340621978</v>
      </c>
      <c r="P65">
        <v>-8.6081719646252997E-2</v>
      </c>
      <c r="Q65">
        <v>-0.1025932290718109</v>
      </c>
      <c r="R65">
        <v>-5.6409750628101718E-2</v>
      </c>
      <c r="S65">
        <v>-0.10159706920492362</v>
      </c>
      <c r="T65">
        <v>-0.12382161749570142</v>
      </c>
      <c r="U65">
        <v>-6.5284468878097579E-2</v>
      </c>
      <c r="V65">
        <v>-7.5228636117543712E-2</v>
      </c>
      <c r="W65">
        <v>-0.13360963908420453</v>
      </c>
      <c r="X65">
        <v>-0.12152355349228916</v>
      </c>
      <c r="Y65">
        <v>-9.9504466913786338E-2</v>
      </c>
      <c r="Z65">
        <v>1.559519318855429E-2</v>
      </c>
      <c r="AA65">
        <v>-0.10647796709532442</v>
      </c>
      <c r="AB65">
        <v>2.0919407980746207E-4</v>
      </c>
    </row>
    <row r="66" spans="1:28" x14ac:dyDescent="0.2">
      <c r="A66" s="1">
        <v>39903</v>
      </c>
      <c r="B66">
        <v>1.2992542199938839E-3</v>
      </c>
      <c r="C66">
        <v>5.4993866068784314E-3</v>
      </c>
      <c r="D66">
        <v>1.3901367153493105E-2</v>
      </c>
      <c r="E66">
        <v>2.3013748583143867E-2</v>
      </c>
      <c r="F66">
        <v>6.3139056855097131E-3</v>
      </c>
      <c r="G66">
        <v>3.6031752010395879E-2</v>
      </c>
      <c r="H66">
        <v>2.8999696231114314E-2</v>
      </c>
      <c r="I66">
        <v>1.2767254166768272E-2</v>
      </c>
      <c r="J66">
        <v>3.4840468824759441E-4</v>
      </c>
      <c r="K66">
        <v>9.9570400484072508E-3</v>
      </c>
      <c r="L66">
        <v>3.7382146992336107E-2</v>
      </c>
      <c r="M66">
        <v>6.6101878176140216E-2</v>
      </c>
      <c r="N66">
        <v>3.3036633226642076E-2</v>
      </c>
      <c r="O66">
        <v>7.5408732415792823E-2</v>
      </c>
      <c r="P66">
        <v>9.3422732002971243E-2</v>
      </c>
      <c r="Q66">
        <v>6.3376088816461174E-2</v>
      </c>
      <c r="R66">
        <v>0.14370905009984769</v>
      </c>
      <c r="S66">
        <v>6.9301959124156154E-2</v>
      </c>
      <c r="T66">
        <v>2.0996465841222722E-2</v>
      </c>
      <c r="U66">
        <v>0.138000137258939</v>
      </c>
      <c r="V66">
        <v>8.9196058338934403E-2</v>
      </c>
      <c r="W66">
        <v>8.5501750600281312E-2</v>
      </c>
      <c r="X66">
        <v>8.9267034869031425E-2</v>
      </c>
      <c r="Y66">
        <v>9.1534093154070462E-2</v>
      </c>
      <c r="Z66">
        <v>-2.4376008150097661E-2</v>
      </c>
      <c r="AA66">
        <v>8.759547121563882E-2</v>
      </c>
      <c r="AB66">
        <v>2.0915032679735823E-4</v>
      </c>
    </row>
    <row r="67" spans="1:28" x14ac:dyDescent="0.2">
      <c r="A67" s="1">
        <v>39933</v>
      </c>
      <c r="B67">
        <v>1.3123246567140034E-2</v>
      </c>
      <c r="C67">
        <v>-1.4725062055618299E-3</v>
      </c>
      <c r="D67">
        <v>4.7809093344506337E-3</v>
      </c>
      <c r="E67">
        <v>8.9954877717373094E-3</v>
      </c>
      <c r="F67">
        <v>-1.8355066986471824E-2</v>
      </c>
      <c r="G67">
        <v>7.3301855495822021E-3</v>
      </c>
      <c r="H67">
        <v>5.4442844855802752E-2</v>
      </c>
      <c r="I67">
        <v>3.1902162062693806E-2</v>
      </c>
      <c r="J67">
        <v>7.9822961908986301E-3</v>
      </c>
      <c r="K67">
        <v>3.0997126677581033E-2</v>
      </c>
      <c r="L67">
        <v>5.3866595801222328E-2</v>
      </c>
      <c r="M67">
        <v>-1.305333492423344E-2</v>
      </c>
      <c r="N67">
        <v>0.11465983489894671</v>
      </c>
      <c r="O67">
        <v>0.11217934337673419</v>
      </c>
      <c r="P67">
        <v>0.13877160460687765</v>
      </c>
      <c r="Q67">
        <v>0.12804052511043107</v>
      </c>
      <c r="R67">
        <v>0.16640692640692634</v>
      </c>
      <c r="S67">
        <v>0.13942980396555793</v>
      </c>
      <c r="T67">
        <v>9.625752476403826E-2</v>
      </c>
      <c r="U67">
        <v>0.16752704772702609</v>
      </c>
      <c r="V67">
        <v>9.6005988740762493E-2</v>
      </c>
      <c r="W67">
        <v>0.1071916665245598</v>
      </c>
      <c r="X67">
        <v>0.15458261209810908</v>
      </c>
      <c r="Y67">
        <v>0.15371756142186754</v>
      </c>
      <c r="Z67">
        <v>-3.3882634470005946E-2</v>
      </c>
      <c r="AA67">
        <v>9.570935909919509E-2</v>
      </c>
      <c r="AB67">
        <v>2.6138324010660519E-4</v>
      </c>
    </row>
    <row r="68" spans="1:28" x14ac:dyDescent="0.2">
      <c r="A68" s="1">
        <v>39962</v>
      </c>
      <c r="B68">
        <v>4.8675986601818266E-3</v>
      </c>
      <c r="C68">
        <v>1.6853459172494478E-3</v>
      </c>
      <c r="D68">
        <v>7.253460946846646E-3</v>
      </c>
      <c r="E68">
        <v>3.5689598600021855E-2</v>
      </c>
      <c r="F68">
        <v>-4.1035559462818783E-2</v>
      </c>
      <c r="G68">
        <v>0.13004484304932729</v>
      </c>
      <c r="H68">
        <v>6.374442514570533E-2</v>
      </c>
      <c r="I68">
        <v>4.7429671110515326E-2</v>
      </c>
      <c r="J68">
        <v>2.8634142135389284E-2</v>
      </c>
      <c r="K68">
        <v>3.9329080872431366E-2</v>
      </c>
      <c r="L68">
        <v>3.7849559976800951E-2</v>
      </c>
      <c r="M68">
        <v>3.2823153924270709E-3</v>
      </c>
      <c r="N68">
        <v>7.1129978352002077E-2</v>
      </c>
      <c r="O68">
        <v>9.0606425329230245E-2</v>
      </c>
      <c r="P68">
        <v>0.211995632279534</v>
      </c>
      <c r="Q68">
        <v>0.11830604549940538</v>
      </c>
      <c r="R68">
        <v>0.17086879783584052</v>
      </c>
      <c r="S68">
        <v>0.12130283644248707</v>
      </c>
      <c r="T68">
        <v>0.10301478986409762</v>
      </c>
      <c r="U68">
        <v>0.16082377309565743</v>
      </c>
      <c r="V68">
        <v>4.9571774959488168E-2</v>
      </c>
      <c r="W68">
        <v>6.1836344033972201E-2</v>
      </c>
      <c r="X68">
        <v>3.0149001244806239E-2</v>
      </c>
      <c r="Y68">
        <v>4.3423447064125487E-2</v>
      </c>
      <c r="Z68">
        <v>0.10242062598513835</v>
      </c>
      <c r="AA68">
        <v>5.5933147317726029E-2</v>
      </c>
      <c r="AB68">
        <v>5.2262987352280632E-5</v>
      </c>
    </row>
    <row r="69" spans="1:28" x14ac:dyDescent="0.2">
      <c r="A69" s="1">
        <v>39994</v>
      </c>
      <c r="B69">
        <v>-7.312509554768698E-3</v>
      </c>
      <c r="C69">
        <v>-1.598384790106766E-3</v>
      </c>
      <c r="D69">
        <v>5.6876798609981627E-3</v>
      </c>
      <c r="E69">
        <v>4.137049056372577E-3</v>
      </c>
      <c r="F69">
        <v>-2.429586992971966E-2</v>
      </c>
      <c r="G69">
        <v>-1.902685957011907E-2</v>
      </c>
      <c r="H69">
        <v>1.8214814796475576E-3</v>
      </c>
      <c r="I69">
        <v>1.5277816528961985E-2</v>
      </c>
      <c r="J69">
        <v>4.597507104333598E-3</v>
      </c>
      <c r="K69">
        <v>1.5460380576513888E-2</v>
      </c>
      <c r="L69">
        <v>1.3193060887312313E-2</v>
      </c>
      <c r="M69">
        <v>-5.3682783551739499E-3</v>
      </c>
      <c r="N69">
        <v>3.1797499555260345E-2</v>
      </c>
      <c r="O69">
        <v>-4.5118534065407001E-3</v>
      </c>
      <c r="P69">
        <v>-5.4553514864723707E-2</v>
      </c>
      <c r="Q69">
        <v>-5.6875065258916724E-3</v>
      </c>
      <c r="R69">
        <v>-1.3471582884574063E-2</v>
      </c>
      <c r="S69">
        <v>-1.9582594524493957E-2</v>
      </c>
      <c r="T69">
        <v>1.7585922598760684E-2</v>
      </c>
      <c r="U69">
        <v>-4.6944805368172027E-3</v>
      </c>
      <c r="V69">
        <v>1.1187199152019378E-2</v>
      </c>
      <c r="W69">
        <v>-7.3850897441742891E-3</v>
      </c>
      <c r="X69">
        <v>1.4687770397820543E-2</v>
      </c>
      <c r="Y69">
        <v>3.479872504906778E-3</v>
      </c>
      <c r="Z69">
        <v>-5.3790455181429109E-2</v>
      </c>
      <c r="AA69">
        <v>1.9839983315161902E-3</v>
      </c>
      <c r="AB69">
        <v>1.0452051215059655E-4</v>
      </c>
    </row>
    <row r="70" spans="1:28" x14ac:dyDescent="0.2">
      <c r="A70" s="1">
        <v>40025</v>
      </c>
      <c r="B70">
        <v>1.7163061959132975E-2</v>
      </c>
      <c r="C70">
        <v>1.4745534209639199E-3</v>
      </c>
      <c r="D70">
        <v>1.6129685369903113E-2</v>
      </c>
      <c r="E70">
        <v>2.2144694975066992E-2</v>
      </c>
      <c r="F70">
        <v>-7.9326611544544567E-3</v>
      </c>
      <c r="G70">
        <v>3.2317008652053891E-2</v>
      </c>
      <c r="H70">
        <v>3.2030568357192868E-2</v>
      </c>
      <c r="I70">
        <v>2.7961021759713711E-2</v>
      </c>
      <c r="J70">
        <v>1.4734159911400146E-2</v>
      </c>
      <c r="K70">
        <v>2.9692498571274761E-2</v>
      </c>
      <c r="L70">
        <v>3.0862569242943838E-2</v>
      </c>
      <c r="M70">
        <v>9.7768408810061658E-3</v>
      </c>
      <c r="N70">
        <v>6.1830675736445517E-2</v>
      </c>
      <c r="O70">
        <v>8.4697402800078203E-2</v>
      </c>
      <c r="P70">
        <v>0.11965358452529107</v>
      </c>
      <c r="Q70">
        <v>9.1301177266923883E-2</v>
      </c>
      <c r="R70">
        <v>0.11244671660014438</v>
      </c>
      <c r="S70">
        <v>0.10502773121441411</v>
      </c>
      <c r="T70">
        <v>4.2767973576112395E-2</v>
      </c>
      <c r="U70">
        <v>0.1301653723896512</v>
      </c>
      <c r="V70">
        <v>7.1026387980158479E-2</v>
      </c>
      <c r="W70">
        <v>8.1850823539235673E-2</v>
      </c>
      <c r="X70">
        <v>9.631068588964653E-2</v>
      </c>
      <c r="Y70">
        <v>8.8528457521432014E-2</v>
      </c>
      <c r="Z70">
        <v>2.9681597409606075E-2</v>
      </c>
      <c r="AA70">
        <v>7.5636934707729475E-2</v>
      </c>
      <c r="AB70">
        <v>1.5676438313216856E-4</v>
      </c>
    </row>
    <row r="71" spans="1:28" x14ac:dyDescent="0.2">
      <c r="A71" s="1">
        <v>40056</v>
      </c>
      <c r="B71">
        <v>7.4563143057477799E-3</v>
      </c>
      <c r="C71">
        <v>3.9123301501828855E-3</v>
      </c>
      <c r="D71">
        <v>1.0354400786376505E-2</v>
      </c>
      <c r="E71">
        <v>1.7565764546371376E-2</v>
      </c>
      <c r="F71">
        <v>-1.5614651358133558E-2</v>
      </c>
      <c r="G71">
        <v>-5.8266282429838556E-3</v>
      </c>
      <c r="H71">
        <v>1.3672660934632042E-2</v>
      </c>
      <c r="I71">
        <v>2.3002813232854136E-2</v>
      </c>
      <c r="J71">
        <v>1.1457930825694573E-2</v>
      </c>
      <c r="K71">
        <v>1.7522287276521276E-2</v>
      </c>
      <c r="L71">
        <v>1.9005303805713192E-2</v>
      </c>
      <c r="M71">
        <v>1.4577259475219151E-3</v>
      </c>
      <c r="N71">
        <v>2.0338574491912453E-2</v>
      </c>
      <c r="O71">
        <v>4.1254471894317968E-2</v>
      </c>
      <c r="P71">
        <v>-1.4651368383283403E-2</v>
      </c>
      <c r="Q71">
        <v>5.435844086511632E-2</v>
      </c>
      <c r="R71">
        <v>-3.5782710692773279E-3</v>
      </c>
      <c r="S71">
        <v>6.3067121436386042E-2</v>
      </c>
      <c r="T71">
        <v>3.9350421673720382E-2</v>
      </c>
      <c r="U71">
        <v>-3.2627614797936633E-2</v>
      </c>
      <c r="V71">
        <v>2.073906781649737E-2</v>
      </c>
      <c r="W71">
        <v>5.2305982374927229E-2</v>
      </c>
      <c r="X71">
        <v>2.8674601477680417E-2</v>
      </c>
      <c r="Y71">
        <v>4.8617454434431329E-2</v>
      </c>
      <c r="Z71">
        <v>-2.945492662473792E-3</v>
      </c>
      <c r="AA71">
        <v>3.6104054302144917E-2</v>
      </c>
      <c r="AB71">
        <v>2.089864158829613E-4</v>
      </c>
    </row>
    <row r="72" spans="1:28" x14ac:dyDescent="0.2">
      <c r="A72" s="1">
        <v>40086</v>
      </c>
      <c r="B72">
        <v>2.3490973472177323E-2</v>
      </c>
      <c r="C72">
        <v>2.3885350318473275E-3</v>
      </c>
      <c r="D72">
        <v>1.0504657415381091E-2</v>
      </c>
      <c r="E72">
        <v>2.1370567768512316E-2</v>
      </c>
      <c r="F72">
        <v>-1.6922656347455822E-2</v>
      </c>
      <c r="G72">
        <v>1.5734480639213455E-2</v>
      </c>
      <c r="H72">
        <v>3.2169107443264622E-2</v>
      </c>
      <c r="I72">
        <v>3.7618026010251882E-2</v>
      </c>
      <c r="J72">
        <v>1.6931328115874722E-2</v>
      </c>
      <c r="K72">
        <v>2.4510632490586381E-2</v>
      </c>
      <c r="L72">
        <v>4.9172468896244714E-2</v>
      </c>
      <c r="M72">
        <v>1.9647659951719465E-2</v>
      </c>
      <c r="N72">
        <v>5.9760113003804349E-2</v>
      </c>
      <c r="O72">
        <v>3.9858388967436875E-2</v>
      </c>
      <c r="P72">
        <v>7.2157697613526306E-2</v>
      </c>
      <c r="Q72">
        <v>3.828833283509625E-2</v>
      </c>
      <c r="R72">
        <v>9.0770013655922188E-2</v>
      </c>
      <c r="S72">
        <v>4.6406968207453714E-2</v>
      </c>
      <c r="T72">
        <v>-1.722192898024244E-2</v>
      </c>
      <c r="U72">
        <v>8.8401269301229934E-2</v>
      </c>
      <c r="V72">
        <v>4.2535588851809525E-2</v>
      </c>
      <c r="W72">
        <v>3.8636021901691908E-2</v>
      </c>
      <c r="X72">
        <v>5.7676992912319758E-2</v>
      </c>
      <c r="Y72">
        <v>5.6704278595566926E-2</v>
      </c>
      <c r="Z72">
        <v>5.9409791944827095E-2</v>
      </c>
      <c r="AA72">
        <v>3.7315259951524071E-2</v>
      </c>
      <c r="AB72">
        <v>1.5670706226500464E-4</v>
      </c>
    </row>
    <row r="73" spans="1:28" x14ac:dyDescent="0.2">
      <c r="A73" s="1">
        <v>40116</v>
      </c>
      <c r="B73">
        <v>-1.5602916708276626E-2</v>
      </c>
      <c r="C73">
        <v>2.2156264370218892E-3</v>
      </c>
      <c r="D73">
        <v>4.9375166698109041E-3</v>
      </c>
      <c r="E73">
        <v>4.6982413831337944E-3</v>
      </c>
      <c r="F73">
        <v>-1.6636203856942866E-2</v>
      </c>
      <c r="G73">
        <v>3.2796414642811023E-2</v>
      </c>
      <c r="H73">
        <v>-7.1702667059347913E-3</v>
      </c>
      <c r="I73">
        <v>5.3664050280093356E-3</v>
      </c>
      <c r="J73">
        <v>-3.9690569861128289E-4</v>
      </c>
      <c r="K73">
        <v>1.2557164961793488E-2</v>
      </c>
      <c r="L73">
        <v>1.4795796253181948E-3</v>
      </c>
      <c r="M73">
        <v>1.8705095141022587E-2</v>
      </c>
      <c r="N73">
        <v>1.7863252229616933E-2</v>
      </c>
      <c r="O73">
        <v>-1.779110939565165E-2</v>
      </c>
      <c r="P73">
        <v>-5.1711178509509903E-2</v>
      </c>
      <c r="Q73">
        <v>-1.2495870359495065E-2</v>
      </c>
      <c r="R73">
        <v>1.2371888942366294E-3</v>
      </c>
      <c r="S73">
        <v>-1.1613893914865114E-2</v>
      </c>
      <c r="T73">
        <v>-2.507882785271498E-2</v>
      </c>
      <c r="U73">
        <v>-5.278740015479233E-3</v>
      </c>
      <c r="V73">
        <v>-1.354485000400607E-2</v>
      </c>
      <c r="W73">
        <v>-3.0604714556086043E-2</v>
      </c>
      <c r="X73">
        <v>-6.7894964705882299E-2</v>
      </c>
      <c r="Y73">
        <v>-4.4026776519052624E-2</v>
      </c>
      <c r="Z73">
        <v>3.7461546095068021E-2</v>
      </c>
      <c r="AA73">
        <v>-1.8576814385936835E-2</v>
      </c>
      <c r="AB73">
        <v>1.0445500600630986E-4</v>
      </c>
    </row>
    <row r="74" spans="1:28" x14ac:dyDescent="0.2">
      <c r="A74" s="1">
        <v>40147</v>
      </c>
      <c r="B74">
        <v>1.2563947042971702E-2</v>
      </c>
      <c r="C74">
        <v>6.0899307583215379E-3</v>
      </c>
      <c r="D74">
        <v>1.2946659761781554E-2</v>
      </c>
      <c r="E74">
        <v>2.5463667198678763E-2</v>
      </c>
      <c r="F74">
        <v>-5.820418136642469E-3</v>
      </c>
      <c r="G74">
        <v>3.5174306634678132E-2</v>
      </c>
      <c r="H74">
        <v>1.5663257055077651E-2</v>
      </c>
      <c r="I74">
        <v>1.2591315316613727E-2</v>
      </c>
      <c r="J74">
        <v>7.9809861968849205E-3</v>
      </c>
      <c r="K74">
        <v>6.1045656248126523E-3</v>
      </c>
      <c r="L74">
        <v>1.0472114193842641E-2</v>
      </c>
      <c r="M74">
        <v>2.6498659208211928E-2</v>
      </c>
      <c r="N74">
        <v>1.0132288570985359E-2</v>
      </c>
      <c r="O74">
        <v>4.0862790274661887E-2</v>
      </c>
      <c r="P74">
        <v>7.3922944813867186E-2</v>
      </c>
      <c r="Q74">
        <v>2.0021847828004091E-2</v>
      </c>
      <c r="R74">
        <v>4.2953198265947012E-2</v>
      </c>
      <c r="S74">
        <v>2.9029411913478631E-2</v>
      </c>
      <c r="T74">
        <v>-1.0253298205652017E-2</v>
      </c>
      <c r="U74">
        <v>2.6907692714451148E-2</v>
      </c>
      <c r="V74">
        <v>6.1432536293766216E-2</v>
      </c>
      <c r="W74">
        <v>5.6363268807334332E-2</v>
      </c>
      <c r="X74">
        <v>3.1390150829757602E-2</v>
      </c>
      <c r="Y74">
        <v>4.8298770087081611E-2</v>
      </c>
      <c r="Z74">
        <v>0.12834664498541293</v>
      </c>
      <c r="AA74">
        <v>5.998348884085547E-2</v>
      </c>
      <c r="AB74">
        <v>5.2222048148697908E-5</v>
      </c>
    </row>
    <row r="75" spans="1:28" x14ac:dyDescent="0.2">
      <c r="A75" s="1">
        <v>40178</v>
      </c>
      <c r="B75">
        <v>-3.9226224514099517E-4</v>
      </c>
      <c r="C75">
        <v>-7.9601990049750215E-3</v>
      </c>
      <c r="D75">
        <v>-1.5631390593047079E-2</v>
      </c>
      <c r="E75">
        <v>-3.7626846744221787E-2</v>
      </c>
      <c r="F75">
        <v>1.1533628819573982E-2</v>
      </c>
      <c r="G75">
        <v>1.9789351762254714E-2</v>
      </c>
      <c r="H75">
        <v>2.0680902759219855E-2</v>
      </c>
      <c r="I75">
        <v>2.3586033376995275E-2</v>
      </c>
      <c r="J75">
        <v>8.092985115390583E-3</v>
      </c>
      <c r="K75">
        <v>2.0512228445421776E-2</v>
      </c>
      <c r="L75">
        <v>3.2036810079769662E-3</v>
      </c>
      <c r="M75">
        <v>-2.7483146067415753E-2</v>
      </c>
      <c r="N75">
        <v>3.1346173535452104E-2</v>
      </c>
      <c r="O75">
        <v>1.7957106533193157E-2</v>
      </c>
      <c r="P75">
        <v>3.1021957385083843E-2</v>
      </c>
      <c r="Q75">
        <v>1.4402697365043959E-2</v>
      </c>
      <c r="R75">
        <v>3.9493291484639093E-2</v>
      </c>
      <c r="S75">
        <v>1.5093620615074022E-2</v>
      </c>
      <c r="T75">
        <v>7.7122002424001579E-3</v>
      </c>
      <c r="U75">
        <v>4.3474902622838929E-2</v>
      </c>
      <c r="V75">
        <v>3.0908449162891038E-2</v>
      </c>
      <c r="W75">
        <v>1.7695666940790833E-2</v>
      </c>
      <c r="X75">
        <v>8.0494262465524491E-2</v>
      </c>
      <c r="Y75">
        <v>5.6951812605076091E-2</v>
      </c>
      <c r="Z75">
        <v>-7.0072819443384837E-2</v>
      </c>
      <c r="AA75">
        <v>1.9315130805245495E-2</v>
      </c>
      <c r="AB75">
        <v>0</v>
      </c>
    </row>
    <row r="76" spans="1:28" x14ac:dyDescent="0.2">
      <c r="A76" s="1">
        <v>40207</v>
      </c>
      <c r="B76">
        <v>5.7150914172552358E-3</v>
      </c>
      <c r="C76">
        <v>7.6897358742895605E-3</v>
      </c>
      <c r="D76">
        <v>1.5275848189360675E-2</v>
      </c>
      <c r="E76">
        <v>4.1308822450192295E-3</v>
      </c>
      <c r="F76">
        <v>8.0086488493453789E-3</v>
      </c>
      <c r="G76">
        <v>-7.277921819371258E-2</v>
      </c>
      <c r="H76">
        <v>-1.2712971510532523E-2</v>
      </c>
      <c r="I76">
        <v>6.9215520360277338E-3</v>
      </c>
      <c r="J76">
        <v>-1.1812019209289648E-3</v>
      </c>
      <c r="K76">
        <v>1.5317656838982563E-2</v>
      </c>
      <c r="L76">
        <v>3.6863989026534316E-3</v>
      </c>
      <c r="M76">
        <v>2.0513205628855946E-2</v>
      </c>
      <c r="N76">
        <v>1.5155120638030484E-2</v>
      </c>
      <c r="O76">
        <v>-4.1331027687421473E-2</v>
      </c>
      <c r="P76">
        <v>-7.4154886780343099E-2</v>
      </c>
      <c r="Q76">
        <v>-4.4057314832077088E-2</v>
      </c>
      <c r="R76">
        <v>-5.5771961416890115E-2</v>
      </c>
      <c r="S76">
        <v>-5.9085213408236692E-2</v>
      </c>
      <c r="T76">
        <v>1.8982012714288565E-2</v>
      </c>
      <c r="U76">
        <v>-6.0401620015438917E-2</v>
      </c>
      <c r="V76">
        <v>-4.3636116005124626E-2</v>
      </c>
      <c r="W76">
        <v>-2.8123321807983492E-2</v>
      </c>
      <c r="X76">
        <v>-3.6811365716201361E-2</v>
      </c>
      <c r="Y76">
        <v>-3.3418124209749878E-2</v>
      </c>
      <c r="Z76">
        <v>-1.4375962879568216E-2</v>
      </c>
      <c r="AA76">
        <v>-3.5973352910668277E-2</v>
      </c>
      <c r="AB76">
        <v>1.044386422976995E-4</v>
      </c>
    </row>
    <row r="77" spans="1:28" x14ac:dyDescent="0.2">
      <c r="A77" s="1">
        <v>40235</v>
      </c>
      <c r="B77">
        <v>9.5110003800513709E-3</v>
      </c>
      <c r="C77">
        <v>1.9077637690776417E-3</v>
      </c>
      <c r="D77">
        <v>3.734325743188549E-3</v>
      </c>
      <c r="E77">
        <v>7.4427345710548209E-4</v>
      </c>
      <c r="F77">
        <v>2.2746292910826638E-2</v>
      </c>
      <c r="G77">
        <v>3.7127172014093768E-2</v>
      </c>
      <c r="H77">
        <v>9.1694478915858024E-3</v>
      </c>
      <c r="I77">
        <v>8.0574999639675404E-3</v>
      </c>
      <c r="J77">
        <v>1.2472976154498383E-3</v>
      </c>
      <c r="K77">
        <v>5.6242558647858765E-3</v>
      </c>
      <c r="L77">
        <v>1.4157591287636162E-2</v>
      </c>
      <c r="M77">
        <v>-1.8085690511097652E-2</v>
      </c>
      <c r="N77">
        <v>1.5488291024556844E-3</v>
      </c>
      <c r="O77">
        <v>1.4096771016447684E-2</v>
      </c>
      <c r="P77">
        <v>5.7496689748757657E-2</v>
      </c>
      <c r="Q77">
        <v>-6.8556963266707127E-3</v>
      </c>
      <c r="R77">
        <v>3.5175256900370488E-3</v>
      </c>
      <c r="S77">
        <v>-1.9896637280572227E-2</v>
      </c>
      <c r="T77">
        <v>1.1191379816871905E-2</v>
      </c>
      <c r="U77">
        <v>5.0269165119201098E-3</v>
      </c>
      <c r="V77">
        <v>3.4366251735177711E-2</v>
      </c>
      <c r="W77">
        <v>3.1565718190248448E-2</v>
      </c>
      <c r="X77">
        <v>4.5045804381838472E-2</v>
      </c>
      <c r="Y77">
        <v>5.0034853658752043E-2</v>
      </c>
      <c r="Z77">
        <v>3.36570477247502E-2</v>
      </c>
      <c r="AA77">
        <v>3.0977228155389058E-2</v>
      </c>
      <c r="AB77">
        <v>0</v>
      </c>
    </row>
    <row r="78" spans="1:28" x14ac:dyDescent="0.2">
      <c r="A78" s="1">
        <v>40268</v>
      </c>
      <c r="B78">
        <v>-5.6583576749659192E-3</v>
      </c>
      <c r="C78">
        <v>-2.5664376190082105E-3</v>
      </c>
      <c r="D78">
        <v>-1.2295264730428634E-3</v>
      </c>
      <c r="E78">
        <v>-7.5581717406796312E-3</v>
      </c>
      <c r="F78">
        <v>-3.9986918187029374E-3</v>
      </c>
      <c r="G78">
        <v>-1.2423696993752897E-2</v>
      </c>
      <c r="H78">
        <v>3.1538632615990991E-2</v>
      </c>
      <c r="I78">
        <v>3.0363647811136874E-2</v>
      </c>
      <c r="J78">
        <v>1.5559272311045147E-2</v>
      </c>
      <c r="K78">
        <v>1.6205639641077019E-2</v>
      </c>
      <c r="L78">
        <v>2.3329753858463365E-2</v>
      </c>
      <c r="M78">
        <v>-7.8633030484711597E-3</v>
      </c>
      <c r="N78">
        <v>3.0957396247492497E-2</v>
      </c>
      <c r="O78">
        <v>6.1930471647650975E-2</v>
      </c>
      <c r="P78">
        <v>8.2597608729183536E-2</v>
      </c>
      <c r="Q78">
        <v>6.2422871563743376E-2</v>
      </c>
      <c r="R78">
        <v>8.0734340012631467E-2</v>
      </c>
      <c r="S78">
        <v>6.4807929181871726E-2</v>
      </c>
      <c r="T78">
        <v>4.994142152060399E-2</v>
      </c>
      <c r="U78">
        <v>7.2398798081409588E-2</v>
      </c>
      <c r="V78">
        <v>5.7842717601568117E-2</v>
      </c>
      <c r="W78">
        <v>6.5099585840510565E-2</v>
      </c>
      <c r="X78">
        <v>8.1388532830210414E-2</v>
      </c>
      <c r="Y78">
        <v>7.0688184602714976E-2</v>
      </c>
      <c r="Z78">
        <v>-3.8833561502875646E-3</v>
      </c>
      <c r="AA78">
        <v>6.0344822865828762E-2</v>
      </c>
      <c r="AB78">
        <v>5.221386800324801E-5</v>
      </c>
    </row>
    <row r="79" spans="1:28" x14ac:dyDescent="0.2">
      <c r="A79" s="1">
        <v>40298</v>
      </c>
      <c r="B79">
        <v>9.2369008235260175E-3</v>
      </c>
      <c r="C79">
        <v>2.7805444887116781E-3</v>
      </c>
      <c r="D79">
        <v>1.0409623799257472E-2</v>
      </c>
      <c r="E79">
        <v>1.6093982852760647E-4</v>
      </c>
      <c r="F79">
        <v>2.4234705747068208E-3</v>
      </c>
      <c r="G79">
        <v>1.9442689159780979E-2</v>
      </c>
      <c r="H79">
        <v>1.1897420361925759E-2</v>
      </c>
      <c r="I79">
        <v>1.7410033373849165E-2</v>
      </c>
      <c r="J79">
        <v>8.7067818642223571E-3</v>
      </c>
      <c r="K79">
        <v>1.3897547811587918E-2</v>
      </c>
      <c r="L79">
        <v>7.6130120779407395E-3</v>
      </c>
      <c r="M79">
        <v>3.2550842533410895E-2</v>
      </c>
      <c r="N79">
        <v>2.2389940961085042E-2</v>
      </c>
      <c r="O79">
        <v>1.4030342260662465E-4</v>
      </c>
      <c r="P79">
        <v>1.4207316750891819E-2</v>
      </c>
      <c r="Q79">
        <v>-1.8094163796463336E-2</v>
      </c>
      <c r="R79">
        <v>1.2115400451040204E-2</v>
      </c>
      <c r="S79">
        <v>-2.7055816035292279E-2</v>
      </c>
      <c r="T79">
        <v>-1.5635147380066439E-3</v>
      </c>
      <c r="U79">
        <v>2.0616008994051471E-2</v>
      </c>
      <c r="V79">
        <v>1.1173897623832474E-2</v>
      </c>
      <c r="W79">
        <v>2.5875458293869613E-2</v>
      </c>
      <c r="X79">
        <v>5.6594243384580301E-2</v>
      </c>
      <c r="Y79">
        <v>3.7603943067257228E-2</v>
      </c>
      <c r="Z79">
        <v>5.9088255108915355E-2</v>
      </c>
      <c r="AA79">
        <v>1.5787432538573842E-2</v>
      </c>
      <c r="AB79">
        <v>1.0442228371543294E-4</v>
      </c>
    </row>
    <row r="80" spans="1:28" x14ac:dyDescent="0.2">
      <c r="A80" s="1">
        <v>40329</v>
      </c>
      <c r="B80">
        <v>7.4491893259547304E-3</v>
      </c>
      <c r="C80">
        <v>4.5524148491495886E-3</v>
      </c>
      <c r="D80">
        <v>8.4148727984345584E-3</v>
      </c>
      <c r="E80">
        <v>-1.5631174258776026E-2</v>
      </c>
      <c r="F80">
        <v>4.1063589947616164E-2</v>
      </c>
      <c r="G80">
        <v>-6.922950608681766E-2</v>
      </c>
      <c r="H80">
        <v>-4.0463522680099673E-2</v>
      </c>
      <c r="I80">
        <v>-2.6637600426999364E-2</v>
      </c>
      <c r="J80">
        <v>-2.299986753860217E-2</v>
      </c>
      <c r="K80">
        <v>-1.789436229394048E-2</v>
      </c>
      <c r="L80">
        <v>-1.5784852259500437E-2</v>
      </c>
      <c r="M80">
        <v>3.7703571147202908E-3</v>
      </c>
      <c r="N80">
        <v>-3.5206115979658836E-2</v>
      </c>
      <c r="O80">
        <v>-9.5788162546250222E-2</v>
      </c>
      <c r="P80">
        <v>-6.8830186593001108E-2</v>
      </c>
      <c r="Q80">
        <v>-0.11506154633037369</v>
      </c>
      <c r="R80">
        <v>-8.7957713949777472E-2</v>
      </c>
      <c r="S80">
        <v>-0.12174814055331573</v>
      </c>
      <c r="T80">
        <v>-8.0867560550275108E-2</v>
      </c>
      <c r="U80">
        <v>-8.3884675197118841E-2</v>
      </c>
      <c r="V80">
        <v>-7.6341502846614229E-2</v>
      </c>
      <c r="W80">
        <v>-8.2196038890443912E-2</v>
      </c>
      <c r="X80">
        <v>-7.5853321505608529E-2</v>
      </c>
      <c r="Y80">
        <v>-7.3541230553365033E-2</v>
      </c>
      <c r="Z80">
        <v>3.161073085502486E-2</v>
      </c>
      <c r="AA80">
        <v>-7.9850578201153044E-2</v>
      </c>
      <c r="AB80">
        <v>1.566170712608006E-4</v>
      </c>
    </row>
    <row r="81" spans="1:28" x14ac:dyDescent="0.2">
      <c r="A81" s="1">
        <v>40359</v>
      </c>
      <c r="B81">
        <v>2.0451615359027286E-3</v>
      </c>
      <c r="C81">
        <v>4.6553784039879975E-3</v>
      </c>
      <c r="D81">
        <v>1.56814383102859E-2</v>
      </c>
      <c r="E81">
        <v>1.5316525078149956E-2</v>
      </c>
      <c r="F81">
        <v>7.2215272593862956E-3</v>
      </c>
      <c r="G81">
        <v>3.1823571296878406E-3</v>
      </c>
      <c r="H81">
        <v>-1.8453593782976618E-2</v>
      </c>
      <c r="I81">
        <v>-1.0903008272664438E-2</v>
      </c>
      <c r="J81">
        <v>-1.0224874718030352E-2</v>
      </c>
      <c r="K81">
        <v>3.6560568654719905E-3</v>
      </c>
      <c r="L81">
        <v>2.0063073156562528E-2</v>
      </c>
      <c r="M81">
        <v>1.9235081739286342E-2</v>
      </c>
      <c r="N81">
        <v>1.3038082100099935E-2</v>
      </c>
      <c r="O81">
        <v>-3.4286228698718446E-2</v>
      </c>
      <c r="P81">
        <v>-5.2164440173765425E-2</v>
      </c>
      <c r="Q81">
        <v>-9.9726904232938507E-3</v>
      </c>
      <c r="R81">
        <v>-7.3494287934159352E-3</v>
      </c>
      <c r="S81">
        <v>-7.434156556724858E-3</v>
      </c>
      <c r="T81">
        <v>-2.0065033600693671E-2</v>
      </c>
      <c r="U81">
        <v>1.6964043078320667E-2</v>
      </c>
      <c r="V81">
        <v>-5.5065373540875706E-2</v>
      </c>
      <c r="W81">
        <v>-5.6294503998409295E-2</v>
      </c>
      <c r="X81">
        <v>-7.7494001112313304E-2</v>
      </c>
      <c r="Y81">
        <v>-6.2466194081183146E-2</v>
      </c>
      <c r="Z81">
        <v>2.1442078434596779E-2</v>
      </c>
      <c r="AA81">
        <v>-5.2348673658644707E-2</v>
      </c>
      <c r="AB81">
        <v>1.0439503079640033E-4</v>
      </c>
    </row>
    <row r="82" spans="1:28" x14ac:dyDescent="0.2">
      <c r="A82" s="1">
        <v>40389</v>
      </c>
      <c r="B82">
        <v>1.3076275451955111E-2</v>
      </c>
      <c r="C82">
        <v>2.6654637906995404E-3</v>
      </c>
      <c r="D82">
        <v>1.0668852620679514E-2</v>
      </c>
      <c r="E82">
        <v>3.3979924936982098E-2</v>
      </c>
      <c r="F82">
        <v>-2.9048303808226428E-2</v>
      </c>
      <c r="G82">
        <v>6.7742386512124275E-2</v>
      </c>
      <c r="H82">
        <v>2.3567063142212241E-2</v>
      </c>
      <c r="I82">
        <v>1.9715516593238558E-2</v>
      </c>
      <c r="J82">
        <v>6.445471881599607E-3</v>
      </c>
      <c r="K82">
        <v>1.7014951977949666E-2</v>
      </c>
      <c r="L82">
        <v>4.1167497203295156E-2</v>
      </c>
      <c r="M82">
        <v>3.5037925666794312E-3</v>
      </c>
      <c r="N82">
        <v>3.4651071059714322E-2</v>
      </c>
      <c r="O82">
        <v>8.1073018950702069E-2</v>
      </c>
      <c r="P82">
        <v>7.1346274405706511E-2</v>
      </c>
      <c r="Q82">
        <v>9.4828710770421765E-2</v>
      </c>
      <c r="R82">
        <v>8.3274388617678774E-2</v>
      </c>
      <c r="S82">
        <v>0.11644618840909571</v>
      </c>
      <c r="T82">
        <v>3.5598590031629795E-2</v>
      </c>
      <c r="U82">
        <v>5.7851118659950629E-2</v>
      </c>
      <c r="V82">
        <v>7.1331945358704685E-2</v>
      </c>
      <c r="W82">
        <v>6.7699740749469717E-2</v>
      </c>
      <c r="X82">
        <v>6.8719352575584924E-2</v>
      </c>
      <c r="Y82">
        <v>7.1859794263321009E-2</v>
      </c>
      <c r="Z82">
        <v>-4.9405173940340386E-2</v>
      </c>
      <c r="AA82">
        <v>7.0063530875469127E-2</v>
      </c>
      <c r="AB82">
        <v>2.0876826722338038E-4</v>
      </c>
    </row>
    <row r="83" spans="1:28" x14ac:dyDescent="0.2">
      <c r="A83" s="1">
        <v>40421</v>
      </c>
      <c r="B83">
        <v>1.9113230863537334E-2</v>
      </c>
      <c r="C83">
        <v>1.9631098932559876E-3</v>
      </c>
      <c r="D83">
        <v>1.2867501326389474E-2</v>
      </c>
      <c r="E83">
        <v>1.3917460987834307E-2</v>
      </c>
      <c r="F83">
        <v>-1.0695375236904336E-2</v>
      </c>
      <c r="G83">
        <v>-2.545139973424615E-2</v>
      </c>
      <c r="H83">
        <v>-1.372638629952827E-2</v>
      </c>
      <c r="I83">
        <v>-3.8365661018658903E-3</v>
      </c>
      <c r="J83">
        <v>1.4777954820992534E-3</v>
      </c>
      <c r="K83">
        <v>8.18782616610636E-3</v>
      </c>
      <c r="L83">
        <v>2.3266717458829023E-2</v>
      </c>
      <c r="M83">
        <v>1.7112475334356558E-2</v>
      </c>
      <c r="N83">
        <v>1.5639986636635239E-3</v>
      </c>
      <c r="O83">
        <v>-3.7335103385114032E-2</v>
      </c>
      <c r="P83">
        <v>-1.9498166041369114E-2</v>
      </c>
      <c r="Q83">
        <v>-3.1048372852978456E-2</v>
      </c>
      <c r="R83">
        <v>-1.942025572545647E-2</v>
      </c>
      <c r="S83">
        <v>-3.6795476087615353E-2</v>
      </c>
      <c r="T83">
        <v>-2.2843369243299771E-2</v>
      </c>
      <c r="U83">
        <v>-1.1443381732113456E-2</v>
      </c>
      <c r="V83">
        <v>-4.6689689844406468E-2</v>
      </c>
      <c r="W83">
        <v>-4.2789798542792412E-2</v>
      </c>
      <c r="X83">
        <v>-7.403787323040989E-2</v>
      </c>
      <c r="Y83">
        <v>-4.4021107707806872E-2</v>
      </c>
      <c r="Z83">
        <v>5.6223539373412512E-2</v>
      </c>
      <c r="AA83">
        <v>-4.5144284310157268E-2</v>
      </c>
      <c r="AB83">
        <v>1.0436234606570061E-4</v>
      </c>
    </row>
    <row r="84" spans="1:28" x14ac:dyDescent="0.2">
      <c r="A84" s="1">
        <v>40451</v>
      </c>
      <c r="B84">
        <v>-3.8929288590646705E-3</v>
      </c>
      <c r="C84">
        <v>1.714355687987279E-3</v>
      </c>
      <c r="D84">
        <v>1.065693694344505E-3</v>
      </c>
      <c r="E84">
        <v>2.3467549167782931E-2</v>
      </c>
      <c r="F84">
        <v>-1.2637194800817375E-2</v>
      </c>
      <c r="G84">
        <v>7.2603189200629359E-2</v>
      </c>
      <c r="H84">
        <v>4.7398473693803345E-2</v>
      </c>
      <c r="I84">
        <v>2.5192367834836249E-2</v>
      </c>
      <c r="J84">
        <v>1.9913805509131688E-2</v>
      </c>
      <c r="K84">
        <v>1.6314507669459299E-2</v>
      </c>
      <c r="L84">
        <v>1.6762122947690195E-2</v>
      </c>
      <c r="M84">
        <v>2.1836367359696407E-2</v>
      </c>
      <c r="N84">
        <v>2.9689746586701204E-2</v>
      </c>
      <c r="O84">
        <v>9.324578926685656E-2</v>
      </c>
      <c r="P84">
        <v>7.7597063230431917E-2</v>
      </c>
      <c r="Q84">
        <v>9.7986760493042668E-2</v>
      </c>
      <c r="R84">
        <v>0.11112778876987095</v>
      </c>
      <c r="S84">
        <v>0.10989617891121095</v>
      </c>
      <c r="T84">
        <v>4.5772595903506019E-2</v>
      </c>
      <c r="U84">
        <v>0.1131821857246369</v>
      </c>
      <c r="V84">
        <v>0.10645033399460235</v>
      </c>
      <c r="W84">
        <v>7.7583179741616437E-2</v>
      </c>
      <c r="X84">
        <v>0.12459598844021746</v>
      </c>
      <c r="Y84">
        <v>0.10576659534822452</v>
      </c>
      <c r="Z84">
        <v>4.9013949013948954E-2</v>
      </c>
      <c r="AA84">
        <v>8.9244447791955173E-2</v>
      </c>
      <c r="AB84">
        <v>1.0435145570286686E-4</v>
      </c>
    </row>
    <row r="85" spans="1:28" x14ac:dyDescent="0.2">
      <c r="A85" s="1">
        <v>40480</v>
      </c>
      <c r="B85">
        <v>-2.3471341556199343E-3</v>
      </c>
      <c r="C85">
        <v>2.281895603276185E-3</v>
      </c>
      <c r="D85">
        <v>3.5605595852428173E-3</v>
      </c>
      <c r="E85">
        <v>1.2557337629727217E-2</v>
      </c>
      <c r="F85">
        <v>-3.5825823503212395E-2</v>
      </c>
      <c r="G85">
        <v>4.9827652471580386E-2</v>
      </c>
      <c r="H85">
        <v>2.3665967001219368E-2</v>
      </c>
      <c r="I85">
        <v>1.859392354387257E-2</v>
      </c>
      <c r="J85">
        <v>1.387358691908358E-2</v>
      </c>
      <c r="K85">
        <v>1.5607661000129225E-2</v>
      </c>
      <c r="L85">
        <v>1.7199294002778753E-2</v>
      </c>
      <c r="M85">
        <v>2.5652114295357853E-2</v>
      </c>
      <c r="N85">
        <v>2.4252739487148789E-2</v>
      </c>
      <c r="O85">
        <v>3.7275576034295765E-2</v>
      </c>
      <c r="P85">
        <v>3.1101806657567899E-2</v>
      </c>
      <c r="Q85">
        <v>3.6128100600026913E-2</v>
      </c>
      <c r="R85">
        <v>2.9036338405236561E-2</v>
      </c>
      <c r="S85">
        <v>4.3325265071851193E-2</v>
      </c>
      <c r="T85">
        <v>2.0400275121714495E-2</v>
      </c>
      <c r="U85">
        <v>2.6269201138311216E-2</v>
      </c>
      <c r="V85">
        <v>4.7759549516597444E-2</v>
      </c>
      <c r="W85">
        <v>3.0005804018715665E-2</v>
      </c>
      <c r="X85">
        <v>4.0921580864512697E-2</v>
      </c>
      <c r="Y85">
        <v>3.8692334740478618E-2</v>
      </c>
      <c r="Z85">
        <v>3.8867745731884451E-2</v>
      </c>
      <c r="AA85">
        <v>3.8049169412939454E-2</v>
      </c>
      <c r="AB85">
        <v>1.0434056761265964E-4</v>
      </c>
    </row>
    <row r="86" spans="1:28" x14ac:dyDescent="0.2">
      <c r="A86" s="1">
        <v>40512</v>
      </c>
      <c r="B86">
        <v>-1.1950414733116754E-2</v>
      </c>
      <c r="C86">
        <v>-1.8701467658658322E-3</v>
      </c>
      <c r="D86">
        <v>-5.7474019825239919E-3</v>
      </c>
      <c r="E86">
        <v>-3.8066778306476645E-2</v>
      </c>
      <c r="F86">
        <v>7.2817548130117427E-3</v>
      </c>
      <c r="G86">
        <v>-3.5402567725623113E-3</v>
      </c>
      <c r="H86">
        <v>6.3720646808862469E-3</v>
      </c>
      <c r="I86">
        <v>2.5923122530910891E-3</v>
      </c>
      <c r="J86">
        <v>-1.8671455939112125E-4</v>
      </c>
      <c r="K86">
        <v>4.6372082056680419E-3</v>
      </c>
      <c r="L86">
        <v>-3.184184295049286E-2</v>
      </c>
      <c r="M86">
        <v>-1.9215541089480537E-2</v>
      </c>
      <c r="N86">
        <v>-1.1156313366406101E-2</v>
      </c>
      <c r="O86">
        <v>-2.1589521458939664E-2</v>
      </c>
      <c r="P86">
        <v>1.0232493279991095E-2</v>
      </c>
      <c r="Q86">
        <v>-4.8144804205568215E-2</v>
      </c>
      <c r="R86">
        <v>-2.6398260483522562E-2</v>
      </c>
      <c r="S86">
        <v>-7.5926501968546445E-2</v>
      </c>
      <c r="T86">
        <v>2.1019893034331938E-2</v>
      </c>
      <c r="U86">
        <v>-1.4673575002527972E-2</v>
      </c>
      <c r="V86">
        <v>1.1613499095365354E-2</v>
      </c>
      <c r="W86">
        <v>-5.291804785604759E-3</v>
      </c>
      <c r="X86">
        <v>3.4673701790274292E-2</v>
      </c>
      <c r="Y86">
        <v>1.815100929379021E-2</v>
      </c>
      <c r="Z86">
        <v>1.9729292334853543E-2</v>
      </c>
      <c r="AA86">
        <v>1.2818021936977786E-4</v>
      </c>
      <c r="AB86">
        <v>1.0432968179463487E-4</v>
      </c>
    </row>
    <row r="87" spans="1:28" x14ac:dyDescent="0.2">
      <c r="A87" s="1">
        <v>40543</v>
      </c>
      <c r="B87">
        <v>-1.2468861449129953E-2</v>
      </c>
      <c r="C87">
        <v>-1.9551138446498584E-3</v>
      </c>
      <c r="D87">
        <v>-1.0783669582095201E-2</v>
      </c>
      <c r="E87">
        <v>1.3058653730044556E-2</v>
      </c>
      <c r="F87">
        <v>1.3243078106013328E-2</v>
      </c>
      <c r="G87">
        <v>0.10688967689999318</v>
      </c>
      <c r="H87">
        <v>3.5232630806963261E-2</v>
      </c>
      <c r="I87">
        <v>2.6746151116100458E-2</v>
      </c>
      <c r="J87">
        <v>2.1734780853239322E-2</v>
      </c>
      <c r="K87">
        <v>1.0673162764171629E-2</v>
      </c>
      <c r="L87">
        <v>-3.317508436767147E-3</v>
      </c>
      <c r="M87">
        <v>-2.2837250512475205E-2</v>
      </c>
      <c r="N87">
        <v>1.7608095106669941E-2</v>
      </c>
      <c r="O87">
        <v>7.3525334817402754E-2</v>
      </c>
      <c r="P87">
        <v>7.6674405222360242E-2</v>
      </c>
      <c r="Q87">
        <v>8.0975720803670548E-2</v>
      </c>
      <c r="R87">
        <v>7.136185454037336E-2</v>
      </c>
      <c r="S87">
        <v>8.3929920166082583E-2</v>
      </c>
      <c r="T87">
        <v>7.6180233899264316E-2</v>
      </c>
      <c r="U87">
        <v>5.5273959823372243E-2</v>
      </c>
      <c r="V87">
        <v>5.5081531539111994E-2</v>
      </c>
      <c r="W87">
        <v>7.890372808405588E-2</v>
      </c>
      <c r="X87">
        <v>7.9407744762318266E-2</v>
      </c>
      <c r="Y87">
        <v>6.9198456361693861E-2</v>
      </c>
      <c r="Z87">
        <v>2.5378367070162167E-2</v>
      </c>
      <c r="AA87">
        <v>6.6831866766170256E-2</v>
      </c>
      <c r="AB87">
        <v>2.0863759649492053E-4</v>
      </c>
    </row>
    <row r="88" spans="1:28" x14ac:dyDescent="0.2">
      <c r="A88" s="1">
        <v>40574</v>
      </c>
      <c r="B88">
        <v>-3.836599309643085E-3</v>
      </c>
      <c r="C88">
        <v>1.5916418397745602E-3</v>
      </c>
      <c r="D88">
        <v>1.1638535128877248E-3</v>
      </c>
      <c r="E88">
        <v>1.7997827962523694E-3</v>
      </c>
      <c r="F88">
        <v>-1.1740632834202791E-2</v>
      </c>
      <c r="G88">
        <v>1.0030111481438952E-2</v>
      </c>
      <c r="H88">
        <v>4.2152544992604124E-3</v>
      </c>
      <c r="I88">
        <v>1.6794436714026251E-2</v>
      </c>
      <c r="J88">
        <v>2.5613937636308481E-3</v>
      </c>
      <c r="K88">
        <v>1.1454314005393318E-2</v>
      </c>
      <c r="L88">
        <v>-5.432807269249218E-3</v>
      </c>
      <c r="M88">
        <v>1.6578587332671813E-3</v>
      </c>
      <c r="N88">
        <v>2.1024415900435356E-2</v>
      </c>
      <c r="O88">
        <v>2.259210653897159E-2</v>
      </c>
      <c r="P88">
        <v>4.0281599114775357E-3</v>
      </c>
      <c r="Q88">
        <v>2.3596963682338545E-2</v>
      </c>
      <c r="R88">
        <v>-2.7131729730719312E-2</v>
      </c>
      <c r="S88">
        <v>3.9414484409574069E-2</v>
      </c>
      <c r="T88">
        <v>1.2673036383017422E-3</v>
      </c>
      <c r="U88">
        <v>-9.8186265120596694E-3</v>
      </c>
      <c r="V88">
        <v>2.5448928309971697E-2</v>
      </c>
      <c r="W88">
        <v>2.2621673628385075E-2</v>
      </c>
      <c r="X88">
        <v>-2.5767481832197348E-3</v>
      </c>
      <c r="Y88">
        <v>2.1278765077131778E-2</v>
      </c>
      <c r="Z88">
        <v>-6.2424370339102309E-2</v>
      </c>
      <c r="AA88">
        <v>2.370158478807749E-2</v>
      </c>
      <c r="AB88">
        <v>5.214851898216466E-5</v>
      </c>
    </row>
    <row r="89" spans="1:28" x14ac:dyDescent="0.2">
      <c r="A89" s="1">
        <v>40602</v>
      </c>
      <c r="B89">
        <v>1.2860000306387676E-2</v>
      </c>
      <c r="C89">
        <v>-9.3716893488704489E-4</v>
      </c>
      <c r="D89">
        <v>2.5015063815800875E-3</v>
      </c>
      <c r="E89">
        <v>5.8872994581078419E-3</v>
      </c>
      <c r="F89">
        <v>-1.3037409192004246E-2</v>
      </c>
      <c r="G89">
        <v>1.3179079269887595E-2</v>
      </c>
      <c r="H89">
        <v>1.3006342521862724E-2</v>
      </c>
      <c r="I89">
        <v>1.3636529942470776E-2</v>
      </c>
      <c r="J89">
        <v>8.9363873758778745E-3</v>
      </c>
      <c r="K89">
        <v>9.0771864562524396E-3</v>
      </c>
      <c r="L89">
        <v>2.9428170260239472E-3</v>
      </c>
      <c r="M89">
        <v>6.2401576911952361E-3</v>
      </c>
      <c r="N89">
        <v>1.3369760583100687E-2</v>
      </c>
      <c r="O89">
        <v>3.5012548739806082E-2</v>
      </c>
      <c r="P89">
        <v>7.2701771120294412E-2</v>
      </c>
      <c r="Q89">
        <v>3.2972194237550934E-2</v>
      </c>
      <c r="R89">
        <v>-9.3259227724215021E-3</v>
      </c>
      <c r="S89">
        <v>3.2831870862005452E-2</v>
      </c>
      <c r="T89">
        <v>4.5599543502417683E-2</v>
      </c>
      <c r="U89">
        <v>-3.8729491731220755E-2</v>
      </c>
      <c r="V89">
        <v>3.2727073692865316E-2</v>
      </c>
      <c r="W89">
        <v>3.6885010785258521E-2</v>
      </c>
      <c r="X89">
        <v>5.4841571308307469E-2</v>
      </c>
      <c r="Y89">
        <v>3.7983613867646371E-2</v>
      </c>
      <c r="Z89">
        <v>5.9024364621399039E-2</v>
      </c>
      <c r="AA89">
        <v>3.4258901192524061E-2</v>
      </c>
      <c r="AB89">
        <v>1.5643739896753495E-4</v>
      </c>
    </row>
    <row r="90" spans="1:28" x14ac:dyDescent="0.2">
      <c r="A90" s="1">
        <v>40633</v>
      </c>
      <c r="B90">
        <v>-1.3085061895490302E-3</v>
      </c>
      <c r="C90">
        <v>-4.8941637097765778E-4</v>
      </c>
      <c r="D90">
        <v>5.5247947933367847E-4</v>
      </c>
      <c r="E90">
        <v>4.7096391412388972E-3</v>
      </c>
      <c r="F90">
        <v>-1.6612066498281397E-2</v>
      </c>
      <c r="G90">
        <v>2.0645485896374272E-2</v>
      </c>
      <c r="H90">
        <v>4.993208072367139E-3</v>
      </c>
      <c r="I90">
        <v>3.5529420588067406E-3</v>
      </c>
      <c r="J90">
        <v>-6.9007107654817101E-4</v>
      </c>
      <c r="K90">
        <v>2.856794736134205E-3</v>
      </c>
      <c r="L90">
        <v>1.2695612150966262E-2</v>
      </c>
      <c r="M90">
        <v>8.8310914036591193E-3</v>
      </c>
      <c r="N90">
        <v>4.2013976077757142E-3</v>
      </c>
      <c r="O90">
        <v>-9.8617534371160387E-3</v>
      </c>
      <c r="P90">
        <v>-4.0742925657488716E-4</v>
      </c>
      <c r="Q90">
        <v>-2.2411815324079432E-2</v>
      </c>
      <c r="R90">
        <v>5.8794759659444473E-2</v>
      </c>
      <c r="S90">
        <v>-8.3372931340157663E-3</v>
      </c>
      <c r="T90">
        <v>-9.1870339409124702E-2</v>
      </c>
      <c r="U90">
        <v>6.2831066626626297E-2</v>
      </c>
      <c r="V90">
        <v>1.2212861443312573E-3</v>
      </c>
      <c r="W90">
        <v>3.9711411048375389E-3</v>
      </c>
      <c r="X90">
        <v>2.5916013412306649E-2</v>
      </c>
      <c r="Y90">
        <v>1.5295980917694685E-2</v>
      </c>
      <c r="Z90">
        <v>1.478746997513003E-2</v>
      </c>
      <c r="AA90">
        <v>3.9757861223610469E-4</v>
      </c>
      <c r="AB90">
        <v>1.5641293013546331E-4</v>
      </c>
    </row>
    <row r="91" spans="1:28" x14ac:dyDescent="0.2">
      <c r="A91" s="1">
        <v>40662</v>
      </c>
      <c r="B91">
        <v>1.4694445581433513E-2</v>
      </c>
      <c r="C91">
        <v>4.4477088178886959E-3</v>
      </c>
      <c r="D91">
        <v>1.2693943678209862E-2</v>
      </c>
      <c r="E91">
        <v>3.0995329723658704E-2</v>
      </c>
      <c r="F91">
        <v>-1.7918372017784123E-2</v>
      </c>
      <c r="G91">
        <v>3.4630576375209721E-2</v>
      </c>
      <c r="H91">
        <v>1.3357665902519855E-2</v>
      </c>
      <c r="I91">
        <v>1.1940531811792443E-2</v>
      </c>
      <c r="J91">
        <v>1.1135294881996716E-2</v>
      </c>
      <c r="K91">
        <v>8.2654181680053007E-3</v>
      </c>
      <c r="L91">
        <v>1.3918872855357423E-2</v>
      </c>
      <c r="M91">
        <v>3.1358498928861778E-2</v>
      </c>
      <c r="N91">
        <v>1.5199585277345662E-2</v>
      </c>
      <c r="O91">
        <v>4.2482503549064132E-2</v>
      </c>
      <c r="P91">
        <v>1.1685213193015187E-2</v>
      </c>
      <c r="Q91">
        <v>5.9773859661373052E-2</v>
      </c>
      <c r="R91">
        <v>3.1018616102861607E-2</v>
      </c>
      <c r="S91">
        <v>8.0015939006401693E-2</v>
      </c>
      <c r="T91">
        <v>3.6469181985090415E-3</v>
      </c>
      <c r="U91">
        <v>3.7765362477570896E-2</v>
      </c>
      <c r="V91">
        <v>3.3488800570329991E-2</v>
      </c>
      <c r="W91">
        <v>2.662856812204395E-2</v>
      </c>
      <c r="X91">
        <v>2.6405853215409447E-2</v>
      </c>
      <c r="Y91">
        <v>2.993845580596366E-2</v>
      </c>
      <c r="Z91">
        <v>9.1816785365172349E-2</v>
      </c>
      <c r="AA91">
        <v>2.9615426349700824E-2</v>
      </c>
      <c r="AB91">
        <v>1.0425897930455008E-4</v>
      </c>
    </row>
    <row r="92" spans="1:28" x14ac:dyDescent="0.2">
      <c r="A92" s="1">
        <v>40694</v>
      </c>
      <c r="B92">
        <v>1.1998386446147702E-2</v>
      </c>
      <c r="C92">
        <v>3.696782580435487E-3</v>
      </c>
      <c r="D92">
        <v>1.3050121333772813E-2</v>
      </c>
      <c r="E92">
        <v>-7.8462186459959948E-4</v>
      </c>
      <c r="F92">
        <v>1.4673345436444496E-3</v>
      </c>
      <c r="G92">
        <v>-5.0582091672951024E-2</v>
      </c>
      <c r="H92">
        <v>-1.2803773504774352E-2</v>
      </c>
      <c r="I92">
        <v>-4.6510986692748224E-3</v>
      </c>
      <c r="J92">
        <v>-9.876820707390932E-3</v>
      </c>
      <c r="K92">
        <v>9.9636640595424097E-4</v>
      </c>
      <c r="L92">
        <v>1.4661661156870398E-2</v>
      </c>
      <c r="M92">
        <v>6.021661610244422E-3</v>
      </c>
      <c r="N92">
        <v>4.8901459354115939E-3</v>
      </c>
      <c r="O92">
        <v>-2.074530548233422E-2</v>
      </c>
      <c r="P92">
        <v>-3.0556510169938766E-2</v>
      </c>
      <c r="Q92">
        <v>-2.9544933516735594E-2</v>
      </c>
      <c r="R92">
        <v>-2.6229308533659901E-2</v>
      </c>
      <c r="S92">
        <v>-3.3001507282237053E-2</v>
      </c>
      <c r="T92">
        <v>-1.6284059793516548E-2</v>
      </c>
      <c r="U92">
        <v>-1.3402793956252101E-2</v>
      </c>
      <c r="V92">
        <v>-1.0886826127866844E-2</v>
      </c>
      <c r="W92">
        <v>-1.0565445236960902E-2</v>
      </c>
      <c r="X92">
        <v>-1.8748575218655583E-2</v>
      </c>
      <c r="Y92">
        <v>-4.1681485387718986E-3</v>
      </c>
      <c r="Z92">
        <v>-1.789345782439089E-2</v>
      </c>
      <c r="AA92">
        <v>-1.131946344875856E-2</v>
      </c>
      <c r="AB92">
        <v>5.2124055251567825E-5</v>
      </c>
    </row>
    <row r="93" spans="1:28" x14ac:dyDescent="0.2">
      <c r="A93" s="1">
        <v>40724</v>
      </c>
      <c r="B93">
        <v>1.8104677081438592E-3</v>
      </c>
      <c r="C93">
        <v>2.0237179746640521E-4</v>
      </c>
      <c r="D93">
        <v>-2.9277294423118994E-3</v>
      </c>
      <c r="E93">
        <v>7.5848138648137997E-4</v>
      </c>
      <c r="F93">
        <v>-1.2324788338278214E-3</v>
      </c>
      <c r="G93">
        <v>-5.0442416282042379E-2</v>
      </c>
      <c r="H93">
        <v>-1.2597385108082615E-2</v>
      </c>
      <c r="I93">
        <v>-1.0231641019400994E-2</v>
      </c>
      <c r="J93">
        <v>-1.2971422260582011E-2</v>
      </c>
      <c r="K93">
        <v>-2.5070277837919708E-3</v>
      </c>
      <c r="L93">
        <v>1.1210101976953935E-2</v>
      </c>
      <c r="M93">
        <v>1.1060934305678449E-2</v>
      </c>
      <c r="N93">
        <v>-1.0044765626120888E-2</v>
      </c>
      <c r="O93">
        <v>-1.5819719745649774E-2</v>
      </c>
      <c r="P93">
        <v>-2.8618962458953567E-2</v>
      </c>
      <c r="Q93">
        <v>-1.252099873164747E-2</v>
      </c>
      <c r="R93">
        <v>-1.5382003926464827E-2</v>
      </c>
      <c r="S93">
        <v>-1.915988714586081E-2</v>
      </c>
      <c r="T93">
        <v>1.4648663249892557E-2</v>
      </c>
      <c r="U93">
        <v>-2.3212345018691738E-2</v>
      </c>
      <c r="V93">
        <v>-1.4342607218430503E-2</v>
      </c>
      <c r="W93">
        <v>-2.0503409775231574E-2</v>
      </c>
      <c r="X93">
        <v>-2.3055989550824774E-2</v>
      </c>
      <c r="Y93">
        <v>-2.0884870745325301E-2</v>
      </c>
      <c r="Z93">
        <v>-2.3148751074414609E-2</v>
      </c>
      <c r="AA93">
        <v>-1.6669130481128169E-2</v>
      </c>
      <c r="AB93">
        <v>5.2121338475874524E-5</v>
      </c>
    </row>
    <row r="94" spans="1:28" x14ac:dyDescent="0.2">
      <c r="A94" s="1">
        <v>40753</v>
      </c>
      <c r="B94">
        <v>8.7248327488396171E-3</v>
      </c>
      <c r="C94">
        <v>2.8326319197151673E-3</v>
      </c>
      <c r="D94">
        <v>1.5868025483752435E-2</v>
      </c>
      <c r="E94">
        <v>2.0641793888848792E-2</v>
      </c>
      <c r="F94">
        <v>-6.287933266216128E-3</v>
      </c>
      <c r="G94">
        <v>2.9617689324444418E-2</v>
      </c>
      <c r="H94">
        <v>-3.2715574781838619E-3</v>
      </c>
      <c r="I94">
        <v>-1.9253108511602113E-3</v>
      </c>
      <c r="J94">
        <v>3.4010100506687291E-3</v>
      </c>
      <c r="K94">
        <v>-3.3492361080855737E-5</v>
      </c>
      <c r="L94">
        <v>1.9459361063074443E-2</v>
      </c>
      <c r="M94">
        <v>4.3724504936800024E-2</v>
      </c>
      <c r="N94">
        <v>1.2354536176482966E-2</v>
      </c>
      <c r="O94">
        <v>-1.8132227672382983E-2</v>
      </c>
      <c r="P94">
        <v>-2.1506858200632029E-2</v>
      </c>
      <c r="Q94">
        <v>-1.5902268987738277E-2</v>
      </c>
      <c r="R94">
        <v>-4.4414804329875324E-3</v>
      </c>
      <c r="S94">
        <v>-3.3898170530012095E-2</v>
      </c>
      <c r="T94">
        <v>3.541576788974421E-2</v>
      </c>
      <c r="U94">
        <v>1.144654637598852E-2</v>
      </c>
      <c r="V94">
        <v>-1.0023467905588612E-2</v>
      </c>
      <c r="W94">
        <v>-3.3169245681448301E-2</v>
      </c>
      <c r="X94">
        <v>-3.614505474994989E-2</v>
      </c>
      <c r="Y94">
        <v>-3.6252322959804517E-2</v>
      </c>
      <c r="Z94">
        <v>8.4577081264123333E-2</v>
      </c>
      <c r="AA94">
        <v>-2.0334903150027395E-2</v>
      </c>
      <c r="AB94">
        <v>-5.2118621983621161E-5</v>
      </c>
    </row>
    <row r="95" spans="1:28" x14ac:dyDescent="0.2">
      <c r="A95" s="1">
        <v>40786</v>
      </c>
      <c r="B95">
        <v>1.5501649959332786E-2</v>
      </c>
      <c r="C95">
        <v>3.510612541360647E-3</v>
      </c>
      <c r="D95">
        <v>1.4609963037143903E-2</v>
      </c>
      <c r="E95">
        <v>1.2718624953519386E-2</v>
      </c>
      <c r="F95">
        <v>-4.6314521918344731E-4</v>
      </c>
      <c r="G95">
        <v>9.9858719603633794E-3</v>
      </c>
      <c r="H95">
        <v>-4.8878641698917202E-2</v>
      </c>
      <c r="I95">
        <v>-3.7205475368279117E-2</v>
      </c>
      <c r="J95">
        <v>-2.4465804041879369E-2</v>
      </c>
      <c r="K95">
        <v>-2.1704073192707285E-2</v>
      </c>
      <c r="L95">
        <v>5.3210484965360294E-3</v>
      </c>
      <c r="M95">
        <v>1.9951230325869984E-2</v>
      </c>
      <c r="N95">
        <v>-4.0071153827799133E-2</v>
      </c>
      <c r="O95">
        <v>-7.0457134366797125E-2</v>
      </c>
      <c r="P95">
        <v>-3.5626104922448443E-2</v>
      </c>
      <c r="Q95">
        <v>-9.0289981952244025E-2</v>
      </c>
      <c r="R95">
        <v>-8.9364892022074094E-2</v>
      </c>
      <c r="S95">
        <v>-0.10018739612515204</v>
      </c>
      <c r="T95">
        <v>-8.1277574843302336E-2</v>
      </c>
      <c r="U95">
        <v>-9.8915813571767819E-2</v>
      </c>
      <c r="V95">
        <v>-5.2774459891994585E-2</v>
      </c>
      <c r="W95">
        <v>-6.2405742594393465E-2</v>
      </c>
      <c r="X95">
        <v>-8.7002451303952455E-2</v>
      </c>
      <c r="Y95">
        <v>-6.8755465069235133E-2</v>
      </c>
      <c r="Z95">
        <v>0.12199993853907376</v>
      </c>
      <c r="AA95">
        <v>-5.4321816291672542E-2</v>
      </c>
      <c r="AB95">
        <v>1.0424267695174905E-4</v>
      </c>
    </row>
    <row r="96" spans="1:28" x14ac:dyDescent="0.2">
      <c r="A96" s="1">
        <v>40816</v>
      </c>
      <c r="B96">
        <v>4.0124077787109247E-3</v>
      </c>
      <c r="C96">
        <v>-1.3671639390405721E-3</v>
      </c>
      <c r="D96">
        <v>7.274610802566972E-3</v>
      </c>
      <c r="E96">
        <v>-2.3107205887413995E-2</v>
      </c>
      <c r="F96">
        <v>3.09437481176007E-2</v>
      </c>
      <c r="G96">
        <v>-0.14734994208325436</v>
      </c>
      <c r="H96">
        <v>-6.0353471316995089E-2</v>
      </c>
      <c r="I96">
        <v>-3.9415250609949881E-2</v>
      </c>
      <c r="J96">
        <v>-2.2738241229829148E-2</v>
      </c>
      <c r="K96">
        <v>-1.6798196857655046E-2</v>
      </c>
      <c r="L96">
        <v>-4.200561258925084E-2</v>
      </c>
      <c r="M96">
        <v>2.3388110335182954E-3</v>
      </c>
      <c r="N96">
        <v>-3.5947188468264279E-2</v>
      </c>
      <c r="O96">
        <v>-8.637057500905776E-2</v>
      </c>
      <c r="P96">
        <v>-0.14130025771984278</v>
      </c>
      <c r="Q96">
        <v>-9.5287529033274532E-2</v>
      </c>
      <c r="R96">
        <v>-0.1457946029799958</v>
      </c>
      <c r="S96">
        <v>-0.10976474717703399</v>
      </c>
      <c r="T96">
        <v>-1.6450630715933778E-2</v>
      </c>
      <c r="U96">
        <v>-0.13178978316795309</v>
      </c>
      <c r="V96">
        <v>-7.3684392965962964E-2</v>
      </c>
      <c r="W96">
        <v>-7.5573437939167376E-2</v>
      </c>
      <c r="X96">
        <v>-0.11210199611036964</v>
      </c>
      <c r="Y96">
        <v>-9.6309285646715925E-2</v>
      </c>
      <c r="Z96">
        <v>-0.11052011722494592</v>
      </c>
      <c r="AA96">
        <v>-7.0298596291188731E-2</v>
      </c>
      <c r="AB96">
        <v>0</v>
      </c>
    </row>
    <row r="97" spans="1:28" x14ac:dyDescent="0.2">
      <c r="A97" s="1">
        <v>40847</v>
      </c>
      <c r="B97">
        <v>-3.8690922933839467E-3</v>
      </c>
      <c r="C97">
        <v>8.4558083350105839E-4</v>
      </c>
      <c r="D97">
        <v>1.0741690902129619E-3</v>
      </c>
      <c r="E97">
        <v>1.3311028609062525E-2</v>
      </c>
      <c r="F97">
        <v>6.0970985058528271E-3</v>
      </c>
      <c r="G97">
        <v>6.6183529972758892E-2</v>
      </c>
      <c r="H97">
        <v>4.9080947127679853E-2</v>
      </c>
      <c r="I97">
        <v>3.0256829242732541E-2</v>
      </c>
      <c r="J97">
        <v>7.5684685760968318E-3</v>
      </c>
      <c r="K97">
        <v>1.2663566680903848E-2</v>
      </c>
      <c r="L97">
        <v>4.5089641618925924E-2</v>
      </c>
      <c r="M97">
        <v>1.1497070344723692E-2</v>
      </c>
      <c r="N97">
        <v>5.95572366741699E-2</v>
      </c>
      <c r="O97">
        <v>0.1034368259258529</v>
      </c>
      <c r="P97">
        <v>0.10424502903102817</v>
      </c>
      <c r="Q97">
        <v>9.6421023254191329E-2</v>
      </c>
      <c r="R97">
        <v>0.1324561506285955</v>
      </c>
      <c r="S97">
        <v>0.12103152266431283</v>
      </c>
      <c r="T97">
        <v>-2.4669547390205881E-3</v>
      </c>
      <c r="U97">
        <v>0.12006213283470024</v>
      </c>
      <c r="V97">
        <v>0.10973930274482058</v>
      </c>
      <c r="W97">
        <v>0.11449103894086665</v>
      </c>
      <c r="X97">
        <v>0.15135819802537198</v>
      </c>
      <c r="Y97">
        <v>0.13012613863036759</v>
      </c>
      <c r="Z97">
        <v>5.5986303647639124E-2</v>
      </c>
      <c r="AA97">
        <v>0.10929314389091727</v>
      </c>
      <c r="AB97">
        <v>5.2115905774474669E-5</v>
      </c>
    </row>
    <row r="98" spans="1:28" x14ac:dyDescent="0.2">
      <c r="A98" s="1">
        <v>40877</v>
      </c>
      <c r="B98">
        <v>7.4276373355577352E-3</v>
      </c>
      <c r="C98">
        <v>6.0347602188604021E-4</v>
      </c>
      <c r="D98">
        <v>-8.6754524647991715E-4</v>
      </c>
      <c r="E98">
        <v>-1.7451268054763491E-2</v>
      </c>
      <c r="F98">
        <v>8.8815178712278176E-3</v>
      </c>
      <c r="G98">
        <v>-2.2190194824339926E-2</v>
      </c>
      <c r="H98">
        <v>-2.0215155722287603E-2</v>
      </c>
      <c r="I98">
        <v>-1.1847623913450844E-2</v>
      </c>
      <c r="J98">
        <v>-8.4087184938023141E-3</v>
      </c>
      <c r="K98">
        <v>-5.9492301937030811E-3</v>
      </c>
      <c r="L98">
        <v>-5.8542816086857297E-3</v>
      </c>
      <c r="M98">
        <v>1.1380370957218666E-2</v>
      </c>
      <c r="N98">
        <v>-2.2115392804953449E-2</v>
      </c>
      <c r="O98">
        <v>-2.4415622166471529E-2</v>
      </c>
      <c r="P98">
        <v>-2.709508365483404E-2</v>
      </c>
      <c r="Q98">
        <v>-4.8512520283814253E-2</v>
      </c>
      <c r="R98">
        <v>-6.6644939681751336E-2</v>
      </c>
      <c r="S98">
        <v>-4.5124587691442786E-2</v>
      </c>
      <c r="T98">
        <v>-4.415397572519153E-2</v>
      </c>
      <c r="U98">
        <v>-8.3162993683740027E-2</v>
      </c>
      <c r="V98">
        <v>-9.6456063086947097E-5</v>
      </c>
      <c r="W98">
        <v>-5.181915633372447E-3</v>
      </c>
      <c r="X98">
        <v>-3.6451452585900546E-3</v>
      </c>
      <c r="Y98">
        <v>-5.0052488215881485E-3</v>
      </c>
      <c r="Z98">
        <v>1.8458039307167384E-2</v>
      </c>
      <c r="AA98">
        <v>-2.2102790582362308E-3</v>
      </c>
      <c r="AB98">
        <v>0</v>
      </c>
    </row>
    <row r="99" spans="1:28" x14ac:dyDescent="0.2">
      <c r="A99" s="1">
        <v>40907</v>
      </c>
      <c r="B99">
        <v>1.6907301863400281E-2</v>
      </c>
      <c r="C99">
        <v>4.8248964657626736E-4</v>
      </c>
      <c r="D99">
        <v>1.0990831452971861E-2</v>
      </c>
      <c r="E99">
        <v>6.7433421328839671E-3</v>
      </c>
      <c r="F99">
        <v>1.4093355159468635E-2</v>
      </c>
      <c r="G99">
        <v>-3.7479116915664301E-2</v>
      </c>
      <c r="H99">
        <v>-9.1427465440252487E-3</v>
      </c>
      <c r="I99">
        <v>-2.1027664599208018E-3</v>
      </c>
      <c r="J99">
        <v>-4.9091743503163476E-3</v>
      </c>
      <c r="K99">
        <v>3.790460460686651E-3</v>
      </c>
      <c r="L99">
        <v>1.1795356805082147E-2</v>
      </c>
      <c r="M99">
        <v>3.5618508722616848E-3</v>
      </c>
      <c r="N99">
        <v>2.478676612396491E-2</v>
      </c>
      <c r="O99">
        <v>-5.5562139193132687E-4</v>
      </c>
      <c r="P99">
        <v>-2.2408922983822133E-2</v>
      </c>
      <c r="Q99">
        <v>-9.4802419718903463E-3</v>
      </c>
      <c r="R99">
        <v>-1.205209921019823E-2</v>
      </c>
      <c r="S99">
        <v>-1.5450192620608427E-2</v>
      </c>
      <c r="T99">
        <v>8.2822886660169903E-3</v>
      </c>
      <c r="U99">
        <v>5.8604671168651645E-3</v>
      </c>
      <c r="V99">
        <v>-3.2155122585522111E-3</v>
      </c>
      <c r="W99">
        <v>2.0151542701120517E-2</v>
      </c>
      <c r="X99">
        <v>6.6056739768258765E-3</v>
      </c>
      <c r="Y99">
        <v>-1.2067509093730555E-3</v>
      </c>
      <c r="Z99">
        <v>-0.10389669882898611</v>
      </c>
      <c r="AA99">
        <v>1.0229392764041778E-2</v>
      </c>
      <c r="AB99">
        <v>0</v>
      </c>
    </row>
    <row r="100" spans="1:28" x14ac:dyDescent="0.2">
      <c r="A100" s="1">
        <v>40939</v>
      </c>
      <c r="B100">
        <v>1.6102281235487403E-2</v>
      </c>
      <c r="C100">
        <v>1.2458304866775904E-3</v>
      </c>
      <c r="D100">
        <v>8.7807027952468975E-3</v>
      </c>
      <c r="E100">
        <v>1.6737375833606016E-2</v>
      </c>
      <c r="F100">
        <v>1.8871116957259737E-3</v>
      </c>
      <c r="G100">
        <v>2.4728675455360172E-2</v>
      </c>
      <c r="H100">
        <v>3.8824246027183262E-2</v>
      </c>
      <c r="I100">
        <v>2.5348004996498696E-2</v>
      </c>
      <c r="J100">
        <v>1.57456894257475E-2</v>
      </c>
      <c r="K100">
        <v>1.9738373130252063E-2</v>
      </c>
      <c r="L100">
        <v>1.7619047619047645E-2</v>
      </c>
      <c r="M100">
        <v>2.8705893156408591E-2</v>
      </c>
      <c r="N100">
        <v>2.9029304918797072E-2</v>
      </c>
      <c r="O100">
        <v>5.0183124992165817E-2</v>
      </c>
      <c r="P100">
        <v>5.924372862822147E-2</v>
      </c>
      <c r="Q100">
        <v>5.3345396928284661E-2</v>
      </c>
      <c r="R100">
        <v>0.11342464677518449</v>
      </c>
      <c r="S100">
        <v>4.6867048635800268E-2</v>
      </c>
      <c r="T100">
        <v>4.520817292058732E-2</v>
      </c>
      <c r="U100">
        <v>0.10757849499150107</v>
      </c>
      <c r="V100">
        <v>5.9691660457493523E-2</v>
      </c>
      <c r="W100">
        <v>3.7829790777618832E-2</v>
      </c>
      <c r="X100">
        <v>7.065099102741379E-2</v>
      </c>
      <c r="Y100">
        <v>6.0631375459550885E-2</v>
      </c>
      <c r="Z100">
        <v>0.1104536363113533</v>
      </c>
      <c r="AA100">
        <v>4.4815089641295769E-2</v>
      </c>
      <c r="AB100">
        <v>0</v>
      </c>
    </row>
    <row r="101" spans="1:28" x14ac:dyDescent="0.2">
      <c r="A101" s="1">
        <v>40968</v>
      </c>
      <c r="B101">
        <v>1.6826474648379275E-4</v>
      </c>
      <c r="C101">
        <v>-1.4851087741830638E-3</v>
      </c>
      <c r="D101">
        <v>-2.2964942055525572E-4</v>
      </c>
      <c r="E101">
        <v>-6.8014883567724116E-4</v>
      </c>
      <c r="F101">
        <v>-1.4672134384929314E-2</v>
      </c>
      <c r="G101">
        <v>2.6986806266247276E-2</v>
      </c>
      <c r="H101">
        <v>2.8934365228248993E-2</v>
      </c>
      <c r="I101">
        <v>1.8638052639932789E-2</v>
      </c>
      <c r="J101">
        <v>1.3200955980328555E-2</v>
      </c>
      <c r="K101">
        <v>1.5767517064045E-2</v>
      </c>
      <c r="L101">
        <v>2.951524289849039E-2</v>
      </c>
      <c r="M101">
        <v>-3.6465563029186576E-3</v>
      </c>
      <c r="N101">
        <v>2.278516857909807E-2</v>
      </c>
      <c r="O101">
        <v>4.8848687393949541E-2</v>
      </c>
      <c r="P101">
        <v>3.5485400561047431E-2</v>
      </c>
      <c r="Q101">
        <v>5.737755708162573E-2</v>
      </c>
      <c r="R101">
        <v>5.9901193388371521E-2</v>
      </c>
      <c r="S101">
        <v>6.3334785211441424E-2</v>
      </c>
      <c r="T101">
        <v>5.0465084664161663E-2</v>
      </c>
      <c r="U101">
        <v>5.9965509697180286E-2</v>
      </c>
      <c r="V101">
        <v>4.7824706102695291E-2</v>
      </c>
      <c r="W101">
        <v>3.9863115708331121E-2</v>
      </c>
      <c r="X101">
        <v>2.3932338928035035E-2</v>
      </c>
      <c r="Y101">
        <v>4.1487523148977079E-2</v>
      </c>
      <c r="Z101">
        <v>-2.3593591750299181E-2</v>
      </c>
      <c r="AA101">
        <v>4.3242181664066681E-2</v>
      </c>
      <c r="AB101">
        <v>0</v>
      </c>
    </row>
    <row r="102" spans="1:28" x14ac:dyDescent="0.2">
      <c r="A102" s="1">
        <v>40998</v>
      </c>
      <c r="B102">
        <v>-7.4523892744982057E-3</v>
      </c>
      <c r="C102">
        <v>-6.0296659565062249E-4</v>
      </c>
      <c r="D102">
        <v>-5.4792371646907867E-3</v>
      </c>
      <c r="E102">
        <v>-7.2007357393220062E-3</v>
      </c>
      <c r="F102">
        <v>9.3023127235734027E-3</v>
      </c>
      <c r="G102">
        <v>-4.1365310590923743E-2</v>
      </c>
      <c r="H102">
        <v>5.2956638752821306E-5</v>
      </c>
      <c r="I102">
        <v>3.9488332868424791E-3</v>
      </c>
      <c r="J102">
        <v>1.3742676150236832E-3</v>
      </c>
      <c r="K102">
        <v>5.1561418228793787E-3</v>
      </c>
      <c r="L102">
        <v>9.4272920103710689E-4</v>
      </c>
      <c r="M102">
        <v>-8.1575057115979011E-3</v>
      </c>
      <c r="N102">
        <v>-9.3558643157420907E-4</v>
      </c>
      <c r="O102">
        <v>1.2856434583842891E-2</v>
      </c>
      <c r="P102">
        <v>-3.010239719567831E-2</v>
      </c>
      <c r="Q102">
        <v>-4.6466983586516131E-3</v>
      </c>
      <c r="R102">
        <v>-3.3378970036652023E-2</v>
      </c>
      <c r="S102">
        <v>-5.8833302056912062E-3</v>
      </c>
      <c r="T102">
        <v>1.3382506959798812E-2</v>
      </c>
      <c r="U102">
        <v>-3.1440279253300951E-2</v>
      </c>
      <c r="V102">
        <v>3.2891826715694128E-2</v>
      </c>
      <c r="W102">
        <v>2.9644009264937488E-2</v>
      </c>
      <c r="X102">
        <v>2.5622148240758369E-2</v>
      </c>
      <c r="Y102">
        <v>2.2401842523031457E-2</v>
      </c>
      <c r="Z102">
        <v>-1.6861547891275031E-2</v>
      </c>
      <c r="AA102">
        <v>3.2909207421962794E-2</v>
      </c>
      <c r="AB102">
        <v>1.0422637969664805E-4</v>
      </c>
    </row>
    <row r="103" spans="1:28" x14ac:dyDescent="0.2">
      <c r="A103" s="1">
        <v>41029</v>
      </c>
      <c r="B103">
        <v>1.0589028075675744E-2</v>
      </c>
      <c r="C103">
        <v>2.1719893813851865E-3</v>
      </c>
      <c r="D103">
        <v>1.1086449519474462E-2</v>
      </c>
      <c r="E103">
        <v>1.18003507858504E-2</v>
      </c>
      <c r="F103">
        <v>-1.7597773778906811E-3</v>
      </c>
      <c r="G103">
        <v>-4.2323117162766932E-3</v>
      </c>
      <c r="H103">
        <v>-8.1878988362139582E-3</v>
      </c>
      <c r="I103">
        <v>-3.3190076789352263E-3</v>
      </c>
      <c r="J103">
        <v>-2.8145952957865372E-3</v>
      </c>
      <c r="K103">
        <v>2.9085840630864723E-3</v>
      </c>
      <c r="L103">
        <v>1.7558612802314189E-2</v>
      </c>
      <c r="M103">
        <v>2.2289066840101457E-2</v>
      </c>
      <c r="N103">
        <v>1.0222568632545226E-2</v>
      </c>
      <c r="O103">
        <v>-1.1355931019634835E-2</v>
      </c>
      <c r="P103">
        <v>4.922591786824082E-3</v>
      </c>
      <c r="Q103">
        <v>-1.957318583424017E-2</v>
      </c>
      <c r="R103">
        <v>-1.1953151318879418E-2</v>
      </c>
      <c r="S103">
        <v>-2.2913232963192698E-2</v>
      </c>
      <c r="T103">
        <v>-3.1936157969653989E-2</v>
      </c>
      <c r="U103">
        <v>3.7293319794917679E-4</v>
      </c>
      <c r="V103">
        <v>-1.5445927847312912E-3</v>
      </c>
      <c r="W103">
        <v>-1.0197252947355739E-2</v>
      </c>
      <c r="X103">
        <v>-1.5446657970723088E-2</v>
      </c>
      <c r="Y103">
        <v>-3.3117896348778819E-3</v>
      </c>
      <c r="Z103">
        <v>-2.0381860144471631E-3</v>
      </c>
      <c r="AA103">
        <v>-6.2768572515865539E-3</v>
      </c>
      <c r="AB103">
        <v>5.2107758845343355E-5</v>
      </c>
    </row>
    <row r="104" spans="1:28" x14ac:dyDescent="0.2">
      <c r="A104" s="1">
        <v>41060</v>
      </c>
      <c r="B104">
        <v>5.8030129255011165E-3</v>
      </c>
      <c r="C104">
        <v>4.0134853106432722E-4</v>
      </c>
      <c r="D104">
        <v>9.048261106963329E-3</v>
      </c>
      <c r="E104">
        <v>-1.0265945522908937E-2</v>
      </c>
      <c r="F104">
        <v>1.5278747628343803E-2</v>
      </c>
      <c r="G104">
        <v>-9.1319863255492129E-2</v>
      </c>
      <c r="H104">
        <v>-4.7127719287309189E-2</v>
      </c>
      <c r="I104">
        <v>-2.3300716813589251E-2</v>
      </c>
      <c r="J104">
        <v>-1.1900829122259204E-2</v>
      </c>
      <c r="K104">
        <v>-1.0544197695849133E-2</v>
      </c>
      <c r="L104">
        <v>-2.7718091963901959E-2</v>
      </c>
      <c r="M104">
        <v>2.4175591135616514E-2</v>
      </c>
      <c r="N104">
        <v>-1.2072540399918674E-2</v>
      </c>
      <c r="O104">
        <v>-8.6323919488219714E-2</v>
      </c>
      <c r="P104">
        <v>-0.10749390940805204</v>
      </c>
      <c r="Q104">
        <v>-0.11481293104675527</v>
      </c>
      <c r="R104">
        <v>-0.11214255493890146</v>
      </c>
      <c r="S104">
        <v>-0.1225674229311251</v>
      </c>
      <c r="T104">
        <v>-8.9268042150927762E-2</v>
      </c>
      <c r="U104">
        <v>-9.5754845541037192E-2</v>
      </c>
      <c r="V104">
        <v>-6.4146341840475962E-2</v>
      </c>
      <c r="W104">
        <v>-5.864053631510513E-2</v>
      </c>
      <c r="X104">
        <v>-6.6189747191919168E-2</v>
      </c>
      <c r="Y104">
        <v>-6.7070758492521754E-2</v>
      </c>
      <c r="Z104">
        <v>-6.2616008409671076E-2</v>
      </c>
      <c r="AA104">
        <v>-6.010057058447027E-2</v>
      </c>
      <c r="AB104">
        <v>1.0421008753658256E-4</v>
      </c>
    </row>
    <row r="105" spans="1:28" x14ac:dyDescent="0.2">
      <c r="A105" s="1">
        <v>41089</v>
      </c>
      <c r="B105">
        <v>-1.0696780834680286E-3</v>
      </c>
      <c r="C105">
        <v>-5.6166252106226722E-4</v>
      </c>
      <c r="D105">
        <v>3.9203560345879573E-4</v>
      </c>
      <c r="E105">
        <v>4.7798759421848747E-3</v>
      </c>
      <c r="F105">
        <v>1.4986663207478435E-2</v>
      </c>
      <c r="G105">
        <v>5.4929753128882819E-2</v>
      </c>
      <c r="H105">
        <v>9.2182094177370999E-3</v>
      </c>
      <c r="I105">
        <v>1.7875513651273156E-3</v>
      </c>
      <c r="J105">
        <v>-4.0606946280623557E-3</v>
      </c>
      <c r="K105">
        <v>8.8261545297985133E-3</v>
      </c>
      <c r="L105">
        <v>3.5682107947301311E-2</v>
      </c>
      <c r="M105">
        <v>-1.5960934534285931E-3</v>
      </c>
      <c r="N105">
        <v>2.0337469166369582E-2</v>
      </c>
      <c r="O105">
        <v>5.0955366906678012E-2</v>
      </c>
      <c r="P105">
        <v>2.8518156283507734E-2</v>
      </c>
      <c r="Q105">
        <v>7.0111364696353151E-2</v>
      </c>
      <c r="R105">
        <v>3.8592852137351086E-2</v>
      </c>
      <c r="S105">
        <v>7.9312755022451054E-2</v>
      </c>
      <c r="T105">
        <v>5.1404232808170747E-2</v>
      </c>
      <c r="U105">
        <v>3.0140830431845567E-2</v>
      </c>
      <c r="V105">
        <v>2.7153093515513982E-2</v>
      </c>
      <c r="W105">
        <v>4.9649072801519534E-2</v>
      </c>
      <c r="X105">
        <v>4.9899873179423793E-2</v>
      </c>
      <c r="Y105">
        <v>2.8128549146068327E-2</v>
      </c>
      <c r="Z105">
        <v>2.3671748338684129E-2</v>
      </c>
      <c r="AA105">
        <v>4.1202070256579848E-2</v>
      </c>
      <c r="AB105">
        <v>5.2099614462841615E-5</v>
      </c>
    </row>
    <row r="106" spans="1:28" x14ac:dyDescent="0.2">
      <c r="A106" s="1">
        <v>41121</v>
      </c>
      <c r="B106">
        <v>1.2214716957247296E-2</v>
      </c>
      <c r="C106">
        <v>2.408477842003931E-3</v>
      </c>
      <c r="D106">
        <v>1.3793141513547491E-2</v>
      </c>
      <c r="E106">
        <v>1.1568172439173408E-2</v>
      </c>
      <c r="F106">
        <v>2.6812256955677238E-3</v>
      </c>
      <c r="G106">
        <v>6.46861266860701E-2</v>
      </c>
      <c r="H106">
        <v>2.7535864796328635E-3</v>
      </c>
      <c r="I106">
        <v>4.6644080283071432E-3</v>
      </c>
      <c r="J106">
        <v>9.0257066089889371E-3</v>
      </c>
      <c r="K106">
        <v>1.2016349389969205E-2</v>
      </c>
      <c r="L106">
        <v>4.0033484341146286E-2</v>
      </c>
      <c r="M106">
        <v>1.7939389749660917E-2</v>
      </c>
      <c r="N106">
        <v>1.9163300804858618E-2</v>
      </c>
      <c r="O106">
        <v>1.285545624394846E-2</v>
      </c>
      <c r="P106">
        <v>2.1766725725138603E-2</v>
      </c>
      <c r="Q106">
        <v>1.134108369323017E-2</v>
      </c>
      <c r="R106">
        <v>1.9507824181281386E-2</v>
      </c>
      <c r="S106">
        <v>1.1254292412718137E-2</v>
      </c>
      <c r="T106">
        <v>-2.3880293054295065E-2</v>
      </c>
      <c r="U106">
        <v>2.6084178311388984E-2</v>
      </c>
      <c r="V106">
        <v>1.3404918198298699E-2</v>
      </c>
      <c r="W106">
        <v>1.0349787600150595E-2</v>
      </c>
      <c r="X106">
        <v>-1.3819084088369848E-2</v>
      </c>
      <c r="Y106">
        <v>2.3068253574938247E-3</v>
      </c>
      <c r="Z106">
        <v>1.072334032364064E-2</v>
      </c>
      <c r="AA106">
        <v>1.3889141543513173E-2</v>
      </c>
      <c r="AB106">
        <v>5.2096900234444021E-5</v>
      </c>
    </row>
    <row r="107" spans="1:28" x14ac:dyDescent="0.2">
      <c r="A107" s="1">
        <v>41152</v>
      </c>
      <c r="B107">
        <v>2.398836564267981E-4</v>
      </c>
      <c r="C107">
        <v>4.0044850232234808E-5</v>
      </c>
      <c r="D107">
        <v>6.5332433197595741E-4</v>
      </c>
      <c r="E107">
        <v>8.6349093936310961E-3</v>
      </c>
      <c r="F107">
        <v>-1.2879018220491423E-2</v>
      </c>
      <c r="G107">
        <v>1.2983559928048782E-2</v>
      </c>
      <c r="H107">
        <v>1.1778547408619611E-2</v>
      </c>
      <c r="I107">
        <v>1.1362965210602205E-2</v>
      </c>
      <c r="J107">
        <v>6.6002649942331626E-3</v>
      </c>
      <c r="K107">
        <v>1.0532068083051627E-2</v>
      </c>
      <c r="L107">
        <v>1.1599829553524899E-2</v>
      </c>
      <c r="M107">
        <v>-2.3769301946535704E-3</v>
      </c>
      <c r="N107">
        <v>1.2058380452028006E-2</v>
      </c>
      <c r="O107">
        <v>2.535173815541425E-2</v>
      </c>
      <c r="P107">
        <v>4.2454027929466731E-2</v>
      </c>
      <c r="Q107">
        <v>2.6855931949229417E-2</v>
      </c>
      <c r="R107">
        <v>-3.330280135328989E-3</v>
      </c>
      <c r="S107">
        <v>4.4111260060726964E-2</v>
      </c>
      <c r="T107">
        <v>-7.2620916084573661E-3</v>
      </c>
      <c r="U107">
        <v>-5.1786129838971018E-3</v>
      </c>
      <c r="V107">
        <v>2.6904143782650936E-2</v>
      </c>
      <c r="W107">
        <v>2.1711623129438307E-2</v>
      </c>
      <c r="X107">
        <v>3.3347187370466713E-2</v>
      </c>
      <c r="Y107">
        <v>3.1525827062512501E-2</v>
      </c>
      <c r="Z107">
        <v>4.7857647189981201E-2</v>
      </c>
      <c r="AA107">
        <v>2.2522552594904433E-2</v>
      </c>
      <c r="AB107">
        <v>5.209418628870921E-5</v>
      </c>
    </row>
    <row r="108" spans="1:28" x14ac:dyDescent="0.2">
      <c r="A108" s="1">
        <v>41180</v>
      </c>
      <c r="B108">
        <v>5.5803444941442404E-3</v>
      </c>
      <c r="C108">
        <v>8.0086493412956372E-5</v>
      </c>
      <c r="D108">
        <v>1.3765261485561009E-3</v>
      </c>
      <c r="E108">
        <v>1.2191439057180231E-2</v>
      </c>
      <c r="F108">
        <v>-2.2454379034329786E-2</v>
      </c>
      <c r="G108">
        <v>1.705559998270556E-2</v>
      </c>
      <c r="H108">
        <v>1.9619405137695223E-2</v>
      </c>
      <c r="I108">
        <v>1.275294932876947E-2</v>
      </c>
      <c r="J108">
        <v>6.5387650685306831E-3</v>
      </c>
      <c r="K108">
        <v>1.3131178017094181E-2</v>
      </c>
      <c r="L108">
        <v>1.4727448594339831E-2</v>
      </c>
      <c r="M108">
        <v>7.1775627770827022E-3</v>
      </c>
      <c r="N108">
        <v>1.42431224934918E-2</v>
      </c>
      <c r="O108">
        <v>2.747350054592812E-2</v>
      </c>
      <c r="P108">
        <v>3.6762641064234325E-2</v>
      </c>
      <c r="Q108">
        <v>2.9581246336023881E-2</v>
      </c>
      <c r="R108">
        <v>6.0341896687278185E-2</v>
      </c>
      <c r="S108">
        <v>2.9524426406381865E-2</v>
      </c>
      <c r="T108">
        <v>2.3258316505846643E-2</v>
      </c>
      <c r="U108">
        <v>7.0360864651869193E-2</v>
      </c>
      <c r="V108">
        <v>1.9611250416183834E-2</v>
      </c>
      <c r="W108">
        <v>3.1742538387309782E-2</v>
      </c>
      <c r="X108">
        <v>3.2838228578483841E-2</v>
      </c>
      <c r="Y108">
        <v>2.1227873780042872E-2</v>
      </c>
      <c r="Z108">
        <v>4.7521943434701619E-2</v>
      </c>
      <c r="AA108">
        <v>2.5841855742965603E-2</v>
      </c>
      <c r="AB108">
        <v>1.041829452519405E-4</v>
      </c>
    </row>
    <row r="109" spans="1:28" x14ac:dyDescent="0.2">
      <c r="A109" s="1">
        <v>41213</v>
      </c>
      <c r="B109">
        <v>1.8272516441082409E-3</v>
      </c>
      <c r="C109">
        <v>-5.6056056056053016E-4</v>
      </c>
      <c r="D109">
        <v>1.9668675189759011E-3</v>
      </c>
      <c r="E109">
        <v>-1.4044484880715302E-3</v>
      </c>
      <c r="F109">
        <v>1.6470157642936023E-3</v>
      </c>
      <c r="G109">
        <v>-3.8728806637808533E-2</v>
      </c>
      <c r="H109">
        <v>-2.4856924990293017E-3</v>
      </c>
      <c r="I109">
        <v>4.3365114767168755E-3</v>
      </c>
      <c r="J109">
        <v>-2.0813062460760534E-3</v>
      </c>
      <c r="K109">
        <v>6.4806662306513552E-3</v>
      </c>
      <c r="L109">
        <v>8.1639555979213796E-3</v>
      </c>
      <c r="M109">
        <v>7.4643573767028126E-3</v>
      </c>
      <c r="N109">
        <v>8.2474517336015296E-3</v>
      </c>
      <c r="O109">
        <v>-6.7575649025094497E-3</v>
      </c>
      <c r="P109">
        <v>-3.7069254302994903E-3</v>
      </c>
      <c r="Q109">
        <v>8.3223867475605839E-3</v>
      </c>
      <c r="R109">
        <v>-6.072053025255264E-3</v>
      </c>
      <c r="S109">
        <v>1.453438314466271E-2</v>
      </c>
      <c r="T109">
        <v>-1.8725474932707598E-2</v>
      </c>
      <c r="U109">
        <v>-2.7117955410818073E-3</v>
      </c>
      <c r="V109">
        <v>-2.9186454607306289E-2</v>
      </c>
      <c r="W109">
        <v>-4.9099299230568327E-3</v>
      </c>
      <c r="X109">
        <v>-2.169480483549846E-2</v>
      </c>
      <c r="Y109">
        <v>-1.0109421581200095E-2</v>
      </c>
      <c r="Z109">
        <v>-2.9115531104528136E-2</v>
      </c>
      <c r="AA109">
        <v>-1.8464346205894766E-2</v>
      </c>
      <c r="AB109">
        <v>5.2086046148147602E-5</v>
      </c>
    </row>
    <row r="110" spans="1:28" x14ac:dyDescent="0.2">
      <c r="A110" s="1">
        <v>41243</v>
      </c>
      <c r="B110">
        <v>1.2404535483133472E-2</v>
      </c>
      <c r="C110">
        <v>9.2143744241002246E-4</v>
      </c>
      <c r="D110">
        <v>1.5779969741502864E-3</v>
      </c>
      <c r="E110">
        <v>-1.0501126144191186E-4</v>
      </c>
      <c r="F110">
        <v>1.2445636197295107E-2</v>
      </c>
      <c r="G110">
        <v>5.1605444687807811E-4</v>
      </c>
      <c r="H110">
        <v>4.5029910438292298E-3</v>
      </c>
      <c r="I110">
        <v>1.0234473797340327E-2</v>
      </c>
      <c r="J110">
        <v>4.5185292148639533E-3</v>
      </c>
      <c r="K110">
        <v>5.6097898553779668E-3</v>
      </c>
      <c r="L110">
        <v>1.5524682415018365E-2</v>
      </c>
      <c r="M110">
        <v>7.14489374905658E-3</v>
      </c>
      <c r="N110">
        <v>7.4231587502431307E-3</v>
      </c>
      <c r="O110">
        <v>1.2804888722293795E-2</v>
      </c>
      <c r="P110">
        <v>-4.8232004567857478E-3</v>
      </c>
      <c r="Q110">
        <v>2.4165220928626496E-2</v>
      </c>
      <c r="R110">
        <v>1.2697148560166571E-2</v>
      </c>
      <c r="S110">
        <v>2.5968667337488371E-2</v>
      </c>
      <c r="T110">
        <v>2.3745711775339018E-2</v>
      </c>
      <c r="U110">
        <v>2.7629970740379539E-2</v>
      </c>
      <c r="V110">
        <v>1.6745329986961988E-2</v>
      </c>
      <c r="W110">
        <v>-4.1477354886332307E-4</v>
      </c>
      <c r="X110">
        <v>5.3132000004267876E-3</v>
      </c>
      <c r="Y110">
        <v>1.6442437702280266E-2</v>
      </c>
      <c r="Z110">
        <v>-3.3010780809578089E-3</v>
      </c>
      <c r="AA110">
        <v>5.8009943635441985E-3</v>
      </c>
      <c r="AB110">
        <v>1.0416666666679397E-4</v>
      </c>
    </row>
    <row r="111" spans="1:28" x14ac:dyDescent="0.2">
      <c r="A111" s="1">
        <v>41274</v>
      </c>
      <c r="B111">
        <v>-9.6756490728503453E-3</v>
      </c>
      <c r="C111">
        <v>2.8017931476131963E-4</v>
      </c>
      <c r="D111">
        <v>-1.4239152797478338E-3</v>
      </c>
      <c r="E111">
        <v>-3.2935503480279182E-3</v>
      </c>
      <c r="F111">
        <v>-6.5886413776448105E-3</v>
      </c>
      <c r="G111">
        <v>-2.6071322172074196E-2</v>
      </c>
      <c r="H111">
        <v>1.636505920705611E-2</v>
      </c>
      <c r="I111">
        <v>1.9871607881609243E-2</v>
      </c>
      <c r="J111">
        <v>1.1279931639825103E-2</v>
      </c>
      <c r="K111">
        <v>1.1757510952544958E-2</v>
      </c>
      <c r="L111">
        <v>9.2955504497604924E-3</v>
      </c>
      <c r="M111">
        <v>-1.0766207597128985E-2</v>
      </c>
      <c r="N111">
        <v>1.5858465780672848E-2</v>
      </c>
      <c r="O111">
        <v>1.8806263688782243E-2</v>
      </c>
      <c r="P111">
        <v>1.5273895823401773E-2</v>
      </c>
      <c r="Q111">
        <v>3.1968529385780098E-2</v>
      </c>
      <c r="R111">
        <v>4.8895027624309417E-2</v>
      </c>
      <c r="S111">
        <v>2.8138626052333748E-2</v>
      </c>
      <c r="T111">
        <v>5.2977080583534342E-2</v>
      </c>
      <c r="U111">
        <v>3.1305188798250727E-2</v>
      </c>
      <c r="V111">
        <v>-2.7622410015171184E-4</v>
      </c>
      <c r="W111">
        <v>2.0654649738914177E-2</v>
      </c>
      <c r="X111">
        <v>3.5625126223187253E-2</v>
      </c>
      <c r="Y111">
        <v>2.2458941894165418E-2</v>
      </c>
      <c r="Z111">
        <v>-2.3102444940727884E-2</v>
      </c>
      <c r="AA111">
        <v>9.1146746221122399E-3</v>
      </c>
      <c r="AB111">
        <v>1.0415581710221389E-4</v>
      </c>
    </row>
    <row r="112" spans="1:28" x14ac:dyDescent="0.2">
      <c r="A112" s="1">
        <v>41305</v>
      </c>
      <c r="B112">
        <v>2.4985576195690751E-3</v>
      </c>
      <c r="C112">
        <v>1.6005762074344787E-4</v>
      </c>
      <c r="D112">
        <v>-6.9941823583949958E-3</v>
      </c>
      <c r="E112">
        <v>-9.0956693420318757E-3</v>
      </c>
      <c r="F112">
        <v>6.0436783807038541E-3</v>
      </c>
      <c r="G112">
        <v>2.3972595396878571E-2</v>
      </c>
      <c r="H112">
        <v>3.336576841640726E-2</v>
      </c>
      <c r="I112">
        <v>2.2881695580633243E-2</v>
      </c>
      <c r="J112">
        <v>2.0520075697851192E-2</v>
      </c>
      <c r="K112">
        <v>1.7690871787318097E-2</v>
      </c>
      <c r="L112">
        <v>-1.4224073798541959E-2</v>
      </c>
      <c r="M112">
        <v>-9.3682925802787143E-3</v>
      </c>
      <c r="N112">
        <v>1.3757887648994771E-2</v>
      </c>
      <c r="O112">
        <v>5.0939452073305302E-2</v>
      </c>
      <c r="P112">
        <v>1.8111593050557762E-2</v>
      </c>
      <c r="Q112">
        <v>5.274783460738508E-2</v>
      </c>
      <c r="R112">
        <v>1.3787556321135597E-2</v>
      </c>
      <c r="S112">
        <v>5.8455078955693685E-2</v>
      </c>
      <c r="T112">
        <v>3.6715594315577693E-2</v>
      </c>
      <c r="U112">
        <v>1.660885747485974E-2</v>
      </c>
      <c r="V112">
        <v>4.2858990873723579E-2</v>
      </c>
      <c r="W112">
        <v>6.4995549101614758E-2</v>
      </c>
      <c r="X112">
        <v>6.2592780228000189E-2</v>
      </c>
      <c r="Y112">
        <v>6.8409100609150286E-2</v>
      </c>
      <c r="Z112">
        <v>-6.9537708538514043E-3</v>
      </c>
      <c r="AA112">
        <v>5.1795149660024187E-2</v>
      </c>
      <c r="AB112">
        <v>0</v>
      </c>
    </row>
    <row r="113" spans="1:28" x14ac:dyDescent="0.2">
      <c r="A113" s="1">
        <v>41333</v>
      </c>
      <c r="B113">
        <v>3.2794200954111563E-3</v>
      </c>
      <c r="C113">
        <v>8.4016803360675851E-4</v>
      </c>
      <c r="D113">
        <v>5.0123123795380309E-3</v>
      </c>
      <c r="E113">
        <v>-9.4749964049156699E-3</v>
      </c>
      <c r="F113">
        <v>1.3520319850121254E-2</v>
      </c>
      <c r="G113">
        <v>-4.0867983552996701E-2</v>
      </c>
      <c r="H113">
        <v>3.1648936546788686E-3</v>
      </c>
      <c r="I113">
        <v>3.6419568818162329E-3</v>
      </c>
      <c r="J113">
        <v>2.6238727119396454E-3</v>
      </c>
      <c r="K113">
        <v>3.8791295056148645E-3</v>
      </c>
      <c r="L113">
        <v>-1.4187822622029334E-3</v>
      </c>
      <c r="M113">
        <v>5.1787717092071084E-3</v>
      </c>
      <c r="N113">
        <v>4.6276915424947607E-3</v>
      </c>
      <c r="O113">
        <v>1.651210744085807E-3</v>
      </c>
      <c r="P113">
        <v>-1.4341572391524005E-2</v>
      </c>
      <c r="Q113">
        <v>-9.4854451799308848E-3</v>
      </c>
      <c r="R113">
        <v>-1.2563249219477712E-2</v>
      </c>
      <c r="S113">
        <v>-2.7655360365103854E-2</v>
      </c>
      <c r="T113">
        <v>2.6661879326477234E-2</v>
      </c>
      <c r="U113">
        <v>-1.1115121722042876E-3</v>
      </c>
      <c r="V113">
        <v>1.2443911899440607E-2</v>
      </c>
      <c r="W113">
        <v>1.4354256896370599E-2</v>
      </c>
      <c r="X113">
        <v>1.1031134461816583E-2</v>
      </c>
      <c r="Y113">
        <v>1.4145543857522425E-2</v>
      </c>
      <c r="Z113">
        <v>-5.0543968263509154E-2</v>
      </c>
      <c r="AA113">
        <v>1.3574720755489045E-2</v>
      </c>
      <c r="AB113">
        <v>0</v>
      </c>
    </row>
    <row r="114" spans="1:28" x14ac:dyDescent="0.2">
      <c r="A114" s="1">
        <v>41362</v>
      </c>
      <c r="B114">
        <v>-2.3290796680557335E-3</v>
      </c>
      <c r="C114">
        <v>2.3984649824115856E-4</v>
      </c>
      <c r="D114">
        <v>7.9862224081450606E-4</v>
      </c>
      <c r="E114">
        <v>-2.5395383047209785E-3</v>
      </c>
      <c r="F114">
        <v>2.2164505179799621E-2</v>
      </c>
      <c r="G114">
        <v>6.7382468187171529E-3</v>
      </c>
      <c r="H114">
        <v>1.2223090026097116E-2</v>
      </c>
      <c r="I114">
        <v>1.0048194037672209E-2</v>
      </c>
      <c r="J114">
        <v>9.3186486452792039E-3</v>
      </c>
      <c r="K114">
        <v>8.8292465396606623E-3</v>
      </c>
      <c r="L114">
        <v>-7.5272067714631241E-3</v>
      </c>
      <c r="M114">
        <v>3.7827077425052202E-3</v>
      </c>
      <c r="N114">
        <v>1.0306067088453608E-2</v>
      </c>
      <c r="O114">
        <v>2.3423377365274334E-2</v>
      </c>
      <c r="P114">
        <v>5.2386302528886208E-3</v>
      </c>
      <c r="Q114">
        <v>8.2107043870454088E-3</v>
      </c>
      <c r="R114">
        <v>-1.7224052523050037E-2</v>
      </c>
      <c r="S114">
        <v>-2.0697367116572218E-3</v>
      </c>
      <c r="T114">
        <v>4.8829966019982241E-2</v>
      </c>
      <c r="U114">
        <v>-1.9834464245768402E-2</v>
      </c>
      <c r="V114">
        <v>3.7513132926226156E-2</v>
      </c>
      <c r="W114">
        <v>3.9616483255956236E-2</v>
      </c>
      <c r="X114">
        <v>4.617389356709789E-2</v>
      </c>
      <c r="Y114">
        <v>4.2504842289418088E-2</v>
      </c>
      <c r="Z114">
        <v>1.1325580364773602E-2</v>
      </c>
      <c r="AA114">
        <v>3.7503384934149731E-2</v>
      </c>
      <c r="AB114">
        <v>1.562174546969608E-4</v>
      </c>
    </row>
    <row r="115" spans="1:28" x14ac:dyDescent="0.2">
      <c r="A115" s="1">
        <v>41394</v>
      </c>
      <c r="B115">
        <v>8.8990833630318011E-3</v>
      </c>
      <c r="C115">
        <v>1.039085604667811E-3</v>
      </c>
      <c r="D115">
        <v>1.0118666333720494E-2</v>
      </c>
      <c r="E115">
        <v>1.3909752433718836E-2</v>
      </c>
      <c r="F115">
        <v>-5.9887223316457128E-4</v>
      </c>
      <c r="G115">
        <v>-2.7909977375074835E-2</v>
      </c>
      <c r="H115">
        <v>3.6581034381550914E-3</v>
      </c>
      <c r="I115">
        <v>9.918874697845137E-3</v>
      </c>
      <c r="J115">
        <v>8.5975033639389409E-3</v>
      </c>
      <c r="K115">
        <v>1.0642850099580548E-2</v>
      </c>
      <c r="L115">
        <v>2.8342115683348101E-2</v>
      </c>
      <c r="M115">
        <v>7.5579583828075947E-3</v>
      </c>
      <c r="N115">
        <v>1.8570358074073035E-2</v>
      </c>
      <c r="O115">
        <v>3.1490846934154604E-2</v>
      </c>
      <c r="P115">
        <v>-1.4756312321909215E-2</v>
      </c>
      <c r="Q115">
        <v>5.2105917563458837E-2</v>
      </c>
      <c r="R115">
        <v>7.5366037772253147E-3</v>
      </c>
      <c r="S115">
        <v>4.3380812769836075E-2</v>
      </c>
      <c r="T115">
        <v>8.7707190510283306E-2</v>
      </c>
      <c r="U115">
        <v>1.7570295812973535E-2</v>
      </c>
      <c r="V115">
        <v>2.1226629675467068E-2</v>
      </c>
      <c r="W115">
        <v>1.5120736741541574E-2</v>
      </c>
      <c r="X115">
        <v>-3.6744630065068673E-3</v>
      </c>
      <c r="Y115">
        <v>1.2814081809476185E-2</v>
      </c>
      <c r="Z115">
        <v>-7.5611893583724554E-2</v>
      </c>
      <c r="AA115">
        <v>1.9266439233948773E-2</v>
      </c>
      <c r="AB115">
        <v>5.2064351538705367E-5</v>
      </c>
    </row>
    <row r="116" spans="1:28" x14ac:dyDescent="0.2">
      <c r="A116" s="1">
        <v>41425</v>
      </c>
      <c r="B116">
        <v>-1.0931794625558378E-2</v>
      </c>
      <c r="C116">
        <v>-1.4771638454167402E-3</v>
      </c>
      <c r="D116">
        <v>-1.7841980244843625E-2</v>
      </c>
      <c r="E116">
        <v>-2.9730139911118836E-2</v>
      </c>
      <c r="F116">
        <v>9.1523699130919844E-3</v>
      </c>
      <c r="G116">
        <v>-2.2427933583602622E-2</v>
      </c>
      <c r="H116">
        <v>1.223503337746612E-2</v>
      </c>
      <c r="I116">
        <v>1.8402379258026569E-2</v>
      </c>
      <c r="J116">
        <v>6.1574763744156602E-3</v>
      </c>
      <c r="K116">
        <v>6.2482883066472539E-4</v>
      </c>
      <c r="L116">
        <v>-3.8105534410497244E-2</v>
      </c>
      <c r="M116">
        <v>-5.2070056374402984E-2</v>
      </c>
      <c r="N116">
        <v>-5.309168614464399E-3</v>
      </c>
      <c r="O116">
        <v>3.7769638369522518E-4</v>
      </c>
      <c r="P116">
        <v>-5.3180146249675042E-3</v>
      </c>
      <c r="Q116">
        <v>-2.4147498767475906E-2</v>
      </c>
      <c r="R116">
        <v>-2.565538767928599E-2</v>
      </c>
      <c r="S116">
        <v>1.8491772842510468E-3</v>
      </c>
      <c r="T116">
        <v>-5.6643326445424136E-2</v>
      </c>
      <c r="U116">
        <v>-1.2732370066853571E-2</v>
      </c>
      <c r="V116">
        <v>1.8577364649125183E-2</v>
      </c>
      <c r="W116">
        <v>2.5666639039987338E-2</v>
      </c>
      <c r="X116">
        <v>3.99681360675046E-2</v>
      </c>
      <c r="Y116">
        <v>2.1476812246735699E-2</v>
      </c>
      <c r="Z116">
        <v>-6.0208165448869533E-2</v>
      </c>
      <c r="AA116">
        <v>2.3391852218887843E-2</v>
      </c>
      <c r="AB116">
        <v>5.2061640982925539E-5</v>
      </c>
    </row>
    <row r="117" spans="1:28" x14ac:dyDescent="0.2">
      <c r="A117" s="1">
        <v>41453</v>
      </c>
      <c r="B117">
        <v>-2.0788005218328687E-2</v>
      </c>
      <c r="C117">
        <v>-6.3971852384958616E-4</v>
      </c>
      <c r="D117">
        <v>-1.546854310071244E-2</v>
      </c>
      <c r="E117">
        <v>-1.1836922132865246E-2</v>
      </c>
      <c r="F117">
        <v>-9.3967963577019642E-3</v>
      </c>
      <c r="G117">
        <v>-4.7145757410487987E-2</v>
      </c>
      <c r="H117">
        <v>-1.6350707446532664E-2</v>
      </c>
      <c r="I117">
        <v>-1.0328273971258128E-2</v>
      </c>
      <c r="J117">
        <v>-1.3137384469871116E-2</v>
      </c>
      <c r="K117">
        <v>-1.1939816983510876E-2</v>
      </c>
      <c r="L117">
        <v>-5.0315627405696617E-2</v>
      </c>
      <c r="M117">
        <v>-5.4934687633633517E-2</v>
      </c>
      <c r="N117">
        <v>-2.6360046392069347E-2</v>
      </c>
      <c r="O117">
        <v>-2.4640449086411831E-2</v>
      </c>
      <c r="P117">
        <v>-5.5880984409633072E-2</v>
      </c>
      <c r="Q117">
        <v>-3.5528379025066115E-2</v>
      </c>
      <c r="R117">
        <v>-6.3658027269377304E-2</v>
      </c>
      <c r="S117">
        <v>-4.8265229554473876E-2</v>
      </c>
      <c r="T117">
        <v>1.7481425617034807E-2</v>
      </c>
      <c r="U117">
        <v>-5.7236556603086686E-2</v>
      </c>
      <c r="V117">
        <v>-1.8817855725379418E-2</v>
      </c>
      <c r="W117">
        <v>-8.8142354687387181E-3</v>
      </c>
      <c r="X117">
        <v>-5.116091262266198E-3</v>
      </c>
      <c r="Y117">
        <v>-1.206606678462796E-2</v>
      </c>
      <c r="Z117">
        <v>-0.11044098573281447</v>
      </c>
      <c r="AA117">
        <v>-1.3428788176630735E-2</v>
      </c>
      <c r="AB117">
        <v>0</v>
      </c>
    </row>
    <row r="118" spans="1:28" x14ac:dyDescent="0.2">
      <c r="A118" s="1">
        <v>41486</v>
      </c>
      <c r="B118">
        <v>-2.0078297608434603E-3</v>
      </c>
      <c r="C118">
        <v>1.6003200640128945E-3</v>
      </c>
      <c r="D118">
        <v>1.3671907564567487E-3</v>
      </c>
      <c r="E118">
        <v>1.2562947209014519E-2</v>
      </c>
      <c r="F118">
        <v>1.2784761644928144E-2</v>
      </c>
      <c r="G118">
        <v>1.3624427376102366E-2</v>
      </c>
      <c r="H118">
        <v>2.2664971390093269E-2</v>
      </c>
      <c r="I118">
        <v>1.3919979417109651E-2</v>
      </c>
      <c r="J118">
        <v>9.1891103847112632E-3</v>
      </c>
      <c r="K118">
        <v>5.7471738327656841E-3</v>
      </c>
      <c r="L118">
        <v>9.5003404558864357E-3</v>
      </c>
      <c r="M118">
        <v>2.957475789748587E-3</v>
      </c>
      <c r="N118">
        <v>1.880567264613453E-2</v>
      </c>
      <c r="O118">
        <v>5.2645847326638018E-2</v>
      </c>
      <c r="P118">
        <v>5.7404392566426043E-2</v>
      </c>
      <c r="Q118">
        <v>5.2769414093696287E-2</v>
      </c>
      <c r="R118">
        <v>1.0447659377968099E-2</v>
      </c>
      <c r="S118">
        <v>7.3643498277370378E-2</v>
      </c>
      <c r="T118">
        <v>6.0294792358026594E-3</v>
      </c>
      <c r="U118">
        <v>1.8304267906517069E-2</v>
      </c>
      <c r="V118">
        <v>5.3021535271521092E-2</v>
      </c>
      <c r="W118">
        <v>5.3992881615559929E-2</v>
      </c>
      <c r="X118">
        <v>6.9983533260270736E-2</v>
      </c>
      <c r="Y118">
        <v>5.7956770482775477E-2</v>
      </c>
      <c r="Z118">
        <v>7.333965152730193E-2</v>
      </c>
      <c r="AA118">
        <v>5.0884320905109082E-2</v>
      </c>
      <c r="AB118">
        <v>5.2058930709586448E-5</v>
      </c>
    </row>
    <row r="119" spans="1:28" x14ac:dyDescent="0.2">
      <c r="A119" s="1">
        <v>41516</v>
      </c>
      <c r="B119">
        <v>-8.6474497827966346E-3</v>
      </c>
      <c r="C119">
        <v>-9.9860195725987033E-4</v>
      </c>
      <c r="D119">
        <v>-5.1116402204499645E-3</v>
      </c>
      <c r="E119">
        <v>-5.2451998426928936E-3</v>
      </c>
      <c r="F119">
        <v>-1.1742704357635136E-2</v>
      </c>
      <c r="G119">
        <v>3.4023013309380845E-2</v>
      </c>
      <c r="H119">
        <v>-8.4848344563670519E-3</v>
      </c>
      <c r="I119">
        <v>-2.3983542157581805E-3</v>
      </c>
      <c r="J119">
        <v>-6.9632203176211993E-3</v>
      </c>
      <c r="K119">
        <v>-1.1417343102947397E-3</v>
      </c>
      <c r="L119">
        <v>-2.6803494571850606E-2</v>
      </c>
      <c r="M119">
        <v>-1.0464824237463088E-2</v>
      </c>
      <c r="N119">
        <v>-6.2005928351865913E-3</v>
      </c>
      <c r="O119">
        <v>-2.1284910546229829E-2</v>
      </c>
      <c r="P119">
        <v>-9.5442149950947242E-3</v>
      </c>
      <c r="Q119">
        <v>-1.3228099602846322E-2</v>
      </c>
      <c r="R119">
        <v>-1.7176464478604103E-2</v>
      </c>
      <c r="S119">
        <v>-1.2758799952788169E-2</v>
      </c>
      <c r="T119">
        <v>-2.1516657471797651E-2</v>
      </c>
      <c r="U119">
        <v>-1.5120441720769318E-2</v>
      </c>
      <c r="V119">
        <v>-1.7138501783197868E-2</v>
      </c>
      <c r="W119">
        <v>-3.7936305680624671E-2</v>
      </c>
      <c r="X119">
        <v>-3.1762342312285252E-2</v>
      </c>
      <c r="Y119">
        <v>-2.6616734684533294E-2</v>
      </c>
      <c r="Z119">
        <v>5.2978333220131901E-2</v>
      </c>
      <c r="AA119">
        <v>-2.8961690627549497E-2</v>
      </c>
      <c r="AB119">
        <v>5.2056220718466051E-5</v>
      </c>
    </row>
    <row r="120" spans="1:28" x14ac:dyDescent="0.2">
      <c r="A120" s="1">
        <v>41547</v>
      </c>
      <c r="B120">
        <v>1.6578621965480211E-2</v>
      </c>
      <c r="C120">
        <v>2.2790883646541804E-3</v>
      </c>
      <c r="D120">
        <v>9.4669076627840187E-3</v>
      </c>
      <c r="E120">
        <v>2.0557739955961774E-2</v>
      </c>
      <c r="F120">
        <v>-3.9734127316949364E-3</v>
      </c>
      <c r="G120">
        <v>-2.5541835752324493E-2</v>
      </c>
      <c r="H120">
        <v>2.6634147072732484E-2</v>
      </c>
      <c r="I120">
        <v>1.5428710928314215E-2</v>
      </c>
      <c r="J120">
        <v>1.2089449946689035E-2</v>
      </c>
      <c r="K120">
        <v>1.1006305486822576E-2</v>
      </c>
      <c r="L120">
        <v>2.6700110562880575E-2</v>
      </c>
      <c r="M120">
        <v>1.6977194532704187E-2</v>
      </c>
      <c r="N120">
        <v>9.9139543583988132E-3</v>
      </c>
      <c r="O120">
        <v>5.0012633420043473E-2</v>
      </c>
      <c r="P120">
        <v>3.9060722911564039E-2</v>
      </c>
      <c r="Q120">
        <v>7.3927644482090882E-2</v>
      </c>
      <c r="R120">
        <v>6.5029524048559662E-2</v>
      </c>
      <c r="S120">
        <v>7.1893482710730705E-2</v>
      </c>
      <c r="T120">
        <v>8.3531889639874457E-2</v>
      </c>
      <c r="U120">
        <v>5.4226887960669767E-2</v>
      </c>
      <c r="V120">
        <v>4.4563317714624517E-2</v>
      </c>
      <c r="W120">
        <v>2.5050434098210728E-2</v>
      </c>
      <c r="X120">
        <v>6.3803695651059922E-2</v>
      </c>
      <c r="Y120">
        <v>4.5793778215708736E-2</v>
      </c>
      <c r="Z120">
        <v>-4.7474682319551098E-2</v>
      </c>
      <c r="AA120">
        <v>3.1359715086689333E-2</v>
      </c>
      <c r="AB120">
        <v>0</v>
      </c>
    </row>
    <row r="121" spans="1:28" x14ac:dyDescent="0.2">
      <c r="A121" s="1">
        <v>41578</v>
      </c>
      <c r="B121">
        <v>7.2556166062887062E-3</v>
      </c>
      <c r="C121">
        <v>1.0372202497308525E-3</v>
      </c>
      <c r="D121">
        <v>8.0849723408842333E-3</v>
      </c>
      <c r="E121">
        <v>9.8265794518803684E-3</v>
      </c>
      <c r="F121">
        <v>-1.2582232514078195E-2</v>
      </c>
      <c r="G121">
        <v>-1.4766192828094882E-2</v>
      </c>
      <c r="H121">
        <v>2.0095954811715E-2</v>
      </c>
      <c r="I121">
        <v>1.5061970063147134E-2</v>
      </c>
      <c r="J121">
        <v>1.2077240762550012E-2</v>
      </c>
      <c r="K121">
        <v>1.0998449253881493E-2</v>
      </c>
      <c r="L121">
        <v>2.6696883488435574E-2</v>
      </c>
      <c r="M121">
        <v>9.183428233380253E-3</v>
      </c>
      <c r="N121">
        <v>2.4582572971922456E-2</v>
      </c>
      <c r="O121">
        <v>3.9143493726692569E-2</v>
      </c>
      <c r="P121">
        <v>3.2841207280482676E-2</v>
      </c>
      <c r="Q121">
        <v>3.3623946077140809E-2</v>
      </c>
      <c r="R121">
        <v>4.8583668842202776E-2</v>
      </c>
      <c r="S121">
        <v>4.2841131818034173E-2</v>
      </c>
      <c r="T121">
        <v>-9.8141226058112707E-6</v>
      </c>
      <c r="U121">
        <v>4.3749999999999956E-2</v>
      </c>
      <c r="V121">
        <v>4.4235609992200553E-2</v>
      </c>
      <c r="W121">
        <v>4.3793789919843062E-2</v>
      </c>
      <c r="X121">
        <v>2.5146061047818469E-2</v>
      </c>
      <c r="Y121">
        <v>3.5337161308803156E-2</v>
      </c>
      <c r="Z121">
        <v>-4.4919979232974638E-3</v>
      </c>
      <c r="AA121">
        <v>4.5967590600427544E-2</v>
      </c>
      <c r="AB121">
        <v>0</v>
      </c>
    </row>
    <row r="122" spans="1:28" x14ac:dyDescent="0.2">
      <c r="A122" s="1">
        <v>41607</v>
      </c>
      <c r="B122">
        <v>-2.3007873109065491E-3</v>
      </c>
      <c r="C122">
        <v>9.5644203562739172E-4</v>
      </c>
      <c r="D122">
        <v>-3.7441891062188759E-3</v>
      </c>
      <c r="E122">
        <v>-8.185881748817958E-3</v>
      </c>
      <c r="F122">
        <v>1.3094338667274164E-2</v>
      </c>
      <c r="G122">
        <v>-8.0034620715150329E-3</v>
      </c>
      <c r="H122">
        <v>1.195662400501396E-2</v>
      </c>
      <c r="I122">
        <v>1.037102495281883E-2</v>
      </c>
      <c r="J122">
        <v>1.1616239432692188E-2</v>
      </c>
      <c r="K122">
        <v>4.7831924152106353E-3</v>
      </c>
      <c r="L122">
        <v>-2.2793450014089278E-2</v>
      </c>
      <c r="M122">
        <v>-1.5287032584552662E-2</v>
      </c>
      <c r="N122">
        <v>4.6507722474946611E-3</v>
      </c>
      <c r="O122">
        <v>1.7771559936840431E-2</v>
      </c>
      <c r="P122">
        <v>-9.0920169936826722E-3</v>
      </c>
      <c r="Q122">
        <v>7.6581137712408154E-3</v>
      </c>
      <c r="R122">
        <v>-1.4622525455164848E-2</v>
      </c>
      <c r="S122">
        <v>1.1820992541788478E-2</v>
      </c>
      <c r="T122">
        <v>1.4871673867240531E-2</v>
      </c>
      <c r="U122">
        <v>1.7104640648575309E-3</v>
      </c>
      <c r="V122">
        <v>2.8209187344894637E-2</v>
      </c>
      <c r="W122">
        <v>2.7897742552955851E-2</v>
      </c>
      <c r="X122">
        <v>4.0064038877503094E-2</v>
      </c>
      <c r="Y122">
        <v>1.660365364981975E-2</v>
      </c>
      <c r="Z122">
        <v>-5.2688464619896291E-2</v>
      </c>
      <c r="AA122">
        <v>3.0473950715243836E-2</v>
      </c>
      <c r="AB122">
        <v>5.2053511009342301E-5</v>
      </c>
    </row>
    <row r="123" spans="1:28" x14ac:dyDescent="0.2">
      <c r="A123" s="1">
        <v>41639</v>
      </c>
      <c r="B123">
        <v>-1.5690491182498434E-3</v>
      </c>
      <c r="C123">
        <v>-1.3934785205239608E-3</v>
      </c>
      <c r="D123">
        <v>-5.6511475626330743E-3</v>
      </c>
      <c r="E123">
        <v>-5.9709069676935345E-3</v>
      </c>
      <c r="F123">
        <v>2.158347187440901E-3</v>
      </c>
      <c r="G123">
        <v>1.2398949640063384E-2</v>
      </c>
      <c r="H123">
        <v>1.4143491512613959E-2</v>
      </c>
      <c r="I123">
        <v>1.1934679026654127E-2</v>
      </c>
      <c r="J123">
        <v>1.5226749450585553E-2</v>
      </c>
      <c r="K123">
        <v>7.684990367479827E-3</v>
      </c>
      <c r="L123">
        <v>5.831277434237947E-3</v>
      </c>
      <c r="M123">
        <v>-2.0891371379937351E-2</v>
      </c>
      <c r="N123">
        <v>5.479772628275148E-3</v>
      </c>
      <c r="O123">
        <v>2.1159659894965488E-2</v>
      </c>
      <c r="P123">
        <v>1.6119331389231828E-2</v>
      </c>
      <c r="Q123">
        <v>1.4962929188803376E-2</v>
      </c>
      <c r="R123">
        <v>-1.4457785044283411E-2</v>
      </c>
      <c r="S123">
        <v>2.2380060271967928E-2</v>
      </c>
      <c r="T123">
        <v>7.9577135873289961E-3</v>
      </c>
      <c r="U123">
        <v>-1.0935543730996256E-2</v>
      </c>
      <c r="V123">
        <v>2.8564868469103111E-2</v>
      </c>
      <c r="W123">
        <v>2.5327426069424952E-2</v>
      </c>
      <c r="X123">
        <v>1.9680206294232727E-2</v>
      </c>
      <c r="Y123">
        <v>2.9770245498813575E-2</v>
      </c>
      <c r="Z123">
        <v>-4.125743008736571E-2</v>
      </c>
      <c r="AA123">
        <v>2.5316044679193128E-2</v>
      </c>
      <c r="AB123">
        <v>5.20508015822152E-5</v>
      </c>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707EB-D33A-4DBF-9C8A-06F171D8652A}">
  <sheetPr>
    <tabColor theme="7" tint="0.59999389629810485"/>
  </sheetPr>
  <dimension ref="A1:R122"/>
  <sheetViews>
    <sheetView showGridLines="0" zoomScale="112" workbookViewId="0">
      <selection activeCell="B18" sqref="B18"/>
    </sheetView>
  </sheetViews>
  <sheetFormatPr baseColWidth="10" defaultColWidth="8.83203125" defaultRowHeight="15" x14ac:dyDescent="0.2"/>
  <cols>
    <col min="1" max="1" width="23.5" bestFit="1" customWidth="1"/>
    <col min="2" max="6" width="13.1640625" bestFit="1" customWidth="1"/>
    <col min="7" max="7" width="20.5" bestFit="1" customWidth="1"/>
    <col min="9" max="9" width="19.83203125" bestFit="1" customWidth="1"/>
    <col min="10" max="10" width="13.1640625" bestFit="1" customWidth="1"/>
    <col min="11" max="11" width="19.83203125" bestFit="1" customWidth="1"/>
    <col min="12" max="12" width="13.1640625" bestFit="1" customWidth="1"/>
    <col min="13" max="13" width="19.83203125" bestFit="1" customWidth="1"/>
    <col min="14" max="14" width="13.1640625" bestFit="1" customWidth="1"/>
    <col min="15" max="15" width="19.83203125" bestFit="1" customWidth="1"/>
    <col min="16" max="16" width="13.1640625" bestFit="1" customWidth="1"/>
    <col min="17" max="17" width="19.83203125" bestFit="1" customWidth="1"/>
    <col min="18" max="18" width="13.1640625" bestFit="1" customWidth="1"/>
  </cols>
  <sheetData>
    <row r="1" spans="1:18" x14ac:dyDescent="0.2">
      <c r="A1" s="28"/>
      <c r="B1" s="29" t="s">
        <v>60</v>
      </c>
      <c r="C1" s="29" t="s">
        <v>61</v>
      </c>
      <c r="D1" s="29" t="s">
        <v>62</v>
      </c>
      <c r="E1" s="29" t="s">
        <v>63</v>
      </c>
      <c r="F1" s="30" t="s">
        <v>64</v>
      </c>
      <c r="H1" s="19" t="s">
        <v>65</v>
      </c>
      <c r="I1" s="19" t="s">
        <v>66</v>
      </c>
      <c r="J1" s="19" t="s">
        <v>67</v>
      </c>
      <c r="K1" s="19" t="s">
        <v>68</v>
      </c>
      <c r="L1" s="19" t="s">
        <v>69</v>
      </c>
      <c r="M1" s="19" t="s">
        <v>70</v>
      </c>
      <c r="N1" s="19" t="s">
        <v>71</v>
      </c>
      <c r="O1" s="19" t="s">
        <v>72</v>
      </c>
      <c r="P1" s="19" t="s">
        <v>73</v>
      </c>
      <c r="Q1" s="19" t="s">
        <v>74</v>
      </c>
      <c r="R1" s="19" t="s">
        <v>75</v>
      </c>
    </row>
    <row r="2" spans="1:18" x14ac:dyDescent="0.2">
      <c r="A2" s="31" t="s">
        <v>76</v>
      </c>
      <c r="B2" s="39">
        <f>AVERAGE(Data!B2:B121)</f>
        <v>3.792837698606989E-3</v>
      </c>
      <c r="C2" s="39">
        <f>AVERAGE(Data!C2:C121)</f>
        <v>7.0011042026695723E-3</v>
      </c>
      <c r="D2" s="39">
        <f>AVERAGE(Data!D2:D121)</f>
        <v>7.7734660121425159E-3</v>
      </c>
      <c r="E2" s="39">
        <f>AVERAGE(Data!E2:E121)</f>
        <v>3.5551712616831506E-3</v>
      </c>
      <c r="F2" s="40">
        <f>AVERAGE(Data!F2:F121)</f>
        <v>4.5317839679094741E-3</v>
      </c>
      <c r="H2" s="3">
        <f>Data!A2</f>
        <v>38016</v>
      </c>
      <c r="I2">
        <f>1+Data!B2</f>
        <v>1.0062656429682741</v>
      </c>
      <c r="J2">
        <f>I2/MAX($I$2:I2) - 1</f>
        <v>0</v>
      </c>
      <c r="K2">
        <f>1+Data!C2</f>
        <v>1.0347705146036161</v>
      </c>
      <c r="L2">
        <f>K2/MAX($K$2:K2) - 1</f>
        <v>0</v>
      </c>
      <c r="M2">
        <f>1+Data!D2</f>
        <v>1.0326098237699533</v>
      </c>
      <c r="N2">
        <f>M2/MAX($M$2:M2) - 1</f>
        <v>0</v>
      </c>
      <c r="O2">
        <f>1+Data!E2</f>
        <v>1.006459998298554</v>
      </c>
      <c r="P2">
        <f>O2/MAX($O$2:O2) - 1</f>
        <v>0</v>
      </c>
      <c r="Q2">
        <f>1+Data!F2</f>
        <v>1.0118273969309668</v>
      </c>
      <c r="R2">
        <f>Q2/MAX($Q$2:Q2) - 1</f>
        <v>0</v>
      </c>
    </row>
    <row r="3" spans="1:18" x14ac:dyDescent="0.2">
      <c r="A3" s="31" t="s">
        <v>77</v>
      </c>
      <c r="B3" s="39">
        <f>B2*12</f>
        <v>4.5514052383283869E-2</v>
      </c>
      <c r="C3" s="39">
        <f t="shared" ref="C3:F3" si="0">C2*12</f>
        <v>8.4013250432034864E-2</v>
      </c>
      <c r="D3" s="39">
        <f t="shared" si="0"/>
        <v>9.328159214571019E-2</v>
      </c>
      <c r="E3" s="39">
        <f t="shared" si="0"/>
        <v>4.2662055140197809E-2</v>
      </c>
      <c r="F3" s="40">
        <f t="shared" si="0"/>
        <v>5.4381407614913689E-2</v>
      </c>
      <c r="H3" s="3">
        <f>Data!A3</f>
        <v>38044</v>
      </c>
      <c r="I3">
        <f>I2*(1+Data!B3)</f>
        <v>1.0147466684705402</v>
      </c>
      <c r="J3">
        <f>I3/MAX($I$2:I3) - 1</f>
        <v>0</v>
      </c>
      <c r="K3">
        <f>K2*(1+Data!C3)</f>
        <v>1.0011126564673156</v>
      </c>
      <c r="L3">
        <f>K3/MAX($K$2:K3) - 1</f>
        <v>-3.2526881720430167E-2</v>
      </c>
      <c r="M3">
        <f>M2*(1+Data!D3)</f>
        <v>1.1193133462951559</v>
      </c>
      <c r="N3">
        <f>M3/MAX($M$2:M3) - 1</f>
        <v>0</v>
      </c>
      <c r="O3">
        <f>O2*(1+Data!E3)</f>
        <v>1.0265791295614579</v>
      </c>
      <c r="P3">
        <f>O3/MAX($O$2:O3) - 1</f>
        <v>0</v>
      </c>
      <c r="Q3">
        <f>Q2*(1+Data!F3)</f>
        <v>1.0358668215874032</v>
      </c>
      <c r="R3">
        <f>Q3/MAX($Q$2:Q3) - 1</f>
        <v>0</v>
      </c>
    </row>
    <row r="4" spans="1:18" x14ac:dyDescent="0.2">
      <c r="A4" s="31" t="s">
        <v>78</v>
      </c>
      <c r="B4" s="39">
        <f>_xlfn.STDEV.S(Data!B2:B121)</f>
        <v>7.656501177818094E-3</v>
      </c>
      <c r="C4" s="39">
        <f>_xlfn.STDEV.S(Data!C2:C121)</f>
        <v>5.3770801524611951E-2</v>
      </c>
      <c r="D4" s="39">
        <f>_xlfn.STDEV.S(Data!D2:D121)</f>
        <v>7.2056103094501403E-2</v>
      </c>
      <c r="E4" s="39">
        <f>_xlfn.STDEV.S(Data!E2:E121)</f>
        <v>1.4021218441314508E-2</v>
      </c>
      <c r="F4" s="40">
        <f>_xlfn.STDEV.S(Data!F2:F121)</f>
        <v>2.0592098723279433E-2</v>
      </c>
      <c r="H4" s="3">
        <f>Data!A4</f>
        <v>38077</v>
      </c>
      <c r="I4">
        <f>I3*(1+Data!B4)</f>
        <v>1.0191943448555769</v>
      </c>
      <c r="J4">
        <f>I4/MAX($I$2:I4) - 1</f>
        <v>0</v>
      </c>
      <c r="K4">
        <f>K3*(1+Data!C4)</f>
        <v>0.9744089012517384</v>
      </c>
      <c r="L4">
        <f>K4/MAX($K$2:K4) - 1</f>
        <v>-5.8333333333333459E-2</v>
      </c>
      <c r="M4">
        <f>M3*(1+Data!D4)</f>
        <v>1.1153002553156159</v>
      </c>
      <c r="N4">
        <f>M4/MAX($M$2:M4) - 1</f>
        <v>-3.5853150441054193E-3</v>
      </c>
      <c r="O4">
        <f>O3*(1+Data!E4)</f>
        <v>1.0381076128041737</v>
      </c>
      <c r="P4">
        <f>O4/MAX($O$2:O4) - 1</f>
        <v>0</v>
      </c>
      <c r="Q4">
        <f>Q3*(1+Data!F4)</f>
        <v>1.0529748788012341</v>
      </c>
      <c r="R4">
        <f>Q4/MAX($Q$2:Q4) - 1</f>
        <v>0</v>
      </c>
    </row>
    <row r="5" spans="1:18" x14ac:dyDescent="0.2">
      <c r="A5" s="31" t="s">
        <v>79</v>
      </c>
      <c r="B5" s="39">
        <f>B4*SQRT(12)</f>
        <v>2.6522898096383779E-2</v>
      </c>
      <c r="C5" s="39">
        <f t="shared" ref="C5:F5" si="1">C4*SQRT(12)</f>
        <v>0.18626752040865988</v>
      </c>
      <c r="D5" s="39">
        <f t="shared" si="1"/>
        <v>0.24960966311019486</v>
      </c>
      <c r="E5" s="39">
        <f t="shared" si="1"/>
        <v>4.8570925448756852E-2</v>
      </c>
      <c r="F5" s="40">
        <f t="shared" si="1"/>
        <v>7.133312244638837E-2</v>
      </c>
      <c r="H5" s="3">
        <f>Data!A5</f>
        <v>38107</v>
      </c>
      <c r="I5">
        <f>I4*(1+Data!B5)</f>
        <v>1.0010485016573087</v>
      </c>
      <c r="J5">
        <f>I5/MAX($I$2:I5) - 1</f>
        <v>-1.7804105065790443E-2</v>
      </c>
      <c r="K5">
        <f>K4*(1+Data!C5)</f>
        <v>0.92892906815020859</v>
      </c>
      <c r="L5">
        <f>K5/MAX($K$2:K5) - 1</f>
        <v>-0.10228494623655915</v>
      </c>
      <c r="M5">
        <f>M4*(1+Data!D5)</f>
        <v>1.0199685871844018</v>
      </c>
      <c r="N5">
        <f>M5/MAX($M$2:M5) - 1</f>
        <v>-8.8755092074599085E-2</v>
      </c>
      <c r="O5">
        <f>O4*(1+Data!E5)</f>
        <v>1.0086253583028522</v>
      </c>
      <c r="P5">
        <f>O5/MAX($O$2:O5) - 1</f>
        <v>-2.8399998360172929E-2</v>
      </c>
      <c r="Q5">
        <f>Q4*(1+Data!F5)</f>
        <v>1.0067871308946672</v>
      </c>
      <c r="R5">
        <f>Q5/MAX($Q$2:Q5) - 1</f>
        <v>-4.3864054913778761E-2</v>
      </c>
    </row>
    <row r="6" spans="1:18" x14ac:dyDescent="0.2">
      <c r="A6" s="31" t="s">
        <v>80</v>
      </c>
      <c r="B6" s="39">
        <f>MIN(Data!B2:B121)</f>
        <v>-1.7804105065790443E-2</v>
      </c>
      <c r="C6" s="39">
        <f>MIN(Data!C2:C121)</f>
        <v>-0.17793993825428023</v>
      </c>
      <c r="D6" s="39">
        <f>MIN(Data!D2:D121)</f>
        <v>-0.26884656103916593</v>
      </c>
      <c r="E6" s="39">
        <f>MIN(Data!E2:E121)</f>
        <v>-2.839999836017304E-2</v>
      </c>
      <c r="F6" s="40">
        <f>MIN(Data!F2:F121)</f>
        <v>-9.4290249770568213E-2</v>
      </c>
      <c r="H6" s="3">
        <f>Data!A6</f>
        <v>38138</v>
      </c>
      <c r="I6">
        <f>I5*(1+Data!B6)</f>
        <v>0.99885848609889694</v>
      </c>
      <c r="J6">
        <f>I6/MAX($I$2:I6) - 1</f>
        <v>-1.9952876366834293E-2</v>
      </c>
      <c r="K6">
        <f>K5*(1+Data!C6)</f>
        <v>0.97496522948539632</v>
      </c>
      <c r="L6">
        <f>K6/MAX($K$2:K6) - 1</f>
        <v>-5.7795698924731242E-2</v>
      </c>
      <c r="M6">
        <f>M5*(1+Data!D6)</f>
        <v>1.0645484926691899</v>
      </c>
      <c r="N6">
        <f>M6/MAX($M$2:M6) - 1</f>
        <v>-4.8927187196716182E-2</v>
      </c>
      <c r="O6">
        <f>O5*(1+Data!E6)</f>
        <v>1.0016154159021118</v>
      </c>
      <c r="P6">
        <f>O6/MAX($O$2:O6) - 1</f>
        <v>-3.51526146730472E-2</v>
      </c>
      <c r="Q6">
        <f>Q5*(1+Data!F6)</f>
        <v>1.0221483232501303</v>
      </c>
      <c r="R6">
        <f>Q6/MAX($Q$2:Q6) - 1</f>
        <v>-2.9275679953731149E-2</v>
      </c>
    </row>
    <row r="7" spans="1:18" x14ac:dyDescent="0.2">
      <c r="A7" s="31" t="s">
        <v>81</v>
      </c>
      <c r="B7" s="39">
        <f>MAX(Data!B2:B121)</f>
        <v>3.9284057100745118E-2</v>
      </c>
      <c r="C7" s="39">
        <f>MAX(Data!C2:C121)</f>
        <v>0.12138804591634766</v>
      </c>
      <c r="D7" s="39">
        <f>MAX(Data!D2:D121)</f>
        <v>0.22182414762569147</v>
      </c>
      <c r="E7" s="39">
        <f>MAX(Data!E2:E121)</f>
        <v>4.2192467737109718E-2</v>
      </c>
      <c r="F7" s="40">
        <f>MAX(Data!F2:F121)</f>
        <v>7.2092417832736677E-2</v>
      </c>
      <c r="H7" s="3">
        <f>Data!A7</f>
        <v>38168</v>
      </c>
      <c r="I7">
        <f>I6*(1+Data!B7)</f>
        <v>1.007694649259284</v>
      </c>
      <c r="J7">
        <f>I7/MAX($I$2:I7) - 1</f>
        <v>-1.1283123434051689E-2</v>
      </c>
      <c r="K7">
        <f>K6*(1+Data!C7)</f>
        <v>1.0019471488178024</v>
      </c>
      <c r="L7">
        <f>K7/MAX($K$2:K7) - 1</f>
        <v>-3.1720430107526898E-2</v>
      </c>
      <c r="M7">
        <f>M6*(1+Data!D7)</f>
        <v>1.0609228725428468</v>
      </c>
      <c r="N7">
        <f>M7/MAX($M$2:M7) - 1</f>
        <v>-5.216633389173575E-2</v>
      </c>
      <c r="O7">
        <f>O6*(1+Data!E7)</f>
        <v>1.0005136338159006</v>
      </c>
      <c r="P7">
        <f>O7/MAX($O$2:O7) - 1</f>
        <v>-3.6213951737356864E-2</v>
      </c>
      <c r="Q7">
        <f>Q6*(1+Data!F7)</f>
        <v>1.0206979446291919</v>
      </c>
      <c r="R7">
        <f>Q7/MAX($Q$2:Q7) - 1</f>
        <v>-3.0653090422050777E-2</v>
      </c>
    </row>
    <row r="8" spans="1:18" x14ac:dyDescent="0.2">
      <c r="A8" s="31" t="s">
        <v>82</v>
      </c>
      <c r="B8">
        <f>SKEW(Data!B2:B121)</f>
        <v>0.46230495270497352</v>
      </c>
      <c r="C8">
        <f>SKEW(Data!C2:C121)</f>
        <v>-0.53708439403876729</v>
      </c>
      <c r="D8">
        <f>SKEW(Data!D2:D121)</f>
        <v>-0.33992789538083124</v>
      </c>
      <c r="E8">
        <f>SKEW(Data!E2:E121)</f>
        <v>0.2416052567984957</v>
      </c>
      <c r="F8" s="18">
        <f>SKEW(Data!F2:F121)</f>
        <v>-0.91822855957380223</v>
      </c>
      <c r="H8" s="3">
        <f>Data!A8</f>
        <v>38198</v>
      </c>
      <c r="I8">
        <f>I7*(1+Data!B8)</f>
        <v>1.0167252925657848</v>
      </c>
      <c r="J8">
        <f>I8/MAX($I$2:I8) - 1</f>
        <v>-2.4225529726050743E-3</v>
      </c>
      <c r="K8">
        <f>K7*(1+Data!C8)</f>
        <v>0.92628650904033361</v>
      </c>
      <c r="L8">
        <f>K8/MAX($K$2:K8) - 1</f>
        <v>-0.10483870967741948</v>
      </c>
      <c r="M8">
        <f>M7*(1+Data!D8)</f>
        <v>1.0819016515945121</v>
      </c>
      <c r="N8">
        <f>M8/MAX($M$2:M8) - 1</f>
        <v>-3.34237904197906E-2</v>
      </c>
      <c r="O8">
        <f>O7*(1+Data!E8)</f>
        <v>0.99722194745213721</v>
      </c>
      <c r="P8">
        <f>O8/MAX($O$2:O8) - 1</f>
        <v>-3.9384804472818224E-2</v>
      </c>
      <c r="Q8">
        <f>Q7*(1+Data!F8)</f>
        <v>1.0357466244641214</v>
      </c>
      <c r="R8">
        <f>Q8/MAX($Q$2:Q8) - 1</f>
        <v>-1.6361505562911716E-2</v>
      </c>
    </row>
    <row r="9" spans="1:18" x14ac:dyDescent="0.2">
      <c r="A9" s="31" t="s">
        <v>83</v>
      </c>
      <c r="B9">
        <f>KURT(Data!B2:B121)</f>
        <v>3.3598900658932518</v>
      </c>
      <c r="C9">
        <f>KURT(Data!C2:C121)</f>
        <v>0.69459608549475815</v>
      </c>
      <c r="D9">
        <f>KURT(Data!D2:D121)</f>
        <v>1.498855113584975</v>
      </c>
      <c r="E9">
        <f>KURT(Data!E2:E121)</f>
        <v>-0.21081532212458098</v>
      </c>
      <c r="F9" s="18">
        <f>KURT(Data!F2:F121)</f>
        <v>5.3680402322550478</v>
      </c>
      <c r="H9" s="3">
        <f>Data!A9</f>
        <v>38230</v>
      </c>
      <c r="I9">
        <f>I8*(1+Data!B9)</f>
        <v>1.0324020834742607</v>
      </c>
      <c r="J9">
        <f>I9/MAX($I$2:I9) - 1</f>
        <v>0</v>
      </c>
      <c r="K9">
        <f>K8*(1+Data!C9)</f>
        <v>0.87691237830319879</v>
      </c>
      <c r="L9">
        <f>K9/MAX($K$2:K9) - 1</f>
        <v>-0.15255376344086036</v>
      </c>
      <c r="M9">
        <f>M8*(1+Data!D9)</f>
        <v>1.0556850969023091</v>
      </c>
      <c r="N9">
        <f>M9/MAX($M$2:M9) - 1</f>
        <v>-5.6845788182059653E-2</v>
      </c>
      <c r="O9">
        <f>O8*(1+Data!E9)</f>
        <v>0.99489841566117532</v>
      </c>
      <c r="P9">
        <f>O9/MAX($O$2:O9) - 1</f>
        <v>-4.1623042360974694E-2</v>
      </c>
      <c r="Q9">
        <f>Q8*(1+Data!F9)</f>
        <v>1.0601626667735089</v>
      </c>
      <c r="R9">
        <f>Q9/MAX($Q$2:Q9) - 1</f>
        <v>0</v>
      </c>
    </row>
    <row r="10" spans="1:18" x14ac:dyDescent="0.2">
      <c r="A10" s="31" t="s">
        <v>84</v>
      </c>
      <c r="B10">
        <f>120/6 * (B8^2 + B9^2/4)</f>
        <v>60.718823660351752</v>
      </c>
      <c r="C10">
        <f t="shared" ref="C10:F10" si="2">120/6 * (C8^2 + C9^2/4)</f>
        <v>8.1815115363230024</v>
      </c>
      <c r="D10">
        <f t="shared" si="2"/>
        <v>13.54385273875997</v>
      </c>
      <c r="E10">
        <f t="shared" si="2"/>
        <v>1.3896775024657955</v>
      </c>
      <c r="F10" s="18">
        <f t="shared" si="2"/>
        <v>160.94215342788374</v>
      </c>
      <c r="G10" t="s">
        <v>85</v>
      </c>
      <c r="H10" s="3">
        <f>Data!A10</f>
        <v>38260</v>
      </c>
      <c r="I10">
        <f>I9*(1+Data!B10)</f>
        <v>1.0339748359602241</v>
      </c>
      <c r="J10">
        <f>I10/MAX($I$2:I10) - 1</f>
        <v>0</v>
      </c>
      <c r="K10">
        <f>K9*(1+Data!C10)</f>
        <v>0.90250347705146039</v>
      </c>
      <c r="L10">
        <f>K10/MAX($K$2:K10) - 1</f>
        <v>-0.12782258064516128</v>
      </c>
      <c r="M10">
        <f>M9*(1+Data!D10)</f>
        <v>1.184062493513323</v>
      </c>
      <c r="N10">
        <f>M10/MAX($M$2:M10) - 1</f>
        <v>0</v>
      </c>
      <c r="O10">
        <f>O9*(1+Data!E10)</f>
        <v>1.0032058195026989</v>
      </c>
      <c r="P10">
        <f>O10/MAX($O$2:O10) - 1</f>
        <v>-3.3620592769950663E-2</v>
      </c>
      <c r="Q10">
        <f>Q9*(1+Data!F10)</f>
        <v>1.0625505829560482</v>
      </c>
      <c r="R10">
        <f>Q10/MAX($Q$2:Q10) - 1</f>
        <v>0</v>
      </c>
    </row>
    <row r="11" spans="1:18" x14ac:dyDescent="0.2">
      <c r="A11" s="31" t="s">
        <v>86</v>
      </c>
      <c r="B11">
        <f>_xlfn.CHISQ.DIST.RT(B10, 2)</f>
        <v>6.532433063958965E-14</v>
      </c>
      <c r="C11">
        <f t="shared" ref="C11:F11" si="3">_xlfn.CHISQ.DIST.RT(C10, 2)</f>
        <v>1.672658735820887E-2</v>
      </c>
      <c r="D11">
        <f t="shared" si="3"/>
        <v>1.14548589519108E-3</v>
      </c>
      <c r="E11">
        <f t="shared" si="3"/>
        <v>0.49915492961317309</v>
      </c>
      <c r="F11" s="18">
        <f t="shared" si="3"/>
        <v>1.126822292639765E-35</v>
      </c>
      <c r="H11" s="3">
        <f>Data!A11</f>
        <v>38289</v>
      </c>
      <c r="I11">
        <f>I10*(1+Data!B11)</f>
        <v>1.0423036596090101</v>
      </c>
      <c r="J11">
        <f>I11/MAX($I$2:I11) - 1</f>
        <v>0</v>
      </c>
      <c r="K11">
        <f>K10*(1+Data!C11)</f>
        <v>0.94979137691237836</v>
      </c>
      <c r="L11">
        <f>K11/MAX($K$2:K11) - 1</f>
        <v>-8.2123655913978411E-2</v>
      </c>
      <c r="M11">
        <f>M10*(1+Data!D11)</f>
        <v>1.1342517315103755</v>
      </c>
      <c r="N11">
        <f>M11/MAX($M$2:M11) - 1</f>
        <v>-4.2067679937357161E-2</v>
      </c>
      <c r="O11">
        <f>O10*(1+Data!E11)</f>
        <v>1.011612684793888</v>
      </c>
      <c r="P11">
        <f>O11/MAX($O$2:O11) - 1</f>
        <v>-2.5522332832832895E-2</v>
      </c>
      <c r="Q11">
        <f>Q10*(1+Data!F11)</f>
        <v>1.0774710525261431</v>
      </c>
      <c r="R11">
        <f>Q11/MAX($Q$2:Q11) - 1</f>
        <v>0</v>
      </c>
    </row>
    <row r="12" spans="1:18" x14ac:dyDescent="0.2">
      <c r="A12" s="31" t="s">
        <v>87</v>
      </c>
      <c r="B12" t="str">
        <f>IF(B11&lt;0.05, "REJECT", "PASS")</f>
        <v>REJECT</v>
      </c>
      <c r="C12" t="str">
        <f t="shared" ref="C12:F12" si="4">IF(C11&lt;0.05, "REJECT", "PASS")</f>
        <v>REJECT</v>
      </c>
      <c r="D12" t="str">
        <f t="shared" si="4"/>
        <v>REJECT</v>
      </c>
      <c r="E12" t="str">
        <f t="shared" si="4"/>
        <v>PASS</v>
      </c>
      <c r="F12" s="18" t="str">
        <f t="shared" si="4"/>
        <v>REJECT</v>
      </c>
      <c r="H12" s="3">
        <f>Data!A12</f>
        <v>38321</v>
      </c>
      <c r="I12">
        <f>I11*(1+Data!B12)</f>
        <v>1.0397077724413173</v>
      </c>
      <c r="J12">
        <f>I12/MAX($I$2:I12) - 1</f>
        <v>-2.4905286897548562E-3</v>
      </c>
      <c r="K12">
        <f>K11*(1+Data!C12)</f>
        <v>0.99596662030598038</v>
      </c>
      <c r="L12">
        <f>K12/MAX($K$2:K12) - 1</f>
        <v>-3.75000000000002E-2</v>
      </c>
      <c r="M12">
        <f>M11*(1+Data!D12)</f>
        <v>1.1919987268814827</v>
      </c>
      <c r="N12">
        <f>M12/MAX($M$2:M12) - 1</f>
        <v>0</v>
      </c>
      <c r="O12">
        <f>O11*(1+Data!E12)</f>
        <v>1.0399884225044016</v>
      </c>
      <c r="P12">
        <f>O12/MAX($O$2:O12) - 1</f>
        <v>0</v>
      </c>
      <c r="Q12">
        <f>Q11*(1+Data!F12)</f>
        <v>1.0725429704715737</v>
      </c>
      <c r="R12">
        <f>Q12/MAX($Q$2:Q12) - 1</f>
        <v>-4.573748912340081E-3</v>
      </c>
    </row>
    <row r="13" spans="1:18" x14ac:dyDescent="0.2">
      <c r="A13" s="31" t="s">
        <v>88</v>
      </c>
      <c r="B13" s="32">
        <f>_xlfn.PERCENTILE.INC(Data!B2:B121, 0.05)</f>
        <v>-7.0430626602305917E-3</v>
      </c>
      <c r="C13" s="32">
        <f>_xlfn.PERCENTILE.INC(Data!C2:C121, 0.05)</f>
        <v>-8.1664640555558304E-2</v>
      </c>
      <c r="D13" s="32">
        <f>_xlfn.PERCENTILE.INC(Data!D2:D121, 0.05)</f>
        <v>-9.6636539422911588E-2</v>
      </c>
      <c r="E13" s="32">
        <f>_xlfn.PERCENTILE.INC(Data!E2:E121, 0.05)</f>
        <v>-1.7456733140957741E-2</v>
      </c>
      <c r="F13" s="22">
        <f>_xlfn.PERCENTILE.INC(Data!F2:F121, 0.05)</f>
        <v>-2.9011250720131804E-2</v>
      </c>
      <c r="H13" s="3">
        <f>Data!A13</f>
        <v>38352</v>
      </c>
      <c r="I13">
        <f>I12*(1+Data!B13)</f>
        <v>1.0470303727254275</v>
      </c>
      <c r="J13">
        <f>I13/MAX($I$2:I13) - 1</f>
        <v>0</v>
      </c>
      <c r="K13">
        <f>K12*(1+Data!C13)</f>
        <v>1.0243393602225312</v>
      </c>
      <c r="L13">
        <f>K13/MAX($K$2:K13) - 1</f>
        <v>-1.0080645161290369E-2</v>
      </c>
      <c r="M13">
        <f>M12*(1+Data!D13)</f>
        <v>1.2526932683858383</v>
      </c>
      <c r="N13">
        <f>M13/MAX($M$2:M13) - 1</f>
        <v>0</v>
      </c>
      <c r="O13">
        <f>O12*(1+Data!E13)</f>
        <v>1.0462907496976976</v>
      </c>
      <c r="P13">
        <f>O13/MAX($O$2:O13) - 1</f>
        <v>0</v>
      </c>
      <c r="Q13">
        <f>Q12*(1+Data!F13)</f>
        <v>1.0856364437677795</v>
      </c>
      <c r="R13">
        <f>Q13/MAX($Q$2:Q13) - 1</f>
        <v>0</v>
      </c>
    </row>
    <row r="14" spans="1:18" x14ac:dyDescent="0.2">
      <c r="A14" s="31" t="s">
        <v>162</v>
      </c>
      <c r="B14" s="36">
        <f>_xlfn.PERCENTILE.INC(Data!B2:B121, 0.01)</f>
        <v>-1.5093947534388719E-2</v>
      </c>
      <c r="C14" s="36">
        <f>_xlfn.PERCENTILE.INC(Data!C2:C121, 0.01)</f>
        <v>-0.12683051276536711</v>
      </c>
      <c r="D14" s="36">
        <f>_xlfn.PERCENTILE.INC(Data!D2:D121, 0.01)</f>
        <v>-0.18773158782018673</v>
      </c>
      <c r="E14" s="36">
        <f>_xlfn.PERCENTILE.INC(Data!E2:E121, 0.01)</f>
        <v>-2.5625163833732346E-2</v>
      </c>
      <c r="F14" s="37">
        <f>_xlfn.PERCENTILE.INC(Data!F2:F121, 0.01)</f>
        <v>-5.2599642607819221E-2</v>
      </c>
      <c r="H14" s="3">
        <f>Data!A14</f>
        <v>38383</v>
      </c>
      <c r="I14">
        <f>I13*(1+Data!B14)</f>
        <v>1.0526026516945135</v>
      </c>
      <c r="J14">
        <f>I14/MAX($I$2:I14) - 1</f>
        <v>0</v>
      </c>
      <c r="K14">
        <f>K13*(1+Data!C14)</f>
        <v>0.97065368567454791</v>
      </c>
      <c r="L14">
        <f>K14/MAX($K$2:K14) - 1</f>
        <v>-6.1962365591397894E-2</v>
      </c>
      <c r="M14">
        <f>M13*(1+Data!D14)</f>
        <v>1.2198205179655015</v>
      </c>
      <c r="N14">
        <f>M14/MAX($M$2:M14) - 1</f>
        <v>-2.6241659670363737E-2</v>
      </c>
      <c r="O14">
        <f>O13*(1+Data!E14)</f>
        <v>1.0402641129244683</v>
      </c>
      <c r="P14">
        <f>O14/MAX($O$2:O14) - 1</f>
        <v>-5.7600019640531297E-3</v>
      </c>
      <c r="Q14">
        <f>Q13*(1+Data!F14)</f>
        <v>1.0881685964982575</v>
      </c>
      <c r="R14">
        <f>Q14/MAX($Q$2:Q14) - 1</f>
        <v>0</v>
      </c>
    </row>
    <row r="15" spans="1:18" x14ac:dyDescent="0.2">
      <c r="A15" s="31" t="s">
        <v>89</v>
      </c>
      <c r="B15" s="32">
        <f>AVERAGEIF(Data!B2:B121, "&lt;="&amp;B13)</f>
        <v>-1.2979702164011397E-2</v>
      </c>
      <c r="C15" s="32">
        <f>AVERAGEIF(Data!C2:C121, "&lt;="&amp;C13)</f>
        <v>-0.11998938577716907</v>
      </c>
      <c r="D15" s="32">
        <f>AVERAGEIF(Data!D2:D121, "&lt;="&amp;D13)</f>
        <v>-0.15337411249665769</v>
      </c>
      <c r="E15" s="32">
        <f>AVERAGEIF(Data!E2:E121, "&lt;="&amp;E13)</f>
        <v>-2.2777600514587049E-2</v>
      </c>
      <c r="F15" s="22">
        <f>AVERAGEIF(Data!F2:F121, "&lt;="&amp;F13)</f>
        <v>-5.2624100369425331E-2</v>
      </c>
      <c r="H15" s="3">
        <f>Data!A15</f>
        <v>38411</v>
      </c>
      <c r="I15">
        <f>I14*(1+Data!B15)</f>
        <v>1.0477237367246157</v>
      </c>
      <c r="J15">
        <f>I15/MAX($I$2:I15) - 1</f>
        <v>-4.6350965979836678E-3</v>
      </c>
      <c r="K15">
        <f>K14*(1+Data!C15)</f>
        <v>0.9710709318497911</v>
      </c>
      <c r="L15">
        <f>K15/MAX($K$2:K15) - 1</f>
        <v>-6.1559139784946537E-2</v>
      </c>
      <c r="M15">
        <f>M14*(1+Data!D15)</f>
        <v>1.2925750897756132</v>
      </c>
      <c r="N15">
        <f>M15/MAX($M$2:M15) - 1</f>
        <v>0</v>
      </c>
      <c r="O15">
        <f>O14*(1+Data!E15)</f>
        <v>1.0590512901514926</v>
      </c>
      <c r="P15">
        <f>O15/MAX($O$2:O15) - 1</f>
        <v>0</v>
      </c>
      <c r="Q15">
        <f>Q14*(1+Data!F15)</f>
        <v>1.0818061621058539</v>
      </c>
      <c r="R15">
        <f>Q15/MAX($Q$2:Q15) - 1</f>
        <v>-5.8469196895388764E-3</v>
      </c>
    </row>
    <row r="16" spans="1:18" x14ac:dyDescent="0.2">
      <c r="A16" s="31" t="s">
        <v>163</v>
      </c>
      <c r="B16" s="34">
        <f>AVERAGEIF(Data!B2:B121, "&lt;="&amp;B14)</f>
        <v>-1.6568380940328475E-2</v>
      </c>
      <c r="C16" s="34">
        <f>AVERAGEIF(Data!C2:C121, "&lt;="&amp;C14)</f>
        <v>-0.15259519876584188</v>
      </c>
      <c r="D16" s="34">
        <f>AVERAGEIF(Data!D2:D121, "&lt;="&amp;D14)</f>
        <v>-0.23471650071202649</v>
      </c>
      <c r="E16" s="34">
        <f>AVERAGEIF(Data!E2:E121, "&lt;="&amp;E14)</f>
        <v>-2.7318726205252608E-2</v>
      </c>
      <c r="F16" s="35">
        <f>AVERAGEIF(Data!F2:F121, "&lt;="&amp;F14)</f>
        <v>-7.4086158254690893E-2</v>
      </c>
      <c r="H16" s="3">
        <f>Data!A16</f>
        <v>38442</v>
      </c>
      <c r="I16">
        <f>I15*(1+Data!B16)</f>
        <v>1.0457789352634779</v>
      </c>
      <c r="J16">
        <f>I16/MAX($I$2:I16) - 1</f>
        <v>-6.4827087600916045E-3</v>
      </c>
      <c r="K16">
        <f>K15*(1+Data!C16)</f>
        <v>0.94881780250347691</v>
      </c>
      <c r="L16">
        <f>K16/MAX($K$2:K16) - 1</f>
        <v>-8.3064516129032429E-2</v>
      </c>
      <c r="M16">
        <f>M15*(1+Data!D16)</f>
        <v>1.3081500342496559</v>
      </c>
      <c r="N16">
        <f>M16/MAX($M$2:M16) - 1</f>
        <v>0</v>
      </c>
      <c r="O16">
        <f>O15*(1+Data!E16)</f>
        <v>1.052686388666872</v>
      </c>
      <c r="P16">
        <f>O16/MAX($O$2:O16) - 1</f>
        <v>-6.0100030506644586E-3</v>
      </c>
      <c r="Q16">
        <f>Q15*(1+Data!F16)</f>
        <v>1.0786970631836217</v>
      </c>
      <c r="R16">
        <f>Q16/MAX($Q$2:Q16) - 1</f>
        <v>-8.7041046259883625E-3</v>
      </c>
    </row>
    <row r="17" spans="1:18" x14ac:dyDescent="0.2">
      <c r="A17" s="31" t="s">
        <v>90</v>
      </c>
      <c r="B17">
        <f>(B2 - AVERAGE(Factors!AB4:AB123)) / B4</f>
        <v>0.32340151767367575</v>
      </c>
      <c r="C17">
        <f>(C2 - AVERAGE(Factors!AB4:AB123)) / C4</f>
        <v>0.10571519196040595</v>
      </c>
      <c r="D17">
        <f>(D2 - AVERAGE(Factors!AB4:AB123)) / D4</f>
        <v>8.9607294000400906E-2</v>
      </c>
      <c r="E17">
        <f>(E2 - AVERAGE(Factors!AB4:AB123)) / E4</f>
        <v>0.15964787036318087</v>
      </c>
      <c r="F17" s="18">
        <f>(F2 - AVERAGE(Factors!AB4:AB123)) / F4</f>
        <v>0.15613126245575423</v>
      </c>
      <c r="H17" s="3">
        <f>Data!A17</f>
        <v>38471</v>
      </c>
      <c r="I17">
        <f>I16*(1+Data!B17)</f>
        <v>1.0573547317865111</v>
      </c>
      <c r="J17">
        <f>I17/MAX($I$2:I17) - 1</f>
        <v>0</v>
      </c>
      <c r="K17">
        <f>K16*(1+Data!C17)</f>
        <v>0.91126564673157151</v>
      </c>
      <c r="L17">
        <f>K17/MAX($K$2:K17) - 1</f>
        <v>-0.11935483870967756</v>
      </c>
      <c r="M17">
        <f>M16*(1+Data!D17)</f>
        <v>1.2503684432666562</v>
      </c>
      <c r="N17">
        <f>M17/MAX($M$2:M17) - 1</f>
        <v>-4.4170461697952579E-2</v>
      </c>
      <c r="O17">
        <f>O16*(1+Data!E17)</f>
        <v>1.0415173837890161</v>
      </c>
      <c r="P17">
        <f>O17/MAX($O$2:O17) - 1</f>
        <v>-1.6556239084481228E-2</v>
      </c>
      <c r="Q17">
        <f>Q16*(1+Data!F17)</f>
        <v>1.1021515285067516</v>
      </c>
      <c r="R17">
        <f>Q17/MAX($Q$2:Q17) - 1</f>
        <v>0</v>
      </c>
    </row>
    <row r="18" spans="1:18" x14ac:dyDescent="0.2">
      <c r="A18" s="31" t="s">
        <v>91</v>
      </c>
      <c r="B18">
        <f>B17 *SQRT(12)</f>
        <v>1.1202957197113812</v>
      </c>
      <c r="C18">
        <f t="shared" ref="C18:F18" si="5">C17 *SQRT(12)</f>
        <v>0.36620816721464</v>
      </c>
      <c r="D18">
        <f t="shared" si="5"/>
        <v>0.31040877187491239</v>
      </c>
      <c r="E18">
        <f t="shared" si="5"/>
        <v>0.55303644557839771</v>
      </c>
      <c r="F18" s="18">
        <f t="shared" si="5"/>
        <v>0.5408545584464749</v>
      </c>
      <c r="H18" s="3">
        <f>Data!A18</f>
        <v>38503</v>
      </c>
      <c r="I18">
        <f>I17*(1+Data!B18)</f>
        <v>1.0656835554352968</v>
      </c>
      <c r="J18">
        <f>I18/MAX($I$2:I18) - 1</f>
        <v>0</v>
      </c>
      <c r="K18">
        <f>K17*(1+Data!C18)</f>
        <v>0.98219749652294852</v>
      </c>
      <c r="L18">
        <f>K18/MAX($K$2:K18) - 1</f>
        <v>-5.0806451612903203E-2</v>
      </c>
      <c r="M18">
        <f>M17*(1+Data!D18)</f>
        <v>1.2357414185584703</v>
      </c>
      <c r="N18">
        <f>M18/MAX($M$2:M18) - 1</f>
        <v>-5.5351919730460164E-2</v>
      </c>
      <c r="O18">
        <f>O17*(1+Data!E18)</f>
        <v>1.0451106218558845</v>
      </c>
      <c r="P18">
        <f>O18/MAX($O$2:O18) - 1</f>
        <v>-1.31633551889766E-2</v>
      </c>
      <c r="Q18">
        <f>Q17*(1+Data!F18)</f>
        <v>1.1084097920589775</v>
      </c>
      <c r="R18">
        <f>Q18/MAX($Q$2:Q18) - 1</f>
        <v>0</v>
      </c>
    </row>
    <row r="19" spans="1:18" x14ac:dyDescent="0.2">
      <c r="A19" s="33" t="s">
        <v>92</v>
      </c>
      <c r="B19" s="20">
        <f>MIN(J2:J121)</f>
        <v>-2.8466628612502709E-2</v>
      </c>
      <c r="C19" s="20">
        <f>MIN(L2:L121)</f>
        <v>-0.50806047862220882</v>
      </c>
      <c r="D19" s="20">
        <f>MIN(N2:N121)</f>
        <v>-0.62329574803927423</v>
      </c>
      <c r="E19" s="20">
        <f>MIN(P2:P121)</f>
        <v>-8.0200885725704829E-2</v>
      </c>
      <c r="F19" s="21">
        <f>MIN(R2:R121)</f>
        <v>-0.13545668168123737</v>
      </c>
      <c r="H19" s="3">
        <f>Data!A19</f>
        <v>38533</v>
      </c>
      <c r="I19">
        <f>I18*(1+Data!B19)</f>
        <v>1.0695477913819926</v>
      </c>
      <c r="J19">
        <f>I19/MAX($I$2:I19) - 1</f>
        <v>0</v>
      </c>
      <c r="K19">
        <f>K18*(1+Data!C19)</f>
        <v>0.96509040333796936</v>
      </c>
      <c r="L19">
        <f>K19/MAX($K$2:K19) - 1</f>
        <v>-6.7338709677419395E-2</v>
      </c>
      <c r="M19">
        <f>M18*(1+Data!D19)</f>
        <v>1.2306281871207458</v>
      </c>
      <c r="N19">
        <f>M19/MAX($M$2:M19) - 1</f>
        <v>-5.926066972384858E-2</v>
      </c>
      <c r="O19">
        <f>O18*(1+Data!E19)</f>
        <v>1.0561365406955157</v>
      </c>
      <c r="P19">
        <f>O19/MAX($O$2:O19) - 1</f>
        <v>-2.7522269063663396E-3</v>
      </c>
      <c r="Q19">
        <f>Q18*(1+Data!F19)</f>
        <v>1.1118634560679521</v>
      </c>
      <c r="R19">
        <f>Q19/MAX($Q$2:Q19) - 1</f>
        <v>0</v>
      </c>
    </row>
    <row r="20" spans="1:18" ht="16" thickBot="1" x14ac:dyDescent="0.25">
      <c r="H20" s="3">
        <f>Data!A20</f>
        <v>38562</v>
      </c>
      <c r="I20">
        <f>I19*(1+Data!B20)</f>
        <v>1.0641869038760736</v>
      </c>
      <c r="J20">
        <f>I20/MAX($I$2:I20) - 1</f>
        <v>-5.0122935591238038E-3</v>
      </c>
      <c r="K20">
        <f>K19*(1+Data!C20)</f>
        <v>1.021557719054242</v>
      </c>
      <c r="L20">
        <f>K20/MAX($K$2:K20) - 1</f>
        <v>-1.2768817204301119E-2</v>
      </c>
      <c r="M20">
        <f>M19*(1+Data!D20)</f>
        <v>1.3075273132355896</v>
      </c>
      <c r="N20">
        <f>M20/MAX($M$2:M20) - 1</f>
        <v>-4.7603179892397041E-4</v>
      </c>
      <c r="O20">
        <f>O19*(1+Data!E20)</f>
        <v>1.0639625067123968</v>
      </c>
      <c r="P20">
        <f>O20/MAX($O$2:O20) - 1</f>
        <v>0</v>
      </c>
      <c r="Q20">
        <f>Q19*(1+Data!F20)</f>
        <v>1.0930085339957536</v>
      </c>
      <c r="R20">
        <f>Q20/MAX($Q$2:Q20) - 1</f>
        <v>-1.6957947461352818E-2</v>
      </c>
    </row>
    <row r="21" spans="1:18" x14ac:dyDescent="0.2">
      <c r="A21" s="5" t="s">
        <v>165</v>
      </c>
      <c r="B21" s="5" t="s">
        <v>0</v>
      </c>
      <c r="C21" s="5" t="s">
        <v>1</v>
      </c>
      <c r="D21" s="5" t="s">
        <v>2</v>
      </c>
      <c r="E21" s="5" t="s">
        <v>3</v>
      </c>
      <c r="F21" s="5" t="s">
        <v>4</v>
      </c>
      <c r="H21" s="3">
        <f>Data!A21</f>
        <v>38595</v>
      </c>
      <c r="I21">
        <f>I20*(1+Data!B21)</f>
        <v>1.0736149631333287</v>
      </c>
      <c r="J21">
        <f>I21/MAX($I$2:I21) - 1</f>
        <v>0</v>
      </c>
      <c r="K21">
        <f>K20*(1+Data!C21)</f>
        <v>1.0191933240611961</v>
      </c>
      <c r="L21">
        <f>K21/MAX($K$2:K21) - 1</f>
        <v>-1.5053763440860179E-2</v>
      </c>
      <c r="M21">
        <f>M20*(1+Data!D21)</f>
        <v>1.3358611193756187</v>
      </c>
      <c r="N21">
        <f>M21/MAX($M$2:M21) - 1</f>
        <v>0</v>
      </c>
      <c r="O21">
        <f>O20*(1+Data!E21)</f>
        <v>1.0716762330193905</v>
      </c>
      <c r="P21">
        <f>O21/MAX($O$2:O21) - 1</f>
        <v>0</v>
      </c>
      <c r="Q21">
        <f>Q20*(1+Data!F21)</f>
        <v>1.1177210625425704</v>
      </c>
      <c r="R21">
        <f>Q21/MAX($Q$2:Q21) - 1</f>
        <v>0</v>
      </c>
    </row>
    <row r="22" spans="1:18" x14ac:dyDescent="0.2">
      <c r="A22" t="s">
        <v>0</v>
      </c>
      <c r="B22">
        <v>1</v>
      </c>
      <c r="H22" s="3">
        <f>Data!A22</f>
        <v>38625</v>
      </c>
      <c r="I22">
        <f>I21*(1+Data!B22)</f>
        <v>1.0679665832375023</v>
      </c>
      <c r="J22">
        <f>I22/MAX($I$2:I22) - 1</f>
        <v>-5.2610852957393206E-3</v>
      </c>
      <c r="K22">
        <f>K21*(1+Data!C22)</f>
        <v>1.0221140472878998</v>
      </c>
      <c r="L22">
        <f>K22/MAX($K$2:K22) - 1</f>
        <v>-1.2231182795699014E-2</v>
      </c>
      <c r="M22">
        <f>M21*(1+Data!D22)</f>
        <v>1.3601749154137293</v>
      </c>
      <c r="N22">
        <f>M22/MAX($M$2:M22) - 1</f>
        <v>0</v>
      </c>
      <c r="O22">
        <f>O21*(1+Data!E22)</f>
        <v>1.0942671739599699</v>
      </c>
      <c r="P22">
        <f>O22/MAX($O$2:O22) - 1</f>
        <v>0</v>
      </c>
      <c r="Q22">
        <f>Q21*(1+Data!F22)</f>
        <v>1.1139548860130621</v>
      </c>
      <c r="R22">
        <f>Q22/MAX($Q$2:Q22) - 1</f>
        <v>-3.3695137863296587E-3</v>
      </c>
    </row>
    <row r="23" spans="1:18" x14ac:dyDescent="0.2">
      <c r="A23" t="s">
        <v>1</v>
      </c>
      <c r="B23">
        <v>-0.14089657020278853</v>
      </c>
      <c r="C23">
        <v>1</v>
      </c>
      <c r="H23" s="3">
        <f>Data!A23</f>
        <v>38656</v>
      </c>
      <c r="I23">
        <f>I22*(1+Data!B23)</f>
        <v>1.0605256037340185</v>
      </c>
      <c r="J23">
        <f>I23/MAX($I$2:I23) - 1</f>
        <v>-1.2191856344018426E-2</v>
      </c>
      <c r="K23">
        <f>K22*(1+Data!C23)</f>
        <v>0.99972183588317098</v>
      </c>
      <c r="L23">
        <f>K23/MAX($K$2:K23) - 1</f>
        <v>-3.3870967741935543E-2</v>
      </c>
      <c r="M23">
        <f>M22*(1+Data!D23)</f>
        <v>1.4251039598137378</v>
      </c>
      <c r="N23">
        <f>M23/MAX($M$2:M23) - 1</f>
        <v>0</v>
      </c>
      <c r="O23">
        <f>O22*(1+Data!E23)</f>
        <v>1.087329514716072</v>
      </c>
      <c r="P23">
        <f>O23/MAX($O$2:O23) - 1</f>
        <v>-6.3400048991615332E-3</v>
      </c>
      <c r="Q23">
        <f>Q22*(1+Data!F23)</f>
        <v>1.1005729396209791</v>
      </c>
      <c r="R23">
        <f>Q23/MAX($Q$2:Q23) - 1</f>
        <v>-1.5342041495203684E-2</v>
      </c>
    </row>
    <row r="24" spans="1:18" x14ac:dyDescent="0.2">
      <c r="A24" t="s">
        <v>2</v>
      </c>
      <c r="B24">
        <v>-7.0024010046632099E-2</v>
      </c>
      <c r="C24">
        <v>0.48638568691395556</v>
      </c>
      <c r="D24">
        <v>1</v>
      </c>
      <c r="H24" s="3">
        <f>Data!A24</f>
        <v>38686</v>
      </c>
      <c r="I24">
        <f>I23*(1+Data!B24)</f>
        <v>1.0639755124129062</v>
      </c>
      <c r="J24">
        <f>I24/MAX($I$2:I24) - 1</f>
        <v>-8.978498857998285E-3</v>
      </c>
      <c r="K24">
        <f>K23*(1+Data!C24)</f>
        <v>1.0636995827538247</v>
      </c>
      <c r="L24">
        <f>K24/MAX($K$2:K24) - 1</f>
        <v>0</v>
      </c>
      <c r="M24">
        <f>M23*(1+Data!D24)</f>
        <v>1.5575636386280769</v>
      </c>
      <c r="N24">
        <f>M24/MAX($M$2:M24) - 1</f>
        <v>0</v>
      </c>
      <c r="O24">
        <f>O23*(1+Data!E24)</f>
        <v>1.1032262799571839</v>
      </c>
      <c r="P24">
        <f>O24/MAX($O$2:O24) - 1</f>
        <v>0</v>
      </c>
      <c r="Q24">
        <f>Q23*(1+Data!F24)</f>
        <v>1.1021835810729603</v>
      </c>
      <c r="R24">
        <f>Q24/MAX($Q$2:Q24) - 1</f>
        <v>-1.3901036663177546E-2</v>
      </c>
    </row>
    <row r="25" spans="1:18" x14ac:dyDescent="0.2">
      <c r="A25" t="s">
        <v>3</v>
      </c>
      <c r="B25">
        <v>3.2551130504513914E-2</v>
      </c>
      <c r="C25">
        <v>0.22608792246907691</v>
      </c>
      <c r="D25">
        <v>0.38194849573286171</v>
      </c>
      <c r="E25">
        <v>1</v>
      </c>
      <c r="H25" s="3">
        <f>Data!A25</f>
        <v>38716</v>
      </c>
      <c r="I25">
        <f>I24*(1+Data!B25)</f>
        <v>1.0743844280592567</v>
      </c>
      <c r="J25">
        <f>I25/MAX($I$2:I25) - 1</f>
        <v>0</v>
      </c>
      <c r="K25">
        <f>K24*(1+Data!C25)</f>
        <v>1.0325452016689844</v>
      </c>
      <c r="L25">
        <f>K25/MAX($K$2:K25) - 1</f>
        <v>-2.9288702928870536E-2</v>
      </c>
      <c r="M25">
        <f>M24*(1+Data!D25)</f>
        <v>1.6719713271568637</v>
      </c>
      <c r="N25">
        <f>M25/MAX($M$2:M25) - 1</f>
        <v>0</v>
      </c>
      <c r="O25">
        <f>O24*(1+Data!E25)</f>
        <v>1.1172924124824144</v>
      </c>
      <c r="P25">
        <f>O25/MAX($O$2:O25) - 1</f>
        <v>0</v>
      </c>
      <c r="Q25">
        <f>Q24*(1+Data!F25)</f>
        <v>1.1107255899675474</v>
      </c>
      <c r="R25">
        <f>Q25/MAX($Q$2:Q25) - 1</f>
        <v>-6.2586926286508637E-3</v>
      </c>
    </row>
    <row r="26" spans="1:18" ht="16" thickBot="1" x14ac:dyDescent="0.25">
      <c r="A26" s="4" t="s">
        <v>4</v>
      </c>
      <c r="B26" s="4">
        <v>0.66610041049709101</v>
      </c>
      <c r="C26" s="4">
        <v>0.1251869788513959</v>
      </c>
      <c r="D26" s="4">
        <v>0.22467057954807335</v>
      </c>
      <c r="E26" s="4">
        <v>0.1519540953810973</v>
      </c>
      <c r="F26" s="4">
        <v>1</v>
      </c>
      <c r="H26" s="3">
        <f>Data!A26</f>
        <v>38748</v>
      </c>
      <c r="I26">
        <f>I25*(1+Data!B26)</f>
        <v>1.0778427923966714</v>
      </c>
      <c r="J26">
        <f>I26/MAX($I$2:I26) - 1</f>
        <v>0</v>
      </c>
      <c r="K26">
        <f>K25*(1+Data!C26)</f>
        <v>1.0656467315716271</v>
      </c>
      <c r="L26">
        <f>K26/MAX($K$2:K26) - 1</f>
        <v>0</v>
      </c>
      <c r="M26">
        <f>M25*(1+Data!D26)</f>
        <v>1.8675679976751751</v>
      </c>
      <c r="N26">
        <f>M26/MAX($M$2:M26) - 1</f>
        <v>0</v>
      </c>
      <c r="O26">
        <f>O25*(1+Data!E26)</f>
        <v>1.1441185956644129</v>
      </c>
      <c r="P26">
        <f>O26/MAX($O$2:O26) - 1</f>
        <v>0</v>
      </c>
      <c r="Q26">
        <f>Q25*(1+Data!F26)</f>
        <v>1.1118714692095042</v>
      </c>
      <c r="R26">
        <f>Q26/MAX($Q$2:Q26) - 1</f>
        <v>-5.2335001362143752E-3</v>
      </c>
    </row>
    <row r="27" spans="1:18" x14ac:dyDescent="0.2">
      <c r="H27" s="3">
        <f>Data!A27</f>
        <v>38776</v>
      </c>
      <c r="I27">
        <f>I26*(1+Data!B27)</f>
        <v>1.082865453561523</v>
      </c>
      <c r="J27">
        <f>I27/MAX($I$2:I27) - 1</f>
        <v>0</v>
      </c>
      <c r="K27">
        <f>K26*(1+Data!C27)</f>
        <v>1.0559109874826145</v>
      </c>
      <c r="L27">
        <f>K27/MAX($K$2:K27) - 1</f>
        <v>-9.1359958235449623E-3</v>
      </c>
      <c r="M27">
        <f>M26*(1+Data!D27)</f>
        <v>1.834287019034506</v>
      </c>
      <c r="N27">
        <f>M27/MAX($M$2:M27) - 1</f>
        <v>-1.78204909711982E-2</v>
      </c>
      <c r="O27">
        <f>O26*(1+Data!E27)</f>
        <v>1.1387183657515114</v>
      </c>
      <c r="P27">
        <f>O27/MAX($O$2:O27) - 1</f>
        <v>-4.7199913832056684E-3</v>
      </c>
      <c r="Q27">
        <f>Q26*(1+Data!F27)</f>
        <v>1.1086341600224374</v>
      </c>
      <c r="R27">
        <f>Q27/MAX($Q$2:Q27) - 1</f>
        <v>-8.1298481568042869E-3</v>
      </c>
    </row>
    <row r="28" spans="1:18" x14ac:dyDescent="0.2">
      <c r="H28" s="3">
        <f>Data!A28</f>
        <v>38807</v>
      </c>
      <c r="I28">
        <f>I27*(1+Data!B28)</f>
        <v>1.0736826084015418</v>
      </c>
      <c r="J28">
        <f>I28/MAX($I$2:I28) - 1</f>
        <v>-8.480134932533856E-3</v>
      </c>
      <c r="K28">
        <f>K27*(1+Data!C28)</f>
        <v>1.0751043115438106</v>
      </c>
      <c r="L28">
        <f>K28/MAX($K$2:K28) - 1</f>
        <v>0</v>
      </c>
      <c r="M28">
        <f>M27*(1+Data!D28)</f>
        <v>1.973762687940662</v>
      </c>
      <c r="N28">
        <f>M28/MAX($M$2:M28) - 1</f>
        <v>0</v>
      </c>
      <c r="O28">
        <f>O27*(1+Data!E28)</f>
        <v>1.1517794565455999</v>
      </c>
      <c r="P28">
        <f>O28/MAX($O$2:O28) - 1</f>
        <v>0</v>
      </c>
      <c r="Q28">
        <f>Q27*(1+Data!F28)</f>
        <v>1.0900677110461163</v>
      </c>
      <c r="R28">
        <f>Q28/MAX($Q$2:Q28) - 1</f>
        <v>-2.4740834205583262E-2</v>
      </c>
    </row>
    <row r="29" spans="1:18" x14ac:dyDescent="0.2">
      <c r="H29" s="3">
        <f>Data!A29</f>
        <v>38835</v>
      </c>
      <c r="I29">
        <f>I28*(1+Data!B29)</f>
        <v>1.0737417980112285</v>
      </c>
      <c r="J29">
        <f>I29/MAX($I$2:I29) - 1</f>
        <v>-8.4254747626189008E-3</v>
      </c>
      <c r="K29">
        <f>K28*(1+Data!C29)</f>
        <v>1.0628650904033379</v>
      </c>
      <c r="L29">
        <f>K29/MAX($K$2:K29) - 1</f>
        <v>-1.1384217335058011E-2</v>
      </c>
      <c r="M29">
        <f>M28*(1+Data!D29)</f>
        <v>2.4115909138084932</v>
      </c>
      <c r="N29">
        <f>M29/MAX($M$2:M29) - 1</f>
        <v>0</v>
      </c>
      <c r="O29">
        <f>O28*(1+Data!E29)</f>
        <v>1.1836146415438964</v>
      </c>
      <c r="P29">
        <f>O29/MAX($O$2:O29) - 1</f>
        <v>0</v>
      </c>
      <c r="Q29">
        <f>Q28*(1+Data!F29)</f>
        <v>1.092856284306263</v>
      </c>
      <c r="R29">
        <f>Q29/MAX($Q$2:Q29) - 1</f>
        <v>-2.2245960168045364E-2</v>
      </c>
    </row>
    <row r="30" spans="1:18" x14ac:dyDescent="0.2">
      <c r="H30" s="3">
        <f>Data!A30</f>
        <v>38868</v>
      </c>
      <c r="I30">
        <f>I29*(1+Data!B30)</f>
        <v>1.0717039843062972</v>
      </c>
      <c r="J30">
        <f>I30/MAX($I$2:I30) - 1</f>
        <v>-1.0307346326836719E-2</v>
      </c>
      <c r="K30">
        <f>K29*(1+Data!C30)</f>
        <v>0.98748261474269805</v>
      </c>
      <c r="L30">
        <f>K30/MAX($K$2:K30) - 1</f>
        <v>-8.1500646830530266E-2</v>
      </c>
      <c r="M30">
        <f>M29*(1+Data!D30)</f>
        <v>2.6245476623745052</v>
      </c>
      <c r="N30">
        <f>M30/MAX($M$2:M30) - 1</f>
        <v>0</v>
      </c>
      <c r="O30">
        <f>O29*(1+Data!E30)</f>
        <v>1.1674701369664058</v>
      </c>
      <c r="P30">
        <f>O30/MAX($O$2:O30) - 1</f>
        <v>-1.3640000732359825E-2</v>
      </c>
      <c r="Q30">
        <f>Q29*(1+Data!F30)</f>
        <v>1.0953163187627717</v>
      </c>
      <c r="R30">
        <f>Q30/MAX($Q$2:Q30) - 1</f>
        <v>-2.0045022439527882E-2</v>
      </c>
    </row>
    <row r="31" spans="1:18" x14ac:dyDescent="0.2">
      <c r="H31" s="3">
        <f>Data!A31</f>
        <v>38898</v>
      </c>
      <c r="I31">
        <f>I30*(1+Data!B31)</f>
        <v>1.0737756206453353</v>
      </c>
      <c r="J31">
        <f>I31/MAX($I$2:I31) - 1</f>
        <v>-8.3942403798102916E-3</v>
      </c>
      <c r="K31">
        <f>K30*(1+Data!C31)</f>
        <v>0.97121001390820572</v>
      </c>
      <c r="L31">
        <f>K31/MAX($K$2:K31) - 1</f>
        <v>-9.6636481241914485E-2</v>
      </c>
      <c r="M31">
        <f>M30*(1+Data!D31)</f>
        <v>2.488635341493286</v>
      </c>
      <c r="N31">
        <f>M31/MAX($M$2:M31) - 1</f>
        <v>-5.1785045792712037E-2</v>
      </c>
      <c r="O31">
        <f>O30*(1+Data!E31)</f>
        <v>1.1618195881194491</v>
      </c>
      <c r="P31">
        <f>O31/MAX($O$2:O31) - 1</f>
        <v>-1.8413977539191384E-2</v>
      </c>
      <c r="Q31">
        <f>Q30*(1+Data!F31)</f>
        <v>1.0998197043150777</v>
      </c>
      <c r="R31">
        <f>Q31/MAX($Q$2:Q31) - 1</f>
        <v>-1.6015944252469438E-2</v>
      </c>
    </row>
    <row r="32" spans="1:18" x14ac:dyDescent="0.2">
      <c r="H32" s="3">
        <f>Data!A32</f>
        <v>38929</v>
      </c>
      <c r="I32">
        <f>I31*(1+Data!B32)</f>
        <v>1.0891564635053772</v>
      </c>
      <c r="J32">
        <f>I32/MAX($I$2:I32) - 1</f>
        <v>0</v>
      </c>
      <c r="K32">
        <f>K31*(1+Data!C32)</f>
        <v>0.93449235048678714</v>
      </c>
      <c r="L32">
        <f>K32/MAX($K$2:K32) - 1</f>
        <v>-0.13078913324708907</v>
      </c>
      <c r="M32">
        <f>M31*(1+Data!D32)</f>
        <v>2.6483494433566057</v>
      </c>
      <c r="N32">
        <f>M32/MAX($M$2:M32) - 1</f>
        <v>0</v>
      </c>
      <c r="O32">
        <f>O31*(1+Data!E32)</f>
        <v>1.1587988574711552</v>
      </c>
      <c r="P32">
        <f>O32/MAX($O$2:O32) - 1</f>
        <v>-2.096610096033602E-2</v>
      </c>
      <c r="Q32">
        <f>Q31*(1+Data!F32)</f>
        <v>1.1159902239673074</v>
      </c>
      <c r="R32">
        <f>Q32/MAX($Q$2:Q32) - 1</f>
        <v>-1.5485425060576263E-3</v>
      </c>
    </row>
    <row r="33" spans="8:18" x14ac:dyDescent="0.2">
      <c r="H33" s="3">
        <f>Data!A33</f>
        <v>38960</v>
      </c>
      <c r="I33">
        <f>I32*(1+Data!B33)</f>
        <v>1.1049854562673334</v>
      </c>
      <c r="J33">
        <f>I33/MAX($I$2:I33) - 1</f>
        <v>0</v>
      </c>
      <c r="K33">
        <f>K32*(1+Data!C33)</f>
        <v>1.0127955493741305</v>
      </c>
      <c r="L33">
        <f>K33/MAX($K$2:K33) - 1</f>
        <v>-5.7956015523932702E-2</v>
      </c>
      <c r="M33">
        <f>M32*(1+Data!D33)</f>
        <v>2.6873871318162013</v>
      </c>
      <c r="N33">
        <f>M33/MAX($M$2:M33) - 1</f>
        <v>0</v>
      </c>
      <c r="O33">
        <f>O32*(1+Data!E33)</f>
        <v>1.1614872662786548</v>
      </c>
      <c r="P33">
        <f>O33/MAX($O$2:O33) - 1</f>
        <v>-1.8694746151820874E-2</v>
      </c>
      <c r="Q33">
        <f>Q32*(1+Data!F33)</f>
        <v>1.1340037661765305</v>
      </c>
      <c r="R33">
        <f>Q33/MAX($Q$2:Q33) - 1</f>
        <v>0</v>
      </c>
    </row>
    <row r="34" spans="8:18" x14ac:dyDescent="0.2">
      <c r="H34" s="3">
        <f>Data!A34</f>
        <v>38989</v>
      </c>
      <c r="I34">
        <f>I33*(1+Data!B34)</f>
        <v>1.1127139281607246</v>
      </c>
      <c r="J34">
        <f>I34/MAX($I$2:I34) - 1</f>
        <v>0</v>
      </c>
      <c r="K34">
        <f>K33*(1+Data!C34)</f>
        <v>1.0534075104311542</v>
      </c>
      <c r="L34">
        <f>K34/MAX($K$2:K34) - 1</f>
        <v>-2.0181112548512181E-2</v>
      </c>
      <c r="M34">
        <f>M33*(1+Data!D34)</f>
        <v>2.7202460439917808</v>
      </c>
      <c r="N34">
        <f>M34/MAX($M$2:M34) - 1</f>
        <v>0</v>
      </c>
      <c r="O34">
        <f>O33*(1+Data!E34)</f>
        <v>1.1526599592192821</v>
      </c>
      <c r="P34">
        <f>O34/MAX($O$2:O34) - 1</f>
        <v>-2.6152669321695132E-2</v>
      </c>
      <c r="Q34">
        <f>Q33*(1+Data!F34)</f>
        <v>1.1375696141672353</v>
      </c>
      <c r="R34">
        <f>Q34/MAX($Q$2:Q34) - 1</f>
        <v>0</v>
      </c>
    </row>
    <row r="35" spans="8:18" x14ac:dyDescent="0.2">
      <c r="H35" s="3">
        <f>Data!A35</f>
        <v>39021</v>
      </c>
      <c r="I35">
        <f>I34*(1+Data!B35)</f>
        <v>1.1207806263951832</v>
      </c>
      <c r="J35">
        <f>I35/MAX($I$2:I35) - 1</f>
        <v>0</v>
      </c>
      <c r="K35">
        <f>K34*(1+Data!C35)</f>
        <v>1.0968011126564672</v>
      </c>
      <c r="L35">
        <f>K35/MAX($K$2:K35) - 1</f>
        <v>0</v>
      </c>
      <c r="M35">
        <f>M34*(1+Data!D35)</f>
        <v>2.9369737142540848</v>
      </c>
      <c r="N35">
        <f>M35/MAX($M$2:M35) - 1</f>
        <v>0</v>
      </c>
      <c r="O35">
        <f>O34*(1+Data!E35)</f>
        <v>1.1657657086178768</v>
      </c>
      <c r="P35">
        <f>O35/MAX($O$2:O35) - 1</f>
        <v>-1.5080020388002047E-2</v>
      </c>
      <c r="Q35">
        <f>Q34*(1+Data!F35)</f>
        <v>1.1350695140029661</v>
      </c>
      <c r="R35">
        <f>Q35/MAX($Q$2:Q35) - 1</f>
        <v>-2.1977557532595338E-3</v>
      </c>
    </row>
    <row r="36" spans="8:18" x14ac:dyDescent="0.2">
      <c r="H36" s="3">
        <f>Data!A36</f>
        <v>39051</v>
      </c>
      <c r="I36">
        <f>I35*(1+Data!B36)</f>
        <v>1.1336332273557461</v>
      </c>
      <c r="J36">
        <f>I36/MAX($I$2:I36) - 1</f>
        <v>0</v>
      </c>
      <c r="K36">
        <f>K35*(1+Data!C36)</f>
        <v>1.1324061196105701</v>
      </c>
      <c r="L36">
        <f>K36/MAX($K$2:K36) - 1</f>
        <v>0</v>
      </c>
      <c r="M36">
        <f>M35*(1+Data!D36)</f>
        <v>2.9571429559874631</v>
      </c>
      <c r="N36">
        <f>M36/MAX($M$2:M36) - 1</f>
        <v>0</v>
      </c>
      <c r="O36">
        <f>O35*(1+Data!E36)</f>
        <v>1.1932428102803219</v>
      </c>
      <c r="P36">
        <f>O36/MAX($O$2:O36) - 1</f>
        <v>0</v>
      </c>
      <c r="Q36">
        <f>Q35*(1+Data!F36)</f>
        <v>1.1478584879201903</v>
      </c>
      <c r="R36">
        <f>Q36/MAX($Q$2:Q36) - 1</f>
        <v>0</v>
      </c>
    </row>
    <row r="37" spans="8:18" x14ac:dyDescent="0.2">
      <c r="H37" s="3">
        <f>Data!A37</f>
        <v>39080</v>
      </c>
      <c r="I37">
        <f>I36*(1+Data!B37)</f>
        <v>1.1305130893593989</v>
      </c>
      <c r="J37">
        <f>I37/MAX($I$2:I37) - 1</f>
        <v>-2.7523346361548739E-3</v>
      </c>
      <c r="K37">
        <f>K36*(1+Data!C37)</f>
        <v>1.1172461752433933</v>
      </c>
      <c r="L37">
        <f>K37/MAX($K$2:K37) - 1</f>
        <v>-1.3387374109555594E-2</v>
      </c>
      <c r="M37">
        <f>M36*(1+Data!D37)</f>
        <v>2.8816068969811877</v>
      </c>
      <c r="N37">
        <f>M37/MAX($M$2:M37) - 1</f>
        <v>-2.554359397922723E-2</v>
      </c>
      <c r="O37">
        <f>O36*(1+Data!E37)</f>
        <v>1.2083969888062442</v>
      </c>
      <c r="P37">
        <f>O37/MAX($O$2:O37) - 1</f>
        <v>0</v>
      </c>
      <c r="Q37">
        <f>Q36*(1+Data!F37)</f>
        <v>1.121855843583478</v>
      </c>
      <c r="R37">
        <f>Q37/MAX($Q$2:Q37) - 1</f>
        <v>-2.2653179473217655E-2</v>
      </c>
    </row>
    <row r="38" spans="8:18" x14ac:dyDescent="0.2">
      <c r="H38" s="3">
        <f>Data!A38</f>
        <v>39113</v>
      </c>
      <c r="I38">
        <f>I37*(1+Data!B38)</f>
        <v>1.1312402759926936</v>
      </c>
      <c r="J38">
        <f>I38/MAX($I$2:I38) - 1</f>
        <v>-2.1108691111976219E-3</v>
      </c>
      <c r="K38">
        <f>K37*(1+Data!C38)</f>
        <v>1.1349095966620302</v>
      </c>
      <c r="L38">
        <f>K38/MAX($K$2:K38) - 1</f>
        <v>0</v>
      </c>
      <c r="M38">
        <f>M37*(1+Data!D38)</f>
        <v>2.7607021525389723</v>
      </c>
      <c r="N38">
        <f>M38/MAX($M$2:M38) - 1</f>
        <v>-6.6429254984358477E-2</v>
      </c>
      <c r="O38">
        <f>O37*(1+Data!E38)</f>
        <v>1.2128898425152355</v>
      </c>
      <c r="P38">
        <f>O38/MAX($O$2:O38) - 1</f>
        <v>0</v>
      </c>
      <c r="Q38">
        <f>Q37*(1+Data!F38)</f>
        <v>1.1248207059577719</v>
      </c>
      <c r="R38">
        <f>Q38/MAX($Q$2:Q38) - 1</f>
        <v>-2.0070228346841468E-2</v>
      </c>
    </row>
    <row r="39" spans="8:18" x14ac:dyDescent="0.2">
      <c r="H39" s="3">
        <f>Data!A39</f>
        <v>39141</v>
      </c>
      <c r="I39">
        <f>I38*(1+Data!B39)</f>
        <v>1.1451921125617255</v>
      </c>
      <c r="J39">
        <f>I39/MAX($I$2:I39) - 1</f>
        <v>0</v>
      </c>
      <c r="K39">
        <f>K38*(1+Data!C39)</f>
        <v>1.0999999999999996</v>
      </c>
      <c r="L39">
        <f>K39/MAX($K$2:K39) - 1</f>
        <v>-3.0759803921568629E-2</v>
      </c>
      <c r="M39">
        <f>M38*(1+Data!D39)</f>
        <v>2.9165623032374577</v>
      </c>
      <c r="N39">
        <f>M39/MAX($M$2:M39) - 1</f>
        <v>-1.3722925592027924E-2</v>
      </c>
      <c r="O39">
        <f>O38*(1+Data!E39)</f>
        <v>1.2155989969479333</v>
      </c>
      <c r="P39">
        <f>O39/MAX($O$2:O39) - 1</f>
        <v>0</v>
      </c>
      <c r="Q39">
        <f>Q38*(1+Data!F39)</f>
        <v>1.148291197564006</v>
      </c>
      <c r="R39">
        <f>Q39/MAX($Q$2:Q39) - 1</f>
        <v>0</v>
      </c>
    </row>
    <row r="40" spans="8:18" x14ac:dyDescent="0.2">
      <c r="H40" s="3">
        <f>Data!A40</f>
        <v>39171</v>
      </c>
      <c r="I40">
        <f>I39*(1+Data!B40)</f>
        <v>1.1482107826557526</v>
      </c>
      <c r="J40">
        <f>I40/MAX($I$2:I40) - 1</f>
        <v>0</v>
      </c>
      <c r="K40">
        <f>K39*(1+Data!C40)</f>
        <v>1.1062586926286506</v>
      </c>
      <c r="L40">
        <f>K40/MAX($K$2:K40) - 1</f>
        <v>-2.5245098039215597E-2</v>
      </c>
      <c r="M40">
        <f>M39*(1+Data!D40)</f>
        <v>3.0835899174548702</v>
      </c>
      <c r="N40">
        <f>M40/MAX($M$2:M40) - 1</f>
        <v>0</v>
      </c>
      <c r="O40">
        <f>O39*(1+Data!E40)</f>
        <v>1.214508774071565</v>
      </c>
      <c r="P40">
        <f>O40/MAX($O$2:O40) - 1</f>
        <v>-8.9686062517779774E-4</v>
      </c>
      <c r="Q40">
        <f>Q39*(1+Data!F40)</f>
        <v>1.1538362915180906</v>
      </c>
      <c r="R40">
        <f>Q40/MAX($Q$2:Q40) - 1</f>
        <v>0</v>
      </c>
    </row>
    <row r="41" spans="8:18" x14ac:dyDescent="0.2">
      <c r="H41" s="3">
        <f>Data!A41</f>
        <v>39202</v>
      </c>
      <c r="I41">
        <f>I40*(1+Data!B41)</f>
        <v>1.1538760738686322</v>
      </c>
      <c r="J41">
        <f>I41/MAX($I$2:I41) - 1</f>
        <v>0</v>
      </c>
      <c r="K41">
        <f>K40*(1+Data!C41)</f>
        <v>1.1660639777468702</v>
      </c>
      <c r="L41">
        <f>K41/MAX($K$2:K41) - 1</f>
        <v>0</v>
      </c>
      <c r="M41">
        <f>M40*(1+Data!D41)</f>
        <v>3.3621191888020925</v>
      </c>
      <c r="N41">
        <f>M41/MAX($M$2:M41) - 1</f>
        <v>0</v>
      </c>
      <c r="O41">
        <f>O40*(1+Data!E41)</f>
        <v>1.2342727371834488</v>
      </c>
      <c r="P41">
        <f>O41/MAX($O$2:O41) - 1</f>
        <v>0</v>
      </c>
      <c r="Q41">
        <f>Q40*(1+Data!F41)</f>
        <v>1.1629632597459847</v>
      </c>
      <c r="R41">
        <f>Q41/MAX($Q$2:Q41) - 1</f>
        <v>0</v>
      </c>
    </row>
    <row r="42" spans="8:18" x14ac:dyDescent="0.2">
      <c r="H42" s="3">
        <f>Data!A42</f>
        <v>39233</v>
      </c>
      <c r="I42">
        <f>I41*(1+Data!B42)</f>
        <v>1.1472468375837104</v>
      </c>
      <c r="J42">
        <f>I42/MAX($I$2:I42) - 1</f>
        <v>-5.7451891369025843E-3</v>
      </c>
      <c r="K42">
        <f>K41*(1+Data!C42)</f>
        <v>1.2123783031988871</v>
      </c>
      <c r="L42">
        <f>K42/MAX($K$2:K42) - 1</f>
        <v>0</v>
      </c>
      <c r="M42">
        <f>M41*(1+Data!D42)</f>
        <v>3.2632103344011849</v>
      </c>
      <c r="N42">
        <f>M42/MAX($M$2:M42) - 1</f>
        <v>-2.9418604411864502E-2</v>
      </c>
      <c r="O42">
        <f>O41*(1+Data!E42)</f>
        <v>1.2566221319989495</v>
      </c>
      <c r="P42">
        <f>O42/MAX($O$2:O42) - 1</f>
        <v>0</v>
      </c>
      <c r="Q42">
        <f>Q41*(1+Data!F42)</f>
        <v>1.1461036099202704</v>
      </c>
      <c r="R42">
        <f>Q42/MAX($Q$2:Q42) - 1</f>
        <v>-1.449714742441377E-2</v>
      </c>
    </row>
    <row r="43" spans="8:18" x14ac:dyDescent="0.2">
      <c r="H43" s="3">
        <f>Data!A43</f>
        <v>39262</v>
      </c>
      <c r="I43">
        <f>I42*(1+Data!B43)</f>
        <v>1.1424271122234992</v>
      </c>
      <c r="J43">
        <f>I43/MAX($I$2:I43) - 1</f>
        <v>-9.92217613694657E-3</v>
      </c>
      <c r="K43">
        <f>K42*(1+Data!C43)</f>
        <v>1.2203059805285115</v>
      </c>
      <c r="L43">
        <f>K43/MAX($K$2:K43) - 1</f>
        <v>0</v>
      </c>
      <c r="M43">
        <f>M42*(1+Data!D43)</f>
        <v>3.101102216194898</v>
      </c>
      <c r="N43">
        <f>M43/MAX($M$2:M43) - 1</f>
        <v>-7.7634657770771498E-2</v>
      </c>
      <c r="O43">
        <f>O42*(1+Data!E43)</f>
        <v>1.2755531680550638</v>
      </c>
      <c r="P43">
        <f>O43/MAX($O$2:O43) - 1</f>
        <v>0</v>
      </c>
      <c r="Q43">
        <f>Q42*(1+Data!F43)</f>
        <v>1.1442365479386205</v>
      </c>
      <c r="R43">
        <f>Q43/MAX($Q$2:Q43) - 1</f>
        <v>-1.610258247664198E-2</v>
      </c>
    </row>
    <row r="44" spans="8:18" x14ac:dyDescent="0.2">
      <c r="H44" s="3">
        <f>Data!A44</f>
        <v>39294</v>
      </c>
      <c r="I44">
        <f>I43*(1+Data!B44)</f>
        <v>1.1501640397754169</v>
      </c>
      <c r="J44">
        <f>I44/MAX($I$2:I44) - 1</f>
        <v>-3.2170127947708238E-3</v>
      </c>
      <c r="K44">
        <f>K43*(1+Data!C44)</f>
        <v>1.2147426981919329</v>
      </c>
      <c r="L44">
        <f>K44/MAX($K$2:K44) - 1</f>
        <v>-4.5589240939137854E-3</v>
      </c>
      <c r="M44">
        <f>M43*(1+Data!D44)</f>
        <v>3.1500826835124234</v>
      </c>
      <c r="N44">
        <f>M44/MAX($M$2:M44) - 1</f>
        <v>-6.3066326142118934E-2</v>
      </c>
      <c r="O44">
        <f>O43*(1+Data!E44)</f>
        <v>1.2856692943587837</v>
      </c>
      <c r="P44">
        <f>O44/MAX($O$2:O44) - 1</f>
        <v>0</v>
      </c>
      <c r="Q44">
        <f>Q43*(1+Data!F44)</f>
        <v>1.1703593893986151</v>
      </c>
      <c r="R44">
        <f>Q44/MAX($Q$2:Q44) - 1</f>
        <v>0</v>
      </c>
    </row>
    <row r="45" spans="8:18" x14ac:dyDescent="0.2">
      <c r="H45" s="3">
        <f>Data!A45</f>
        <v>39325</v>
      </c>
      <c r="I45">
        <f>I44*(1+Data!B45)</f>
        <v>1.1637015490766414</v>
      </c>
      <c r="J45">
        <f>I45/MAX($I$2:I45) - 1</f>
        <v>0</v>
      </c>
      <c r="K45">
        <f>K44*(1+Data!C45)</f>
        <v>1.24923504867872</v>
      </c>
      <c r="L45">
        <f>K45/MAX($K$2:K45) - 1</f>
        <v>0</v>
      </c>
      <c r="M45">
        <f>M44*(1+Data!D45)</f>
        <v>2.9141060147930835</v>
      </c>
      <c r="N45">
        <f>M45/MAX($M$2:M45) - 1</f>
        <v>-0.13325320991033451</v>
      </c>
      <c r="O45">
        <f>O44*(1+Data!E45)</f>
        <v>1.2585294778136753</v>
      </c>
      <c r="P45">
        <f>O45/MAX($O$2:O45) - 1</f>
        <v>-2.1109484891792651E-2</v>
      </c>
      <c r="Q45">
        <f>Q44*(1+Data!F45)</f>
        <v>1.1822909571697597</v>
      </c>
      <c r="R45">
        <f>Q45/MAX($Q$2:Q45) - 1</f>
        <v>0</v>
      </c>
    </row>
    <row r="46" spans="8:18" x14ac:dyDescent="0.2">
      <c r="H46" s="3">
        <f>Data!A46</f>
        <v>39353</v>
      </c>
      <c r="I46">
        <f>I45*(1+Data!B46)</f>
        <v>1.1726391801393485</v>
      </c>
      <c r="J46">
        <f>I46/MAX($I$2:I46) - 1</f>
        <v>0</v>
      </c>
      <c r="K46">
        <f>K45*(1+Data!C46)</f>
        <v>1.2965229485396381</v>
      </c>
      <c r="L46">
        <f>K46/MAX($K$2:K46) - 1</f>
        <v>0</v>
      </c>
      <c r="M46">
        <f>M45*(1+Data!D46)</f>
        <v>2.9980072927549872</v>
      </c>
      <c r="N46">
        <f>M46/MAX($M$2:M46) - 1</f>
        <v>-0.10829833078488704</v>
      </c>
      <c r="O46">
        <f>O45*(1+Data!E46)</f>
        <v>1.2991703426114971</v>
      </c>
      <c r="P46">
        <f>O46/MAX($O$2:O46) - 1</f>
        <v>0</v>
      </c>
      <c r="Q46">
        <f>Q45*(1+Data!F46)</f>
        <v>1.1941904723746957</v>
      </c>
      <c r="R46">
        <f>Q46/MAX($Q$2:Q46) - 1</f>
        <v>0</v>
      </c>
    </row>
    <row r="47" spans="8:18" x14ac:dyDescent="0.2">
      <c r="H47" s="3">
        <f>Data!A47</f>
        <v>39386</v>
      </c>
      <c r="I47">
        <f>I46*(1+Data!B47)</f>
        <v>1.1844855577352356</v>
      </c>
      <c r="J47">
        <f>I47/MAX($I$2:I47) - 1</f>
        <v>0</v>
      </c>
      <c r="K47">
        <f>K46*(1+Data!C47)</f>
        <v>1.389012517385257</v>
      </c>
      <c r="L47">
        <f>K47/MAX($K$2:K47) - 1</f>
        <v>0</v>
      </c>
      <c r="M47">
        <f>M46*(1+Data!D47)</f>
        <v>2.9435745570031897</v>
      </c>
      <c r="N47">
        <f>M47/MAX($M$2:M47) - 1</f>
        <v>-0.12448833854341379</v>
      </c>
      <c r="O47">
        <f>O46*(1+Data!E47)</f>
        <v>1.3414925173381622</v>
      </c>
      <c r="P47">
        <f>O47/MAX($O$2:O47) - 1</f>
        <v>0</v>
      </c>
      <c r="Q47">
        <f>Q46*(1+Data!F47)</f>
        <v>1.2111382667574835</v>
      </c>
      <c r="R47">
        <f>Q47/MAX($Q$2:Q47) - 1</f>
        <v>0</v>
      </c>
    </row>
    <row r="48" spans="8:18" x14ac:dyDescent="0.2">
      <c r="H48" s="3">
        <f>Data!A48</f>
        <v>39416</v>
      </c>
      <c r="I48">
        <f>I47*(1+Data!B48)</f>
        <v>1.2051342758574028</v>
      </c>
      <c r="J48">
        <f>I48/MAX($I$2:I48) - 1</f>
        <v>0</v>
      </c>
      <c r="K48">
        <f>K47*(1+Data!C48)</f>
        <v>1.277607788595271</v>
      </c>
      <c r="L48">
        <f>K48/MAX($K$2:K48) - 1</f>
        <v>-8.0204265545208653E-2</v>
      </c>
      <c r="M48">
        <f>M47*(1+Data!D48)</f>
        <v>2.7216229493451052</v>
      </c>
      <c r="N48">
        <f>M48/MAX($M$2:M48) - 1</f>
        <v>-0.19050372800293058</v>
      </c>
      <c r="O48">
        <f>O47*(1+Data!E48)</f>
        <v>1.3295211378546581</v>
      </c>
      <c r="P48">
        <f>O48/MAX($O$2:O48) - 1</f>
        <v>-8.9239256490659669E-3</v>
      </c>
      <c r="Q48">
        <f>Q47*(1+Data!F48)</f>
        <v>1.2644336712208031</v>
      </c>
      <c r="R48">
        <f>Q48/MAX($Q$2:Q48) - 1</f>
        <v>0</v>
      </c>
    </row>
    <row r="49" spans="8:18" x14ac:dyDescent="0.2">
      <c r="H49" s="3">
        <f>Data!A49</f>
        <v>39447</v>
      </c>
      <c r="I49">
        <f>I48*(1+Data!B49)</f>
        <v>1.208550361902184</v>
      </c>
      <c r="J49">
        <f>I49/MAX($I$2:I49) - 1</f>
        <v>0</v>
      </c>
      <c r="K49">
        <f>K48*(1+Data!C49)</f>
        <v>1.2969401947148815</v>
      </c>
      <c r="L49">
        <f>K49/MAX($K$2:K49) - 1</f>
        <v>-6.6286172023630741E-2</v>
      </c>
      <c r="M49">
        <f>M48*(1+Data!D49)</f>
        <v>2.5974177835283374</v>
      </c>
      <c r="N49">
        <f>M49/MAX($M$2:M49) - 1</f>
        <v>-0.2274462511087284</v>
      </c>
      <c r="O49">
        <f>O48*(1+Data!E49)</f>
        <v>1.3426121280361651</v>
      </c>
      <c r="P49">
        <f>O49/MAX($O$2:O49) - 1</f>
        <v>0</v>
      </c>
      <c r="Q49">
        <f>Q48*(1+Data!F49)</f>
        <v>1.2618935053487732</v>
      </c>
      <c r="R49">
        <f>Q49/MAX($Q$2:Q49) - 1</f>
        <v>-2.008935644348453E-3</v>
      </c>
    </row>
    <row r="50" spans="8:18" x14ac:dyDescent="0.2">
      <c r="H50" s="3">
        <f>Data!A50</f>
        <v>39478</v>
      </c>
      <c r="I50">
        <f>I49*(1+Data!B50)</f>
        <v>1.2308563890955819</v>
      </c>
      <c r="J50">
        <f>I50/MAX($I$2:I50) - 1</f>
        <v>0</v>
      </c>
      <c r="K50">
        <f>K49*(1+Data!C50)</f>
        <v>1.134770514603616</v>
      </c>
      <c r="L50">
        <f>K50/MAX($K$2:K50) - 1</f>
        <v>-0.18303794933413431</v>
      </c>
      <c r="M50">
        <f>M49*(1+Data!D50)</f>
        <v>2.8383139482588033</v>
      </c>
      <c r="N50">
        <f>M50/MAX($M$2:M50) - 1</f>
        <v>-0.1557961544872889</v>
      </c>
      <c r="O50">
        <f>O49*(1+Data!E50)</f>
        <v>1.3571479106042497</v>
      </c>
      <c r="P50">
        <f>O50/MAX($O$2:O50) - 1</f>
        <v>0</v>
      </c>
      <c r="Q50">
        <f>Q49*(1+Data!F50)</f>
        <v>1.3197323610721594</v>
      </c>
      <c r="R50">
        <f>Q50/MAX($Q$2:Q50) - 1</f>
        <v>0</v>
      </c>
    </row>
    <row r="51" spans="8:18" x14ac:dyDescent="0.2">
      <c r="H51" s="3">
        <f>Data!A51</f>
        <v>39507</v>
      </c>
      <c r="I51">
        <f>I50*(1+Data!B51)</f>
        <v>1.2310593249002224</v>
      </c>
      <c r="J51">
        <f>I51/MAX($I$2:I51) - 1</f>
        <v>0</v>
      </c>
      <c r="K51">
        <f>K50*(1+Data!C51)</f>
        <v>1.0888734353268428</v>
      </c>
      <c r="L51">
        <f>K51/MAX($K$2:K51) - 1</f>
        <v>-0.21608090517672962</v>
      </c>
      <c r="M51">
        <f>M50*(1+Data!D51)</f>
        <v>3.2493236557875003</v>
      </c>
      <c r="N51">
        <f>M51/MAX($M$2:M51) - 1</f>
        <v>-3.3548939427926916E-2</v>
      </c>
      <c r="O51">
        <f>O50*(1+Data!E51)</f>
        <v>1.4144093300369054</v>
      </c>
      <c r="P51">
        <f>O51/MAX($O$2:O51) - 1</f>
        <v>0</v>
      </c>
      <c r="Q51">
        <f>Q50*(1+Data!F51)</f>
        <v>1.3446612444408841</v>
      </c>
      <c r="R51">
        <f>Q51/MAX($Q$2:Q51) - 1</f>
        <v>0</v>
      </c>
    </row>
    <row r="52" spans="8:18" x14ac:dyDescent="0.2">
      <c r="H52" s="3">
        <f>Data!A52</f>
        <v>39538</v>
      </c>
      <c r="I52">
        <f>I51*(1+Data!B52)</f>
        <v>1.2379760535750515</v>
      </c>
      <c r="J52">
        <f>I52/MAX($I$2:I52) - 1</f>
        <v>0</v>
      </c>
      <c r="K52">
        <f>K51*(1+Data!C52)</f>
        <v>1.099165507649513</v>
      </c>
      <c r="L52">
        <f>K52/MAX($K$2:K52) - 1</f>
        <v>-0.20867127265445073</v>
      </c>
      <c r="M52">
        <f>M51*(1+Data!D52)</f>
        <v>3.0987081998519308</v>
      </c>
      <c r="N52">
        <f>M52/MAX($M$2:M52) - 1</f>
        <v>-7.8346713533381296E-2</v>
      </c>
      <c r="O52">
        <f>O51*(1+Data!E52)</f>
        <v>1.3971369644025975</v>
      </c>
      <c r="P52">
        <f>O52/MAX($O$2:O52) - 1</f>
        <v>-1.221171641582508E-2</v>
      </c>
      <c r="Q52">
        <f>Q51*(1+Data!F52)</f>
        <v>1.3537962258103302</v>
      </c>
      <c r="R52">
        <f>Q52/MAX($Q$2:Q52) - 1</f>
        <v>0</v>
      </c>
    </row>
    <row r="53" spans="8:18" x14ac:dyDescent="0.2">
      <c r="H53" s="3">
        <f>Data!A53</f>
        <v>39568</v>
      </c>
      <c r="I53">
        <f>I52*(1+Data!B53)</f>
        <v>1.2391598457687878</v>
      </c>
      <c r="J53">
        <f>I53/MAX($I$2:I53) - 1</f>
        <v>0</v>
      </c>
      <c r="K53">
        <f>K52*(1+Data!C53)</f>
        <v>1.1752433936022251</v>
      </c>
      <c r="L53">
        <f>K53/MAX($K$2:K53) - 1</f>
        <v>-0.15390007009111839</v>
      </c>
      <c r="M53">
        <f>M52*(1+Data!D53)</f>
        <v>3.0533325952936128</v>
      </c>
      <c r="N53">
        <f>M53/MAX($M$2:M53) - 1</f>
        <v>-9.1842845588855804E-2</v>
      </c>
      <c r="O53">
        <f>O52*(1+Data!E53)</f>
        <v>1.396678525269478</v>
      </c>
      <c r="P53">
        <f>O53/MAX($O$2:O53) - 1</f>
        <v>-1.2535836968047165E-2</v>
      </c>
      <c r="Q53">
        <f>Q52*(1+Data!F53)</f>
        <v>1.3149645418486329</v>
      </c>
      <c r="R53">
        <f>Q53/MAX($Q$2:Q53) - 1</f>
        <v>-2.8683551646374372E-2</v>
      </c>
    </row>
    <row r="54" spans="8:18" x14ac:dyDescent="0.2">
      <c r="H54" s="3">
        <f>Data!A54</f>
        <v>39598</v>
      </c>
      <c r="I54">
        <f>I53*(1+Data!B54)</f>
        <v>1.2325897990935526</v>
      </c>
      <c r="J54">
        <f>I54/MAX($I$2:I54) - 1</f>
        <v>-5.30201708655198E-3</v>
      </c>
      <c r="K54">
        <f>K53*(1+Data!C54)</f>
        <v>1.2406119610570234</v>
      </c>
      <c r="L54">
        <f>K54/MAX($K$2:K54) - 1</f>
        <v>-0.106838890557725</v>
      </c>
      <c r="M54">
        <f>M53*(1+Data!D54)</f>
        <v>2.8458903872632795</v>
      </c>
      <c r="N54">
        <f>M54/MAX($M$2:M54) - 1</f>
        <v>-0.15354268321544629</v>
      </c>
      <c r="O54">
        <f>O53*(1+Data!E54)</f>
        <v>1.4135022912487247</v>
      </c>
      <c r="P54">
        <f>O54/MAX($O$2:O54) - 1</f>
        <v>-6.412845057780503E-4</v>
      </c>
      <c r="Q54">
        <f>Q53*(1+Data!F54)</f>
        <v>1.3220161064145208</v>
      </c>
      <c r="R54">
        <f>Q54/MAX($Q$2:Q54) - 1</f>
        <v>-2.3474817546331295E-2</v>
      </c>
    </row>
    <row r="55" spans="8:18" x14ac:dyDescent="0.2">
      <c r="H55" s="3">
        <f>Data!A55</f>
        <v>39629</v>
      </c>
      <c r="I55">
        <f>I54*(1+Data!B55)</f>
        <v>1.2318879794358377</v>
      </c>
      <c r="J55">
        <f>I55/MAX($I$2:I55) - 1</f>
        <v>-5.8683844201218305E-3</v>
      </c>
      <c r="K55">
        <f>K54*(1+Data!C55)</f>
        <v>1.1258692628650901</v>
      </c>
      <c r="L55">
        <f>K55/MAX($K$2:K55) - 1</f>
        <v>-0.1894462801642135</v>
      </c>
      <c r="M55">
        <f>M54*(1+Data!D55)</f>
        <v>2.9823078040781308</v>
      </c>
      <c r="N55">
        <f>M55/MAX($M$2:M55) - 1</f>
        <v>-0.11296785253448638</v>
      </c>
      <c r="O55">
        <f>O54*(1+Data!E55)</f>
        <v>1.4303556409684171</v>
      </c>
      <c r="P55">
        <f>O55/MAX($O$2:O55) - 1</f>
        <v>0</v>
      </c>
      <c r="Q55">
        <f>Q54*(1+Data!F55)</f>
        <v>1.3431627869706328</v>
      </c>
      <c r="R55">
        <f>Q55/MAX($Q$2:Q55) - 1</f>
        <v>-7.8545342622243774E-3</v>
      </c>
    </row>
    <row r="56" spans="8:18" x14ac:dyDescent="0.2">
      <c r="H56" s="3">
        <f>Data!A56</f>
        <v>39660</v>
      </c>
      <c r="I56">
        <f>I55*(1+Data!B56)</f>
        <v>1.2301714807549202</v>
      </c>
      <c r="J56">
        <f>I56/MAX($I$2:I56) - 1</f>
        <v>-7.2535960913833186E-3</v>
      </c>
      <c r="K56">
        <f>K55*(1+Data!C56)</f>
        <v>1.1118219749652292</v>
      </c>
      <c r="L56">
        <f>K56/MAX($K$2:K56) - 1</f>
        <v>-0.19955942725543208</v>
      </c>
      <c r="M56">
        <f>M55*(1+Data!D56)</f>
        <v>2.8069910812512542</v>
      </c>
      <c r="N56">
        <f>M56/MAX($M$2:M56) - 1</f>
        <v>-0.16511256037553734</v>
      </c>
      <c r="O56">
        <f>O55*(1+Data!E56)</f>
        <v>1.3928267505628749</v>
      </c>
      <c r="P56">
        <f>O56/MAX($O$2:O56) - 1</f>
        <v>-2.6237454050332176E-2</v>
      </c>
      <c r="Q56">
        <f>Q55*(1+Data!F56)</f>
        <v>1.3319604150807336</v>
      </c>
      <c r="R56">
        <f>Q56/MAX($Q$2:Q56) - 1</f>
        <v>-1.6129318662065684E-2</v>
      </c>
    </row>
    <row r="57" spans="8:18" x14ac:dyDescent="0.2">
      <c r="H57" s="3">
        <f>Data!A57</f>
        <v>39689</v>
      </c>
      <c r="I57">
        <f>I56*(1+Data!B57)</f>
        <v>1.2455607792734891</v>
      </c>
      <c r="J57">
        <f>I57/MAX($I$2:I57) - 1</f>
        <v>0</v>
      </c>
      <c r="K57">
        <f>K56*(1+Data!C57)</f>
        <v>1.1356050069541028</v>
      </c>
      <c r="L57">
        <f>K57/MAX($K$2:K57) - 1</f>
        <v>-0.1824371683188144</v>
      </c>
      <c r="M57">
        <f>M56*(1+Data!D57)</f>
        <v>2.6305603797214365</v>
      </c>
      <c r="N57">
        <f>M57/MAX($M$2:M57) - 1</f>
        <v>-0.21758860052231133</v>
      </c>
      <c r="O57">
        <f>O56*(1+Data!E57)</f>
        <v>1.3764091895848864</v>
      </c>
      <c r="P57">
        <f>O57/MAX($O$2:O57) - 1</f>
        <v>-3.7715411355323081E-2</v>
      </c>
      <c r="Q57">
        <f>Q56*(1+Data!F57)</f>
        <v>1.3479866981850246</v>
      </c>
      <c r="R57">
        <f>Q57/MAX($Q$2:Q57) - 1</f>
        <v>-4.2912866165129016E-3</v>
      </c>
    </row>
    <row r="58" spans="8:18" x14ac:dyDescent="0.2">
      <c r="H58" s="3">
        <f>Data!A58</f>
        <v>39721</v>
      </c>
      <c r="I58">
        <f>I57*(1+Data!B58)</f>
        <v>1.2549296489210573</v>
      </c>
      <c r="J58">
        <f>I58/MAX($I$2:I58) - 1</f>
        <v>0</v>
      </c>
      <c r="K58">
        <f>K57*(1+Data!C58)</f>
        <v>0.99109874826147426</v>
      </c>
      <c r="L58">
        <f>K58/MAX($K$2:K58) - 1</f>
        <v>-0.28647241413837976</v>
      </c>
      <c r="M58">
        <f>M57*(1+Data!D58)</f>
        <v>2.2808817729559188</v>
      </c>
      <c r="N58">
        <f>M58/MAX($M$2:M58) - 1</f>
        <v>-0.32159401708522228</v>
      </c>
      <c r="O58">
        <f>O57*(1+Data!E58)</f>
        <v>1.3596936252111462</v>
      </c>
      <c r="P58">
        <f>O58/MAX($O$2:O58) - 1</f>
        <v>-4.9401710828664513E-2</v>
      </c>
      <c r="Q58">
        <f>Q57*(1+Data!F58)</f>
        <v>1.2922633118314046</v>
      </c>
      <c r="R58">
        <f>Q58/MAX($Q$2:Q58) - 1</f>
        <v>-4.5452124038899866E-2</v>
      </c>
    </row>
    <row r="59" spans="8:18" x14ac:dyDescent="0.2">
      <c r="H59" s="3">
        <f>Data!A59</f>
        <v>39752</v>
      </c>
      <c r="I59">
        <f>I58*(1+Data!B59)</f>
        <v>1.2391598457687876</v>
      </c>
      <c r="J59">
        <f>I59/MAX($I$2:I59) - 1</f>
        <v>-1.2566284624662472E-2</v>
      </c>
      <c r="K59">
        <f>K58*(1+Data!C59)</f>
        <v>0.81474269819193312</v>
      </c>
      <c r="L59">
        <f>K59/MAX($K$2:K59) - 1</f>
        <v>-0.41343746870932208</v>
      </c>
      <c r="M59">
        <f>M58*(1+Data!D59)</f>
        <v>1.6676745521598044</v>
      </c>
      <c r="N59">
        <f>M59/MAX($M$2:M59) - 1</f>
        <v>-0.50398113258025545</v>
      </c>
      <c r="O59">
        <f>O58*(1+Data!E59)</f>
        <v>1.381879906732197</v>
      </c>
      <c r="P59">
        <f>O59/MAX($O$2:O59) - 1</f>
        <v>-3.3890686237584733E-2</v>
      </c>
      <c r="Q59">
        <f>Q58*(1+Data!F59)</f>
        <v>1.1704154813894798</v>
      </c>
      <c r="R59">
        <f>Q59/MAX($Q$2:Q59) - 1</f>
        <v>-0.13545668168123737</v>
      </c>
    </row>
    <row r="60" spans="8:18" x14ac:dyDescent="0.2">
      <c r="H60" s="3">
        <f>Data!A60</f>
        <v>39780</v>
      </c>
      <c r="I60">
        <f>I59*(1+Data!B60)</f>
        <v>1.287839071906919</v>
      </c>
      <c r="J60">
        <f>I60/MAX($I$2:I60) - 1</f>
        <v>0</v>
      </c>
      <c r="K60">
        <f>K59*(1+Data!C60)</f>
        <v>0.72280945757997206</v>
      </c>
      <c r="L60">
        <f>K60/MAX($K$2:K60) - 1</f>
        <v>-0.47962351056373287</v>
      </c>
      <c r="M60">
        <f>M59*(1+Data!D60)</f>
        <v>1.4925861603714188</v>
      </c>
      <c r="N60">
        <f>M60/MAX($M$2:M60) - 1</f>
        <v>-0.5560579275884564</v>
      </c>
      <c r="O60">
        <f>O59*(1+Data!E60)</f>
        <v>1.3920069500674352</v>
      </c>
      <c r="P60">
        <f>O60/MAX($O$2:O60) - 1</f>
        <v>-2.6810598569050992E-2</v>
      </c>
      <c r="Q60">
        <f>Q59*(1+Data!F60)</f>
        <v>1.1881565767859301</v>
      </c>
      <c r="R60">
        <f>Q60/MAX($Q$2:Q60) - 1</f>
        <v>-0.12235198020681037</v>
      </c>
    </row>
    <row r="61" spans="8:18" x14ac:dyDescent="0.2">
      <c r="H61" s="3">
        <f>Data!A61</f>
        <v>39813</v>
      </c>
      <c r="I61">
        <f>I60*(1+Data!B61)</f>
        <v>1.3093418115402817</v>
      </c>
      <c r="J61">
        <f>I61/MAX($I$2:I61) - 1</f>
        <v>0</v>
      </c>
      <c r="K61">
        <f>K60*(1+Data!C61)</f>
        <v>0.73532684283727379</v>
      </c>
      <c r="L61">
        <f>K61/MAX($K$2:K61) - 1</f>
        <v>-0.47061179533393416</v>
      </c>
      <c r="M61">
        <f>M60*(1+Data!D61)</f>
        <v>1.3437489188871286</v>
      </c>
      <c r="N61">
        <f>M61/MAX($M$2:M61) - 1</f>
        <v>-0.60032680478353295</v>
      </c>
      <c r="O61">
        <f>O60*(1+Data!E61)</f>
        <v>1.4074966177882611</v>
      </c>
      <c r="P61">
        <f>O61/MAX($O$2:O61) - 1</f>
        <v>-1.5981356332247065E-2</v>
      </c>
      <c r="Q61">
        <f>Q60*(1+Data!F61)</f>
        <v>1.2617572819423868</v>
      </c>
      <c r="R61">
        <f>Q61/MAX($Q$2:Q61) - 1</f>
        <v>-6.7985818037609391E-2</v>
      </c>
    </row>
    <row r="62" spans="8:18" x14ac:dyDescent="0.2">
      <c r="H62" s="3">
        <f>Data!A62</f>
        <v>39843</v>
      </c>
      <c r="I62">
        <f>I61*(1+Data!B62)</f>
        <v>1.311819319488601</v>
      </c>
      <c r="J62">
        <f>I62/MAX($I$2:I62) - 1</f>
        <v>0</v>
      </c>
      <c r="K62">
        <f>K61*(1+Data!C62)</f>
        <v>0.71279554937413059</v>
      </c>
      <c r="L62">
        <f>K62/MAX($K$2:K62) - 1</f>
        <v>-0.48683288274757186</v>
      </c>
      <c r="M62">
        <f>M61*(1+Data!D62)</f>
        <v>1.2683650805731801</v>
      </c>
      <c r="N62">
        <f>M62/MAX($M$2:M62) - 1</f>
        <v>-0.62274832944721015</v>
      </c>
      <c r="O62">
        <f>O61*(1+Data!E62)</f>
        <v>1.4060964731218111</v>
      </c>
      <c r="P62">
        <f>O62/MAX($O$2:O62) - 1</f>
        <v>-1.6960235029507387E-2</v>
      </c>
      <c r="Q62">
        <f>Q61*(1+Data!F62)</f>
        <v>1.2761889498778007</v>
      </c>
      <c r="R62">
        <f>Q62/MAX($Q$2:Q62) - 1</f>
        <v>-5.7325670180589205E-2</v>
      </c>
    </row>
    <row r="63" spans="8:18" x14ac:dyDescent="0.2">
      <c r="H63" s="3">
        <f>Data!A63</f>
        <v>39871</v>
      </c>
      <c r="I63">
        <f>I62*(1+Data!B63)</f>
        <v>1.3193786782114583</v>
      </c>
      <c r="J63">
        <f>I63/MAX($I$2:I63) - 1</f>
        <v>0</v>
      </c>
      <c r="K63">
        <f>K62*(1+Data!C63)</f>
        <v>0.68331015299026421</v>
      </c>
      <c r="L63">
        <f>K63/MAX($K$2:K63) - 1</f>
        <v>-0.50806047862220882</v>
      </c>
      <c r="M63">
        <f>M62*(1+Data!D63)</f>
        <v>1.2665245940204946</v>
      </c>
      <c r="N63">
        <f>M63/MAX($M$2:M63) - 1</f>
        <v>-0.62329574803927423</v>
      </c>
      <c r="O63">
        <f>O62*(1+Data!E63)</f>
        <v>1.4043741943927339</v>
      </c>
      <c r="P63">
        <f>O63/MAX($O$2:O63) - 1</f>
        <v>-1.8164326291671418E-2</v>
      </c>
      <c r="Q63">
        <f>Q62*(1+Data!F63)</f>
        <v>1.2312191994871602</v>
      </c>
      <c r="R63">
        <f>Q63/MAX($Q$2:Q63) - 1</f>
        <v>-9.0543188100410177E-2</v>
      </c>
    </row>
    <row r="64" spans="8:18" x14ac:dyDescent="0.2">
      <c r="H64" s="3">
        <f>Data!A64</f>
        <v>39903</v>
      </c>
      <c r="I64">
        <f>I63*(1+Data!B64)</f>
        <v>1.3380825948724879</v>
      </c>
      <c r="J64">
        <f>I64/MAX($I$2:I64) - 1</f>
        <v>0</v>
      </c>
      <c r="K64">
        <f>K63*(1+Data!C64)</f>
        <v>0.76620305980528502</v>
      </c>
      <c r="L64">
        <f>K64/MAX($K$2:K64) - 1</f>
        <v>-0.44838289776709717</v>
      </c>
      <c r="M64">
        <f>M63*(1+Data!D64)</f>
        <v>1.4063116234336837</v>
      </c>
      <c r="N64">
        <f>M64/MAX($M$2:M64) - 1</f>
        <v>-0.58171868858261799</v>
      </c>
      <c r="O64">
        <f>O63*(1+Data!E64)</f>
        <v>1.3957435680507446</v>
      </c>
      <c r="P64">
        <f>O64/MAX($O$2:O64) - 1</f>
        <v>-2.4198228696632684E-2</v>
      </c>
      <c r="Q64">
        <f>Q63*(1+Data!F64)</f>
        <v>1.319980768460276</v>
      </c>
      <c r="R64">
        <f>Q64/MAX($Q$2:Q64) - 1</f>
        <v>-2.4978247616116334E-2</v>
      </c>
    </row>
    <row r="65" spans="8:18" x14ac:dyDescent="0.2">
      <c r="H65" s="3">
        <f>Data!A65</f>
        <v>39933</v>
      </c>
      <c r="I65">
        <f>I64*(1+Data!B65)</f>
        <v>1.3418876412094967</v>
      </c>
      <c r="J65">
        <f>I65/MAX($I$2:I65) - 1</f>
        <v>0</v>
      </c>
      <c r="K65">
        <f>K64*(1+Data!C65)</f>
        <v>0.8586926286509039</v>
      </c>
      <c r="L65">
        <f>K65/MAX($K$2:K65) - 1</f>
        <v>-0.38179633523580647</v>
      </c>
      <c r="M65">
        <f>M64*(1+Data!D65)</f>
        <v>1.5414974364651588</v>
      </c>
      <c r="N65">
        <f>M65/MAX($M$2:M65) - 1</f>
        <v>-0.54151017560612202</v>
      </c>
      <c r="O65">
        <f>O64*(1+Data!E65)</f>
        <v>1.3944987870013354</v>
      </c>
      <c r="P65">
        <f>O65/MAX($O$2:O65) - 1</f>
        <v>-2.5068488521361565E-2</v>
      </c>
      <c r="Q65">
        <f>Q64*(1+Data!F65)</f>
        <v>1.308858527985898</v>
      </c>
      <c r="R65">
        <f>Q65/MAX($Q$2:Q65) - 1</f>
        <v>-3.3193841855730044E-2</v>
      </c>
    </row>
    <row r="66" spans="8:18" x14ac:dyDescent="0.2">
      <c r="H66" s="3">
        <f>Data!A66</f>
        <v>39962</v>
      </c>
      <c r="I66">
        <f>I65*(1+Data!B66)</f>
        <v>1.3458110667658789</v>
      </c>
      <c r="J66">
        <f>I66/MAX($I$2:I66) - 1</f>
        <v>0</v>
      </c>
      <c r="K66">
        <f>K65*(1+Data!C66)</f>
        <v>0.88066759388038929</v>
      </c>
      <c r="L66">
        <f>K66/MAX($K$2:K66) - 1</f>
        <v>-0.36597576849904867</v>
      </c>
      <c r="M66">
        <f>M65*(1+Data!D66)</f>
        <v>1.6290658492876762</v>
      </c>
      <c r="N66">
        <f>M66/MAX($M$2:M66) - 1</f>
        <v>-0.51546457522581024</v>
      </c>
      <c r="O66">
        <f>O65*(1+Data!E66)</f>
        <v>1.4437977394278074</v>
      </c>
      <c r="P66">
        <f>O66/MAX($O$2:O66) - 1</f>
        <v>0</v>
      </c>
      <c r="Q66">
        <f>Q65*(1+Data!F66)</f>
        <v>1.3180175487800003</v>
      </c>
      <c r="R66">
        <f>Q66/MAX($Q$2:Q66) - 1</f>
        <v>-2.6428406541696536E-2</v>
      </c>
    </row>
    <row r="67" spans="8:18" x14ac:dyDescent="0.2">
      <c r="H67" s="3">
        <f>Data!A67</f>
        <v>39994</v>
      </c>
      <c r="I67">
        <f>I66*(1+Data!B67)</f>
        <v>1.3474937428126896</v>
      </c>
      <c r="J67">
        <f>I67/MAX($I$2:I67) - 1</f>
        <v>0</v>
      </c>
      <c r="K67">
        <f>K66*(1+Data!C67)</f>
        <v>0.91641168289290664</v>
      </c>
      <c r="L67">
        <f>K67/MAX($K$2:K67) - 1</f>
        <v>-0.3402423150095123</v>
      </c>
      <c r="M67">
        <f>M66*(1+Data!D67)</f>
        <v>1.7221349644011155</v>
      </c>
      <c r="N67">
        <f>M67/MAX($M$2:M67) - 1</f>
        <v>-0.48778289296320154</v>
      </c>
      <c r="O67">
        <f>O66*(1+Data!E67)</f>
        <v>1.4269195842097797</v>
      </c>
      <c r="P67">
        <f>O67/MAX($O$2:O67) - 1</f>
        <v>-1.1690110572355361E-2</v>
      </c>
      <c r="Q67">
        <f>Q66*(1+Data!F67)</f>
        <v>1.3127769542048973</v>
      </c>
      <c r="R67">
        <f>Q67/MAX($Q$2:Q67) - 1</f>
        <v>-3.0299443020592287E-2</v>
      </c>
    </row>
    <row r="68" spans="8:18" x14ac:dyDescent="0.2">
      <c r="H68" s="3">
        <f>Data!A68</f>
        <v>40025</v>
      </c>
      <c r="I68">
        <f>I67*(1+Data!B68)</f>
        <v>1.3585199215314883</v>
      </c>
      <c r="J68">
        <f>I68/MAX($I$2:I68) - 1</f>
        <v>0</v>
      </c>
      <c r="K68">
        <f>K67*(1+Data!C68)</f>
        <v>1.0002781641168288</v>
      </c>
      <c r="L68">
        <f>K68/MAX($K$2:K68) - 1</f>
        <v>-0.27986382296986079</v>
      </c>
      <c r="M68">
        <f>M67*(1+Data!D68)</f>
        <v>1.9860095345506374</v>
      </c>
      <c r="N68">
        <f>M68/MAX($M$2:M68) - 1</f>
        <v>-0.40929829579948851</v>
      </c>
      <c r="O68">
        <f>O67*(1+Data!E68)</f>
        <v>1.433939181054146</v>
      </c>
      <c r="P68">
        <f>O68/MAX($O$2:O68) - 1</f>
        <v>-6.8282129168373285E-3</v>
      </c>
      <c r="Q68">
        <f>Q67*(1+Data!F68)</f>
        <v>1.3249168636563977</v>
      </c>
      <c r="R68">
        <f>Q68/MAX($Q$2:Q68) - 1</f>
        <v>-2.1332133746086113E-2</v>
      </c>
    </row>
    <row r="69" spans="8:18" x14ac:dyDescent="0.2">
      <c r="H69" s="3">
        <f>Data!A69</f>
        <v>40056</v>
      </c>
      <c r="I69">
        <f>I68*(1+Data!B69)</f>
        <v>1.3675928431306221</v>
      </c>
      <c r="J69">
        <f>I69/MAX($I$2:I69) - 1</f>
        <v>0</v>
      </c>
      <c r="K69">
        <f>K68*(1+Data!C69)</f>
        <v>1.0253129346314322</v>
      </c>
      <c r="L69">
        <f>K69/MAX($K$2:K69) - 1</f>
        <v>-0.26184039251026336</v>
      </c>
      <c r="M69">
        <f>M68*(1+Data!D69)</f>
        <v>2.083202446601673</v>
      </c>
      <c r="N69">
        <f>M69/MAX($M$2:M69) - 1</f>
        <v>-0.38039006661631514</v>
      </c>
      <c r="O69">
        <f>O68*(1+Data!E69)</f>
        <v>1.4393118626053598</v>
      </c>
      <c r="P69">
        <f>O69/MAX($O$2:O69) - 1</f>
        <v>-3.1069980925620966E-3</v>
      </c>
      <c r="Q69">
        <f>Q68*(1+Data!F69)</f>
        <v>1.3311831403501755</v>
      </c>
      <c r="R69">
        <f>Q69/MAX($Q$2:Q69) - 1</f>
        <v>-1.6703463216274916E-2</v>
      </c>
    </row>
    <row r="70" spans="8:18" x14ac:dyDescent="0.2">
      <c r="H70" s="3">
        <f>Data!A70</f>
        <v>40086</v>
      </c>
      <c r="I70">
        <f>I69*(1+Data!B70)</f>
        <v>1.378585199215314</v>
      </c>
      <c r="J70">
        <f>I70/MAX($I$2:I70) - 1</f>
        <v>0</v>
      </c>
      <c r="K70">
        <f>K69*(1+Data!C70)</f>
        <v>1.0713490959666199</v>
      </c>
      <c r="L70">
        <f>K70/MAX($K$2:K70) - 1</f>
        <v>-0.22869730649844811</v>
      </c>
      <c r="M70">
        <f>M69*(1+Data!D70)</f>
        <v>2.0683816864668887</v>
      </c>
      <c r="N70">
        <f>M70/MAX($M$2:M70) - 1</f>
        <v>-0.38479822685767318</v>
      </c>
      <c r="O70">
        <f>O69*(1+Data!E70)</f>
        <v>1.4639082611474104</v>
      </c>
      <c r="P70">
        <f>O70/MAX($O$2:O70) - 1</f>
        <v>0</v>
      </c>
      <c r="Q70">
        <f>Q69*(1+Data!F70)</f>
        <v>1.3584759004767832</v>
      </c>
      <c r="R70">
        <f>Q70/MAX($Q$2:Q70) - 1</f>
        <v>0</v>
      </c>
    </row>
    <row r="71" spans="8:18" x14ac:dyDescent="0.2">
      <c r="H71" s="3">
        <f>Data!A71</f>
        <v>40116</v>
      </c>
      <c r="I71">
        <f>I70*(1+Data!B71)</f>
        <v>1.3884360413989032</v>
      </c>
      <c r="J71">
        <f>I71/MAX($I$2:I71) - 1</f>
        <v>0</v>
      </c>
      <c r="K71">
        <f>K70*(1+Data!C71)</f>
        <v>1.0673157162726004</v>
      </c>
      <c r="L71">
        <f>K71/MAX($K$2:K71) - 1</f>
        <v>-0.2316010814058278</v>
      </c>
      <c r="M71">
        <f>M70*(1+Data!D71)</f>
        <v>2.1487860399786891</v>
      </c>
      <c r="N71">
        <f>M71/MAX($M$2:M71) - 1</f>
        <v>-0.36088344305714759</v>
      </c>
      <c r="O71">
        <f>O70*(1+Data!E71)</f>
        <v>1.4563609678702729</v>
      </c>
      <c r="P71">
        <f>O71/MAX($O$2:O71) - 1</f>
        <v>-5.1555780354854974E-3</v>
      </c>
      <c r="Q71">
        <f>Q70*(1+Data!F71)</f>
        <v>1.3828679033615139</v>
      </c>
      <c r="R71">
        <f>Q71/MAX($Q$2:Q71) - 1</f>
        <v>0</v>
      </c>
    </row>
    <row r="72" spans="8:18" x14ac:dyDescent="0.2">
      <c r="H72" s="3">
        <f>Data!A72</f>
        <v>40147</v>
      </c>
      <c r="I72">
        <f>I71*(1+Data!B72)</f>
        <v>1.4062436582561038</v>
      </c>
      <c r="J72">
        <f>I72/MAX($I$2:I72) - 1</f>
        <v>0</v>
      </c>
      <c r="K72">
        <f>K71*(1+Data!C72)</f>
        <v>1.1222531293463138</v>
      </c>
      <c r="L72">
        <f>K72/MAX($K$2:K72) - 1</f>
        <v>-0.19204966456393324</v>
      </c>
      <c r="M72">
        <f>M71*(1+Data!D72)</f>
        <v>2.2486940156510551</v>
      </c>
      <c r="N72">
        <f>M72/MAX($M$2:M72) - 1</f>
        <v>-0.33116766855244817</v>
      </c>
      <c r="O72">
        <f>O71*(1+Data!E72)</f>
        <v>1.4879638258119812</v>
      </c>
      <c r="P72">
        <f>O72/MAX($O$2:O72) - 1</f>
        <v>0</v>
      </c>
      <c r="Q72">
        <f>Q71*(1+Data!F72)</f>
        <v>1.4181978444649235</v>
      </c>
      <c r="R72">
        <f>Q72/MAX($Q$2:Q72) - 1</f>
        <v>0</v>
      </c>
    </row>
    <row r="73" spans="8:18" x14ac:dyDescent="0.2">
      <c r="H73" s="3">
        <f>Data!A73</f>
        <v>40178</v>
      </c>
      <c r="I73">
        <f>I72*(1+Data!B73)</f>
        <v>1.3864489616451319</v>
      </c>
      <c r="J73">
        <f>I73/MAX($I$2:I73) - 1</f>
        <v>-1.4076292180772887E-2</v>
      </c>
      <c r="K73">
        <f>K72*(1+Data!C73)</f>
        <v>1.1851182197496517</v>
      </c>
      <c r="L73">
        <f>K73/MAX($K$2:K73) - 1</f>
        <v>-0.14679082807649968</v>
      </c>
      <c r="M73">
        <f>M72*(1+Data!D73)</f>
        <v>2.4185134957481997</v>
      </c>
      <c r="N73">
        <f>M73/MAX($M$2:M73) - 1</f>
        <v>-0.28065801361137799</v>
      </c>
      <c r="O73">
        <f>O72*(1+Data!E73)</f>
        <v>1.4685857465669148</v>
      </c>
      <c r="P73">
        <f>O73/MAX($O$2:O73) - 1</f>
        <v>-1.3023219320867474E-2</v>
      </c>
      <c r="Q73">
        <f>Q72*(1+Data!F73)</f>
        <v>1.3870347369686296</v>
      </c>
      <c r="R73">
        <f>Q73/MAX($Q$2:Q73) - 1</f>
        <v>-2.1973737739004684E-2</v>
      </c>
    </row>
    <row r="74" spans="8:18" x14ac:dyDescent="0.2">
      <c r="H74" s="3">
        <f>Data!A74</f>
        <v>40207</v>
      </c>
      <c r="I74">
        <f>I73*(1+Data!B74)</f>
        <v>1.404840018940674</v>
      </c>
      <c r="J74">
        <f>I74/MAX($I$2:I74) - 1</f>
        <v>-9.9814801452713375E-4</v>
      </c>
      <c r="K74">
        <f>K73*(1+Data!C74)</f>
        <v>1.0851182197496518</v>
      </c>
      <c r="L74">
        <f>K74/MAX($K$2:K74) - 1</f>
        <v>-0.21878441974566953</v>
      </c>
      <c r="M74">
        <f>M73*(1+Data!D74)</f>
        <v>2.2067516796169575</v>
      </c>
      <c r="N74">
        <f>M74/MAX($M$2:M74) - 1</f>
        <v>-0.34364263855761379</v>
      </c>
      <c r="O74">
        <f>O73*(1+Data!E74)</f>
        <v>1.4399034285704833</v>
      </c>
      <c r="P74">
        <f>O74/MAX($O$2:O74) - 1</f>
        <v>-3.2299439279225295E-2</v>
      </c>
      <c r="Q74">
        <f>Q73*(1+Data!F74)</f>
        <v>1.4139428663007341</v>
      </c>
      <c r="R74">
        <f>Q74/MAX($Q$2:Q74) - 1</f>
        <v>-3.0002712109570284E-3</v>
      </c>
    </row>
    <row r="75" spans="8:18" x14ac:dyDescent="0.2">
      <c r="H75" s="3">
        <f>Data!A75</f>
        <v>40235</v>
      </c>
      <c r="I75">
        <f>I74*(1+Data!B75)</f>
        <v>1.4073344382060462</v>
      </c>
      <c r="J75">
        <f>I75/MAX($I$2:I75) - 1</f>
        <v>0</v>
      </c>
      <c r="K75">
        <f>K74*(1+Data!C75)</f>
        <v>1.1303198887343529</v>
      </c>
      <c r="L75">
        <f>K75/MAX($K$2:K75) - 1</f>
        <v>-0.18624211474917407</v>
      </c>
      <c r="M75">
        <f>M74*(1+Data!D75)</f>
        <v>2.3405336027178314</v>
      </c>
      <c r="N75">
        <f>M75/MAX($M$2:M75) - 1</f>
        <v>-0.30385168660491402</v>
      </c>
      <c r="O75">
        <f>O74*(1+Data!E75)</f>
        <v>1.4422033739134887</v>
      </c>
      <c r="P75">
        <f>O75/MAX($O$2:O75) - 1</f>
        <v>-3.0753739509440714E-2</v>
      </c>
      <c r="Q75">
        <f>Q74*(1+Data!F75)</f>
        <v>1.3955687327216644</v>
      </c>
      <c r="R75">
        <f>Q75/MAX($Q$2:Q75) - 1</f>
        <v>-1.595624463228329E-2</v>
      </c>
    </row>
    <row r="76" spans="8:18" x14ac:dyDescent="0.2">
      <c r="H76" s="3">
        <f>Data!A76</f>
        <v>40268</v>
      </c>
      <c r="I76">
        <f>I75*(1+Data!B76)</f>
        <v>1.407799499425014</v>
      </c>
      <c r="J76">
        <f>I76/MAX($I$2:I76) - 1</f>
        <v>0</v>
      </c>
      <c r="K76">
        <f>K75*(1+Data!C76)</f>
        <v>1.2068150208623085</v>
      </c>
      <c r="L76">
        <f>K76/MAX($K$2:K76) - 1</f>
        <v>-0.13117052167818166</v>
      </c>
      <c r="M76">
        <f>M75*(1+Data!D76)</f>
        <v>2.566642911013167</v>
      </c>
      <c r="N76">
        <f>M76/MAX($M$2:M76) - 1</f>
        <v>-0.23659966619813677</v>
      </c>
      <c r="O76">
        <f>O75*(1+Data!E76)</f>
        <v>1.4651369768543256</v>
      </c>
      <c r="P76">
        <f>O76/MAX($O$2:O76) - 1</f>
        <v>-1.534099724850424E-2</v>
      </c>
      <c r="Q76">
        <f>Q75*(1+Data!F76)</f>
        <v>1.3894547057173772</v>
      </c>
      <c r="R76">
        <f>Q76/MAX($Q$2:Q76) - 1</f>
        <v>-2.026736880169977E-2</v>
      </c>
    </row>
    <row r="77" spans="8:18" x14ac:dyDescent="0.2">
      <c r="H77" s="3">
        <f>Data!A77</f>
        <v>40298</v>
      </c>
      <c r="I77">
        <f>I76*(1+Data!B77)</f>
        <v>1.4162805249272801</v>
      </c>
      <c r="J77">
        <f>I77/MAX($I$2:I77) - 1</f>
        <v>0</v>
      </c>
      <c r="K77">
        <f>K76*(1+Data!C77)</f>
        <v>1.2283727399165505</v>
      </c>
      <c r="L77">
        <f>K77/MAX($K$2:K77) - 1</f>
        <v>-0.11565034544908381</v>
      </c>
      <c r="M77">
        <f>M76*(1+Data!D77)</f>
        <v>2.4839241110657522</v>
      </c>
      <c r="N77">
        <f>M77/MAX($M$2:M77) - 1</f>
        <v>-0.26120283916800613</v>
      </c>
      <c r="O77">
        <f>O76*(1+Data!E77)</f>
        <v>1.4771160298245898</v>
      </c>
      <c r="P77">
        <f>O77/MAX($O$2:O77) - 1</f>
        <v>-7.2903627085636469E-3</v>
      </c>
      <c r="Q77">
        <f>Q76*(1+Data!F77)</f>
        <v>1.4286790336151296</v>
      </c>
      <c r="R77">
        <f>Q77/MAX($Q$2:Q77) - 1</f>
        <v>0</v>
      </c>
    </row>
    <row r="78" spans="8:18" x14ac:dyDescent="0.2">
      <c r="H78" s="3">
        <f>Data!A78</f>
        <v>40329</v>
      </c>
      <c r="I78">
        <f>I77*(1+Data!B78)</f>
        <v>1.432143340323343</v>
      </c>
      <c r="J78">
        <f>I78/MAX($I$2:I78) - 1</f>
        <v>0</v>
      </c>
      <c r="K78">
        <f>K77*(1+Data!C78)</f>
        <v>1.1282336578581362</v>
      </c>
      <c r="L78">
        <f>K78/MAX($K$2:K78) - 1</f>
        <v>-0.18774406728747361</v>
      </c>
      <c r="M78">
        <f>M77*(1+Data!D78)</f>
        <v>2.2028057041244882</v>
      </c>
      <c r="N78">
        <f>M78/MAX($M$2:M78) - 1</f>
        <v>-0.34481629578714079</v>
      </c>
      <c r="O78">
        <f>O77*(1+Data!E78)</f>
        <v>1.4537315415092313</v>
      </c>
      <c r="P78">
        <f>O78/MAX($O$2:O78) - 1</f>
        <v>-2.3006126700741092E-2</v>
      </c>
      <c r="Q78">
        <f>Q77*(1+Data!F78)</f>
        <v>1.4304980167474666</v>
      </c>
      <c r="R78">
        <f>Q78/MAX($Q$2:Q78) - 1</f>
        <v>0</v>
      </c>
    </row>
    <row r="79" spans="8:18" x14ac:dyDescent="0.2">
      <c r="H79" s="3">
        <f>Data!A79</f>
        <v>40359</v>
      </c>
      <c r="I79">
        <f>I78*(1+Data!B79)</f>
        <v>1.4482175471825731</v>
      </c>
      <c r="J79">
        <f>I79/MAX($I$2:I79) - 1</f>
        <v>0</v>
      </c>
      <c r="K79">
        <f>K78*(1+Data!C79)</f>
        <v>1.0582753824756606</v>
      </c>
      <c r="L79">
        <f>K79/MAX($K$2:K79) - 1</f>
        <v>-0.23810954240512661</v>
      </c>
      <c r="M79">
        <f>M78*(1+Data!D79)</f>
        <v>2.0773253440533597</v>
      </c>
      <c r="N79">
        <f>M79/MAX($M$2:M79) - 1</f>
        <v>-0.38213810177458307</v>
      </c>
      <c r="O79">
        <f>O78*(1+Data!E79)</f>
        <v>1.4520461172853594</v>
      </c>
      <c r="P79">
        <f>O79/MAX($O$2:O79) - 1</f>
        <v>-2.413883180729981E-2</v>
      </c>
      <c r="Q79">
        <f>Q78*(1+Data!F79)</f>
        <v>1.4554349132577433</v>
      </c>
      <c r="R79">
        <f>Q79/MAX($Q$2:Q79) - 1</f>
        <v>0</v>
      </c>
    </row>
    <row r="80" spans="8:18" x14ac:dyDescent="0.2">
      <c r="H80" s="3">
        <f>Data!A80</f>
        <v>40389</v>
      </c>
      <c r="I80">
        <f>I79*(1+Data!B80)</f>
        <v>1.460638909558275</v>
      </c>
      <c r="J80">
        <f>I80/MAX($I$2:I80) - 1</f>
        <v>0</v>
      </c>
      <c r="K80">
        <f>K79*(1+Data!C80)</f>
        <v>1.1343532684283726</v>
      </c>
      <c r="L80">
        <f>K80/MAX($K$2:K80) - 1</f>
        <v>-0.18333833984179426</v>
      </c>
      <c r="M80">
        <f>M79*(1+Data!D80)</f>
        <v>2.299012641236585</v>
      </c>
      <c r="N80">
        <f>M80/MAX($M$2:M80) - 1</f>
        <v>-0.31620132656400191</v>
      </c>
      <c r="O80">
        <f>O79*(1+Data!E80)</f>
        <v>1.451141353332261</v>
      </c>
      <c r="P80">
        <f>O80/MAX($O$2:O80) - 1</f>
        <v>-2.4746886880550378E-2</v>
      </c>
      <c r="Q80">
        <f>Q79*(1+Data!F80)</f>
        <v>1.4614367562803003</v>
      </c>
      <c r="R80">
        <f>Q80/MAX($Q$2:Q80) - 1</f>
        <v>0</v>
      </c>
    </row>
    <row r="81" spans="8:18" x14ac:dyDescent="0.2">
      <c r="H81" s="3">
        <f>Data!A81</f>
        <v>40421</v>
      </c>
      <c r="I81">
        <f>I80*(1+Data!B81)</f>
        <v>1.4628796590678466</v>
      </c>
      <c r="J81">
        <f>I81/MAX($I$2:I81) - 1</f>
        <v>0</v>
      </c>
      <c r="K81">
        <f>K80*(1+Data!C81)</f>
        <v>1.0541029207232266</v>
      </c>
      <c r="L81">
        <f>K81/MAX($K$2:K81) - 1</f>
        <v>-0.24111344748172614</v>
      </c>
      <c r="M81">
        <f>M80*(1+Data!D81)</f>
        <v>2.2664304939561459</v>
      </c>
      <c r="N81">
        <f>M81/MAX($M$2:M81) - 1</f>
        <v>-0.32589228201524156</v>
      </c>
      <c r="O81">
        <f>O80*(1+Data!E81)</f>
        <v>1.4756522115445985</v>
      </c>
      <c r="P81">
        <f>O81/MAX($O$2:O81) - 1</f>
        <v>-8.2741354687599911E-3</v>
      </c>
      <c r="Q81">
        <f>Q80*(1+Data!F81)</f>
        <v>1.4832244881605838</v>
      </c>
      <c r="R81">
        <f>Q81/MAX($Q$2:Q81) - 1</f>
        <v>0</v>
      </c>
    </row>
    <row r="82" spans="8:18" x14ac:dyDescent="0.2">
      <c r="H82" s="3">
        <f>Data!A82</f>
        <v>40451</v>
      </c>
      <c r="I82">
        <f>I81*(1+Data!B82)</f>
        <v>1.4573073800987606</v>
      </c>
      <c r="J82">
        <f>I82/MAX($I$2:I82) - 1</f>
        <v>-3.8091164468283534E-3</v>
      </c>
      <c r="K82">
        <f>K81*(1+Data!C82)</f>
        <v>1.1820584144645339</v>
      </c>
      <c r="L82">
        <f>K82/MAX($K$2:K82) - 1</f>
        <v>-0.14899369179933908</v>
      </c>
      <c r="M82">
        <f>M81*(1+Data!D82)</f>
        <v>2.5000491257688866</v>
      </c>
      <c r="N82">
        <f>M82/MAX($M$2:M82) - 1</f>
        <v>-0.25640675259355017</v>
      </c>
      <c r="O82">
        <f>O81*(1+Data!E82)</f>
        <v>1.5160155573467857</v>
      </c>
      <c r="P82">
        <f>O82/MAX($O$2:O82) - 1</f>
        <v>0</v>
      </c>
      <c r="Q82">
        <f>Q81*(1+Data!F82)</f>
        <v>1.5107896950999644</v>
      </c>
      <c r="R82">
        <f>Q82/MAX($Q$2:Q82) - 1</f>
        <v>0</v>
      </c>
    </row>
    <row r="83" spans="8:18" x14ac:dyDescent="0.2">
      <c r="H83" s="3">
        <f>Data!A83</f>
        <v>40480</v>
      </c>
      <c r="I83">
        <f>I82*(1+Data!B83)</f>
        <v>1.4715805316918065</v>
      </c>
      <c r="J83">
        <f>I83/MAX($I$2:I83) - 1</f>
        <v>0</v>
      </c>
      <c r="K83">
        <f>K82*(1+Data!C83)</f>
        <v>1.2584144645340749</v>
      </c>
      <c r="L83">
        <f>K83/MAX($K$2:K83) - 1</f>
        <v>-9.4022228897566729E-2</v>
      </c>
      <c r="M83">
        <f>M82*(1+Data!D83)</f>
        <v>2.5437793630255929</v>
      </c>
      <c r="N83">
        <f>M83/MAX($M$2:M83) - 1</f>
        <v>-0.24340000452752253</v>
      </c>
      <c r="O83">
        <f>O82*(1+Data!E83)</f>
        <v>1.5498350624837334</v>
      </c>
      <c r="P83">
        <f>O83/MAX($O$2:O83) - 1</f>
        <v>0</v>
      </c>
      <c r="Q83">
        <f>Q82*(1+Data!F83)</f>
        <v>1.54479746784727</v>
      </c>
      <c r="R83">
        <f>Q83/MAX($Q$2:Q83) - 1</f>
        <v>0</v>
      </c>
    </row>
    <row r="84" spans="8:18" x14ac:dyDescent="0.2">
      <c r="H84" s="3">
        <f>Data!A84</f>
        <v>40512</v>
      </c>
      <c r="I84">
        <f>I83*(1+Data!B84)</f>
        <v>1.4689339105729537</v>
      </c>
      <c r="J84">
        <f>I84/MAX($I$2:I84) - 1</f>
        <v>-1.7984888097222207E-3</v>
      </c>
      <c r="K84">
        <f>K83*(1+Data!C84)</f>
        <v>1.2371349095966619</v>
      </c>
      <c r="L84">
        <f>K84/MAX($K$2:K84) - 1</f>
        <v>-0.10934214478822457</v>
      </c>
      <c r="M84">
        <f>M83*(1+Data!D84)</f>
        <v>2.4963204107191039</v>
      </c>
      <c r="N84">
        <f>M84/MAX($M$2:M84) - 1</f>
        <v>-0.25751578973363776</v>
      </c>
      <c r="O84">
        <f>O83*(1+Data!E84)</f>
        <v>1.5356341595853629</v>
      </c>
      <c r="P84">
        <f>O84/MAX($O$2:O84) - 1</f>
        <v>-9.1628478682191927E-3</v>
      </c>
      <c r="Q84">
        <f>Q83*(1+Data!F84)</f>
        <v>1.5226571577386923</v>
      </c>
      <c r="R84">
        <f>Q84/MAX($Q$2:Q84) - 1</f>
        <v>-1.4332176592334211E-2</v>
      </c>
    </row>
    <row r="85" spans="8:18" x14ac:dyDescent="0.2">
      <c r="H85" s="3">
        <f>Data!A85</f>
        <v>40543</v>
      </c>
      <c r="I85">
        <f>I84*(1+Data!B85)</f>
        <v>1.4608587566799687</v>
      </c>
      <c r="J85">
        <f>I85/MAX($I$2:I85) - 1</f>
        <v>-7.2858907690981356E-3</v>
      </c>
      <c r="K85">
        <f>K84*(1+Data!C85)</f>
        <v>1.3020862308762169</v>
      </c>
      <c r="L85">
        <f>K85/MAX($K$2:K85) - 1</f>
        <v>-6.2581355762491131E-2</v>
      </c>
      <c r="M85">
        <f>M84*(1+Data!D85)</f>
        <v>2.8113681180679038</v>
      </c>
      <c r="N85">
        <f>M85/MAX($M$2:M85) - 1</f>
        <v>-0.16381069194944831</v>
      </c>
      <c r="O85">
        <f>O84*(1+Data!E85)</f>
        <v>1.5869182484788644</v>
      </c>
      <c r="P85">
        <f>O85/MAX($O$2:O85) - 1</f>
        <v>0</v>
      </c>
      <c r="Q85">
        <f>Q84*(1+Data!F85)</f>
        <v>1.4928642974478152</v>
      </c>
      <c r="R85">
        <f>Q85/MAX($Q$2:Q85) - 1</f>
        <v>-3.3618109480607505E-2</v>
      </c>
    </row>
    <row r="86" spans="8:18" x14ac:dyDescent="0.2">
      <c r="H86" s="3">
        <f>Data!A86</f>
        <v>40574</v>
      </c>
      <c r="I86">
        <f>I85*(1+Data!B86)</f>
        <v>1.4616113102888435</v>
      </c>
      <c r="J86">
        <f>I86/MAX($I$2:I86) - 1</f>
        <v>-6.77449938230823E-3</v>
      </c>
      <c r="K86">
        <f>K85*(1+Data!C86)</f>
        <v>1.3570236439499304</v>
      </c>
      <c r="L86">
        <f>K86/MAX($K$2:K86) - 1</f>
        <v>-2.3029938920596682E-2</v>
      </c>
      <c r="M86">
        <f>M85*(1+Data!D86)</f>
        <v>2.8587883232890734</v>
      </c>
      <c r="N86">
        <f>M86/MAX($M$2:M86) - 1</f>
        <v>-0.14970643134527117</v>
      </c>
      <c r="O86">
        <f>O85*(1+Data!E86)</f>
        <v>1.5754726280087794</v>
      </c>
      <c r="P86">
        <f>O86/MAX($O$2:O86) - 1</f>
        <v>-7.2124827356773169E-3</v>
      </c>
      <c r="Q86">
        <f>Q85*(1+Data!F86)</f>
        <v>1.5000440722785378</v>
      </c>
      <c r="R86">
        <f>Q86/MAX($Q$2:Q86) - 1</f>
        <v>-2.8970396767349471E-2</v>
      </c>
    </row>
    <row r="87" spans="8:18" x14ac:dyDescent="0.2">
      <c r="H87" s="3">
        <f>Data!A87</f>
        <v>40602</v>
      </c>
      <c r="I87">
        <f>I86*(1+Data!B87)</f>
        <v>1.4652810660894255</v>
      </c>
      <c r="J87">
        <f>I87/MAX($I$2:I87) - 1</f>
        <v>-4.2807481253769319E-3</v>
      </c>
      <c r="K87">
        <f>K86*(1+Data!C87)</f>
        <v>1.3827538247566062</v>
      </c>
      <c r="L87">
        <f>K87/MAX($K$2:K87) - 1</f>
        <v>-4.5058576148993001E-3</v>
      </c>
      <c r="M87">
        <f>M86*(1+Data!D87)</f>
        <v>2.9286555453306291</v>
      </c>
      <c r="N87">
        <f>M87/MAX($M$2:M87) - 1</f>
        <v>-0.12892572188254414</v>
      </c>
      <c r="O87">
        <f>O86*(1+Data!E87)</f>
        <v>1.595564559210104</v>
      </c>
      <c r="P87">
        <f>O87/MAX($O$2:O87) - 1</f>
        <v>0</v>
      </c>
      <c r="Q87">
        <f>Q86*(1+Data!F87)</f>
        <v>1.509219119355744</v>
      </c>
      <c r="R87">
        <f>Q87/MAX($Q$2:Q87) - 1</f>
        <v>-2.303107639159041E-2</v>
      </c>
    </row>
    <row r="88" spans="8:18" x14ac:dyDescent="0.2">
      <c r="H88" s="3">
        <f>Data!A88</f>
        <v>40633</v>
      </c>
      <c r="I88">
        <f>I87*(1+Data!B88)</f>
        <v>1.4693651491578148</v>
      </c>
      <c r="J88">
        <f>I88/MAX($I$2:I88) - 1</f>
        <v>-1.505444307179582E-3</v>
      </c>
      <c r="K88">
        <f>K87*(1+Data!C88)</f>
        <v>1.3464534075104309</v>
      </c>
      <c r="L88">
        <f>K88/MAX($K$2:K88) - 1</f>
        <v>-3.0639831781315685E-2</v>
      </c>
      <c r="M88">
        <f>M87*(1+Data!D88)</f>
        <v>2.8174887737239396</v>
      </c>
      <c r="N88">
        <f>M88/MAX($M$2:M88) - 1</f>
        <v>-0.16199021643614075</v>
      </c>
      <c r="O88">
        <f>O87*(1+Data!E88)</f>
        <v>1.5781640844422264</v>
      </c>
      <c r="P88">
        <f>O88/MAX($O$2:O88) - 1</f>
        <v>-1.0905528496127914E-2</v>
      </c>
      <c r="Q88">
        <f>Q87*(1+Data!F88)</f>
        <v>1.5195720982411161</v>
      </c>
      <c r="R88">
        <f>Q88/MAX($Q$2:Q88) - 1</f>
        <v>-1.6329240648812249E-2</v>
      </c>
    </row>
    <row r="89" spans="8:18" x14ac:dyDescent="0.2">
      <c r="H89" s="3">
        <f>Data!A89</f>
        <v>40662</v>
      </c>
      <c r="I89">
        <f>I88*(1+Data!B89)</f>
        <v>1.4854900899682051</v>
      </c>
      <c r="J89">
        <f>I89/MAX($I$2:I89) - 1</f>
        <v>0</v>
      </c>
      <c r="K89">
        <f>K88*(1+Data!C89)</f>
        <v>1.3859527121001387</v>
      </c>
      <c r="L89">
        <f>K89/MAX($K$2:K89) - 1</f>
        <v>-2.2028637228397319E-3</v>
      </c>
      <c r="M89">
        <f>M88*(1+Data!D89)</f>
        <v>2.8032692853238483</v>
      </c>
      <c r="N89">
        <f>M89/MAX($M$2:M89) - 1</f>
        <v>-0.16621953955099367</v>
      </c>
      <c r="O89">
        <f>O88*(1+Data!E89)</f>
        <v>1.6155797555438274</v>
      </c>
      <c r="P89">
        <f>O89/MAX($O$2:O89) - 1</f>
        <v>0</v>
      </c>
      <c r="Q89">
        <f>Q88*(1+Data!F89)</f>
        <v>1.5644056252253702</v>
      </c>
      <c r="R89">
        <f>Q89/MAX($Q$2:Q89) - 1</f>
        <v>0</v>
      </c>
    </row>
    <row r="90" spans="8:18" x14ac:dyDescent="0.2">
      <c r="H90" s="3">
        <f>Data!A90</f>
        <v>40694</v>
      </c>
      <c r="I90">
        <f>I89*(1+Data!B90)</f>
        <v>1.5014459176080617</v>
      </c>
      <c r="J90">
        <f>I90/MAX($I$2:I90) - 1</f>
        <v>0</v>
      </c>
      <c r="K90">
        <f>K89*(1+Data!C90)</f>
        <v>1.3625869262865085</v>
      </c>
      <c r="L90">
        <f>K90/MAX($K$2:K90) - 1</f>
        <v>-1.9024732151797563E-2</v>
      </c>
      <c r="M90">
        <f>M89*(1+Data!D90)</f>
        <v>2.7263549371397722</v>
      </c>
      <c r="N90">
        <f>M90/MAX($M$2:M90) - 1</f>
        <v>-0.1890962859912293</v>
      </c>
      <c r="O90">
        <f>O89*(1+Data!E90)</f>
        <v>1.578397391092869</v>
      </c>
      <c r="P90">
        <f>O90/MAX($O$2:O90) - 1</f>
        <v>-2.3014873962964644E-2</v>
      </c>
      <c r="Q90">
        <f>Q89*(1+Data!F90)</f>
        <v>1.5752073400376625</v>
      </c>
      <c r="R90">
        <f>Q90/MAX($Q$2:Q90) - 1</f>
        <v>0</v>
      </c>
    </row>
    <row r="91" spans="8:18" x14ac:dyDescent="0.2">
      <c r="H91" s="3">
        <f>Data!A91</f>
        <v>40724</v>
      </c>
      <c r="I91">
        <f>I90*(1+Data!B91)</f>
        <v>1.5028495569234914</v>
      </c>
      <c r="J91">
        <f>I91/MAX($I$2:I91) - 1</f>
        <v>0</v>
      </c>
      <c r="K91">
        <f>K90*(1+Data!C91)</f>
        <v>1.3269819193324055</v>
      </c>
      <c r="L91">
        <f>K91/MAX($K$2:K91) - 1</f>
        <v>-4.4658055472113989E-2</v>
      </c>
      <c r="M91">
        <f>M90*(1+Data!D91)</f>
        <v>2.7143018259563947</v>
      </c>
      <c r="N91">
        <f>M91/MAX($M$2:M91) - 1</f>
        <v>-0.19268126037985944</v>
      </c>
      <c r="O91">
        <f>O90*(1+Data!E91)</f>
        <v>1.5509198649396669</v>
      </c>
      <c r="P91">
        <f>O91/MAX($O$2:O91) - 1</f>
        <v>-4.0022716540165426E-2</v>
      </c>
      <c r="Q91">
        <f>Q90*(1+Data!F91)</f>
        <v>1.591802556192156</v>
      </c>
      <c r="R91">
        <f>Q91/MAX($Q$2:Q91) - 1</f>
        <v>0</v>
      </c>
    </row>
    <row r="92" spans="8:18" x14ac:dyDescent="0.2">
      <c r="H92" s="3">
        <f>Data!A92</f>
        <v>40753</v>
      </c>
      <c r="I92">
        <f>I91*(1+Data!B92)</f>
        <v>1.5168183048095769</v>
      </c>
      <c r="J92">
        <f>I92/MAX($I$2:I92) - 1</f>
        <v>0</v>
      </c>
      <c r="K92">
        <f>K91*(1+Data!C92)</f>
        <v>1.3481223922114043</v>
      </c>
      <c r="L92">
        <f>K92/MAX($K$2:K92) - 1</f>
        <v>-2.9438269750675983E-2</v>
      </c>
      <c r="M92">
        <f>M91*(1+Data!D92)</f>
        <v>2.8372663931306943</v>
      </c>
      <c r="N92">
        <f>M92/MAX($M$2:M92) - 1</f>
        <v>-0.15610773033254688</v>
      </c>
      <c r="O92">
        <f>O91*(1+Data!E92)</f>
        <v>1.5765977788553798</v>
      </c>
      <c r="P92">
        <f>O92/MAX($O$2:O92) - 1</f>
        <v>-2.4128785072158654E-2</v>
      </c>
      <c r="Q92">
        <f>Q91*(1+Data!F92)</f>
        <v>1.6565327136503878</v>
      </c>
      <c r="R92">
        <f>Q92/MAX($Q$2:Q92) - 1</f>
        <v>0</v>
      </c>
    </row>
    <row r="93" spans="8:18" x14ac:dyDescent="0.2">
      <c r="H93" s="3">
        <f>Data!A93</f>
        <v>40786</v>
      </c>
      <c r="I93">
        <f>I92*(1+Data!B93)</f>
        <v>1.5357082459581939</v>
      </c>
      <c r="J93">
        <f>I93/MAX($I$2:I93) - 1</f>
        <v>0</v>
      </c>
      <c r="K93">
        <f>K92*(1+Data!C93)</f>
        <v>1.2666203059805279</v>
      </c>
      <c r="L93">
        <f>K93/MAX($K$2:K93) - 1</f>
        <v>-8.8114548913587942E-2</v>
      </c>
      <c r="M93">
        <f>M92*(1+Data!D93)</f>
        <v>2.6249323655787493</v>
      </c>
      <c r="N93">
        <f>M93/MAX($M$2:M93) - 1</f>
        <v>-0.2192625489538339</v>
      </c>
      <c r="O93">
        <f>O92*(1+Data!E93)</f>
        <v>1.5685379510845587</v>
      </c>
      <c r="P93">
        <f>O93/MAX($O$2:O93) - 1</f>
        <v>-2.9117599609580158E-2</v>
      </c>
      <c r="Q93">
        <f>Q92*(1+Data!F93)</f>
        <v>1.6757722665170891</v>
      </c>
      <c r="R93">
        <f>Q93/MAX($Q$2:Q93) - 1</f>
        <v>0</v>
      </c>
    </row>
    <row r="94" spans="8:18" x14ac:dyDescent="0.2">
      <c r="H94" s="3">
        <f>Data!A94</f>
        <v>40816</v>
      </c>
      <c r="I94">
        <f>I93*(1+Data!B94)</f>
        <v>1.5383295001014665</v>
      </c>
      <c r="J94">
        <f>I94/MAX($I$2:I94) - 1</f>
        <v>0</v>
      </c>
      <c r="K94">
        <f>K93*(1+Data!C94)</f>
        <v>1.2236439499304586</v>
      </c>
      <c r="L94">
        <f>K94/MAX($K$2:K94) - 1</f>
        <v>-0.11905477120256347</v>
      </c>
      <c r="M94">
        <f>M93*(1+Data!D94)</f>
        <v>2.0984065261162268</v>
      </c>
      <c r="N94">
        <f>M94/MAX($M$2:M94) - 1</f>
        <v>-0.37586789513435448</v>
      </c>
      <c r="O94">
        <f>O93*(1+Data!E94)</f>
        <v>1.5490354742789516</v>
      </c>
      <c r="P94">
        <f>O94/MAX($O$2:O94) - 1</f>
        <v>-4.1189103191303644E-2</v>
      </c>
      <c r="Q94">
        <f>Q93*(1+Data!F94)</f>
        <v>1.674377979887016</v>
      </c>
      <c r="R94">
        <f>Q94/MAX($Q$2:Q94) - 1</f>
        <v>-8.3202631880940903E-4</v>
      </c>
    </row>
    <row r="95" spans="8:18" x14ac:dyDescent="0.2">
      <c r="H95" s="3">
        <f>Data!A95</f>
        <v>40847</v>
      </c>
      <c r="I95">
        <f>I94*(1+Data!B95)</f>
        <v>1.538287221808833</v>
      </c>
      <c r="J95">
        <f>I95/MAX($I$2:I95) - 1</f>
        <v>-2.7483248959736528E-5</v>
      </c>
      <c r="K95">
        <f>K94*(1+Data!C95)</f>
        <v>1.3645340751043111</v>
      </c>
      <c r="L95">
        <f>K95/MAX($K$2:K95) - 1</f>
        <v>-1.7622909782717633E-2</v>
      </c>
      <c r="M95">
        <f>M94*(1+Data!D95)</f>
        <v>2.2940149591425816</v>
      </c>
      <c r="N95">
        <f>M95/MAX($M$2:M95) - 1</f>
        <v>-0.31768779441756545</v>
      </c>
      <c r="O95">
        <f>O94*(1+Data!E95)</f>
        <v>1.5347206445920447</v>
      </c>
      <c r="P95">
        <f>O95/MAX($O$2:O95) - 1</f>
        <v>-5.0049594069445535E-2</v>
      </c>
      <c r="Q95">
        <f>Q94*(1+Data!F95)</f>
        <v>1.6932569413838707</v>
      </c>
      <c r="R95">
        <f>Q95/MAX($Q$2:Q95) - 1</f>
        <v>0</v>
      </c>
    </row>
    <row r="96" spans="8:18" x14ac:dyDescent="0.2">
      <c r="H96" s="3">
        <f>Data!A96</f>
        <v>40877</v>
      </c>
      <c r="I96">
        <f>I95*(1+Data!B96)</f>
        <v>1.5410860447811661</v>
      </c>
      <c r="J96">
        <f>I96/MAX($I$2:I96) - 1</f>
        <v>0</v>
      </c>
      <c r="K96">
        <f>K95*(1+Data!C96)</f>
        <v>1.3410292072322667</v>
      </c>
      <c r="L96">
        <f>K96/MAX($K$2:K96) - 1</f>
        <v>-3.454490838089519E-2</v>
      </c>
      <c r="M96">
        <f>M95*(1+Data!D96)</f>
        <v>2.2248361897776876</v>
      </c>
      <c r="N96">
        <f>M96/MAX($M$2:M96) - 1</f>
        <v>-0.33826373639942653</v>
      </c>
      <c r="O96">
        <f>O95*(1+Data!E96)</f>
        <v>1.5247034355190707</v>
      </c>
      <c r="P96">
        <f>O96/MAX($O$2:O96) - 1</f>
        <v>-5.6249974483102094E-2</v>
      </c>
      <c r="Q96">
        <f>Q95*(1+Data!F96)</f>
        <v>1.7152049360951973</v>
      </c>
      <c r="R96">
        <f>Q96/MAX($Q$2:Q96) - 1</f>
        <v>0</v>
      </c>
    </row>
    <row r="97" spans="8:18" x14ac:dyDescent="0.2">
      <c r="H97" s="3">
        <f>Data!A97</f>
        <v>40907</v>
      </c>
      <c r="I97">
        <f>I96*(1+Data!B97)</f>
        <v>1.5518923763782708</v>
      </c>
      <c r="J97">
        <f>I97/MAX($I$2:I97) - 1</f>
        <v>0</v>
      </c>
      <c r="K97">
        <f>K96*(1+Data!C97)</f>
        <v>1.329207232267037</v>
      </c>
      <c r="L97">
        <f>K97/MAX($K$2:K97) - 1</f>
        <v>-4.3055972764594164E-2</v>
      </c>
      <c r="M97">
        <f>M96*(1+Data!D97)</f>
        <v>2.1302469434776881</v>
      </c>
      <c r="N97">
        <f>M97/MAX($M$2:M97) - 1</f>
        <v>-0.36639755349164604</v>
      </c>
      <c r="O97">
        <f>O96*(1+Data!E97)</f>
        <v>1.5209260337699599</v>
      </c>
      <c r="P97">
        <f>O97/MAX($O$2:O97) - 1</f>
        <v>-5.8588083596037399E-2</v>
      </c>
      <c r="Q97">
        <f>Q96*(1+Data!F97)</f>
        <v>1.7187387315196936</v>
      </c>
      <c r="R97">
        <f>Q97/MAX($Q$2:Q97) - 1</f>
        <v>0</v>
      </c>
    </row>
    <row r="98" spans="8:18" x14ac:dyDescent="0.2">
      <c r="H98" s="3">
        <f>Data!A98</f>
        <v>40939</v>
      </c>
      <c r="I98">
        <f>I97*(1+Data!B98)</f>
        <v>1.5582172089562321</v>
      </c>
      <c r="J98">
        <f>I98/MAX($I$2:I98) - 1</f>
        <v>0</v>
      </c>
      <c r="K98">
        <f>K97*(1+Data!C98)</f>
        <v>1.4304589707927671</v>
      </c>
      <c r="L98">
        <f>K98/MAX($K$2:K98) - 1</f>
        <v>0</v>
      </c>
      <c r="M98">
        <f>M97*(1+Data!D98)</f>
        <v>2.3628159444256078</v>
      </c>
      <c r="N98">
        <f>M98/MAX($M$2:M98) - 1</f>
        <v>-0.2972242173046018</v>
      </c>
      <c r="O98">
        <f>O97*(1+Data!E98)</f>
        <v>1.5402024638053065</v>
      </c>
      <c r="P98">
        <f>O98/MAX($O$2:O98) - 1</f>
        <v>-4.6656496827139238E-2</v>
      </c>
      <c r="Q98">
        <f>Q97*(1+Data!F98)</f>
        <v>1.762482471252856</v>
      </c>
      <c r="R98">
        <f>Q98/MAX($Q$2:Q98) - 1</f>
        <v>0</v>
      </c>
    </row>
    <row r="99" spans="8:18" x14ac:dyDescent="0.2">
      <c r="H99" s="3">
        <f>Data!A99</f>
        <v>40968</v>
      </c>
      <c r="I99">
        <f>I98*(1+Data!B99)</f>
        <v>1.5596546709057686</v>
      </c>
      <c r="J99">
        <f>I99/MAX($I$2:I99) - 1</f>
        <v>0</v>
      </c>
      <c r="K99">
        <f>K98*(1+Data!C99)</f>
        <v>1.5356050069541021</v>
      </c>
      <c r="L99">
        <f>K99/MAX($K$2:K99) - 1</f>
        <v>0</v>
      </c>
      <c r="M99">
        <f>M98*(1+Data!D99)</f>
        <v>2.381368187259127</v>
      </c>
      <c r="N99">
        <f>M99/MAX($M$2:M99) - 1</f>
        <v>-0.29170619673730325</v>
      </c>
      <c r="O99">
        <f>O98*(1+Data!E99)</f>
        <v>1.5523620341910551</v>
      </c>
      <c r="P99">
        <f>O99/MAX($O$2:O99) - 1</f>
        <v>-3.9130052933531778E-2</v>
      </c>
      <c r="Q99">
        <f>Q98*(1+Data!F99)</f>
        <v>1.756809167033937</v>
      </c>
      <c r="R99">
        <f>Q99/MAX($Q$2:Q99) - 1</f>
        <v>-3.2189280242237439E-3</v>
      </c>
    </row>
    <row r="100" spans="8:18" x14ac:dyDescent="0.2">
      <c r="H100" s="3">
        <f>Data!A100</f>
        <v>40998</v>
      </c>
      <c r="I100">
        <f>I99*(1+Data!B100)</f>
        <v>1.560669349928971</v>
      </c>
      <c r="J100">
        <f>I100/MAX($I$2:I100) - 1</f>
        <v>0</v>
      </c>
      <c r="K100">
        <f>K99*(1+Data!C100)</f>
        <v>1.6132127955493731</v>
      </c>
      <c r="L100">
        <f>K100/MAX($K$2:K100) - 1</f>
        <v>0</v>
      </c>
      <c r="M100">
        <f>M99*(1+Data!D100)</f>
        <v>2.2530682848187524</v>
      </c>
      <c r="N100">
        <f>M100/MAX($M$2:M100) - 1</f>
        <v>-0.32986662331221217</v>
      </c>
      <c r="O100">
        <f>O99*(1+Data!E100)</f>
        <v>1.5318932749257281</v>
      </c>
      <c r="P100">
        <f>O100/MAX($O$2:O100) - 1</f>
        <v>-5.1799659119848962E-2</v>
      </c>
      <c r="Q100">
        <f>Q99*(1+Data!F100)</f>
        <v>1.7472174365960189</v>
      </c>
      <c r="R100">
        <f>Q100/MAX($Q$2:Q100) - 1</f>
        <v>-8.66109870924614E-3</v>
      </c>
    </row>
    <row r="101" spans="8:18" x14ac:dyDescent="0.2">
      <c r="H101" s="3">
        <f>Data!A101</f>
        <v>41029</v>
      </c>
      <c r="I101">
        <f>I100*(1+Data!B101)</f>
        <v>1.5707907731854143</v>
      </c>
      <c r="J101">
        <f>I101/MAX($I$2:I101) - 1</f>
        <v>0</v>
      </c>
      <c r="K101">
        <f>K100*(1+Data!C101)</f>
        <v>1.5827538247566053</v>
      </c>
      <c r="L101">
        <f>K101/MAX($K$2:K101) - 1</f>
        <v>-1.8880938011897608E-2</v>
      </c>
      <c r="M101">
        <f>M100*(1+Data!D101)</f>
        <v>2.2600413763518223</v>
      </c>
      <c r="N101">
        <f>M101/MAX($M$2:M101) - 1</f>
        <v>-0.32779260655626408</v>
      </c>
      <c r="O101">
        <f>O100*(1+Data!E101)</f>
        <v>1.523018457554713</v>
      </c>
      <c r="P101">
        <f>O101/MAX($O$2:O101) - 1</f>
        <v>-5.7292930089952065E-2</v>
      </c>
      <c r="Q101">
        <f>Q100*(1+Data!F101)</f>
        <v>1.7827557193797845</v>
      </c>
      <c r="R101">
        <f>Q101/MAX($Q$2:Q101) - 1</f>
        <v>0</v>
      </c>
    </row>
    <row r="102" spans="8:18" x14ac:dyDescent="0.2">
      <c r="H102" s="3">
        <f>Data!A102</f>
        <v>41060</v>
      </c>
      <c r="I102">
        <f>I101*(1+Data!B102)</f>
        <v>1.5757627003991057</v>
      </c>
      <c r="J102">
        <f>I102/MAX($I$2:I102) - 1</f>
        <v>0</v>
      </c>
      <c r="K102">
        <f>K101*(1+Data!C102)</f>
        <v>1.4606397774687054</v>
      </c>
      <c r="L102">
        <f>K102/MAX($K$2:K102) - 1</f>
        <v>-9.4577118717130926E-2</v>
      </c>
      <c r="M102">
        <f>M101*(1+Data!D102)</f>
        <v>2.0420053000477409</v>
      </c>
      <c r="N102">
        <f>M102/MAX($M$2:M102) - 1</f>
        <v>-0.39264339383063396</v>
      </c>
      <c r="O102">
        <f>O101*(1+Data!E102)</f>
        <v>1.529166183037455</v>
      </c>
      <c r="P102">
        <f>O102/MAX($O$2:O102) - 1</f>
        <v>-5.3487654948538466E-2</v>
      </c>
      <c r="Q102">
        <f>Q101*(1+Data!F102)</f>
        <v>1.8156095997435813</v>
      </c>
      <c r="R102">
        <f>Q102/MAX($Q$2:Q102) - 1</f>
        <v>0</v>
      </c>
    </row>
    <row r="103" spans="8:18" x14ac:dyDescent="0.2">
      <c r="H103" s="3">
        <f>Data!A103</f>
        <v>41089</v>
      </c>
      <c r="I103">
        <f>I102*(1+Data!B103)</f>
        <v>1.57758912264087</v>
      </c>
      <c r="J103">
        <f>I103/MAX($I$2:I103) - 1</f>
        <v>0</v>
      </c>
      <c r="K103">
        <f>K102*(1+Data!C103)</f>
        <v>1.5040333796940186</v>
      </c>
      <c r="L103">
        <f>K103/MAX($K$2:K103) - 1</f>
        <v>-6.7678248124838247E-2</v>
      </c>
      <c r="M103">
        <f>M102*(1+Data!D103)</f>
        <v>2.0498391304046981</v>
      </c>
      <c r="N103">
        <f>M103/MAX($M$2:M103) - 1</f>
        <v>-0.39031336627448765</v>
      </c>
      <c r="O103">
        <f>O102*(1+Data!E103)</f>
        <v>1.5074494535998524</v>
      </c>
      <c r="P103">
        <f>O103/MAX($O$2:O103) - 1</f>
        <v>-6.6929720784707936E-2</v>
      </c>
      <c r="Q103">
        <f>Q102*(1+Data!F103)</f>
        <v>1.8091830602187604</v>
      </c>
      <c r="R103">
        <f>Q103/MAX($Q$2:Q103) - 1</f>
        <v>-3.5396042881291612E-3</v>
      </c>
    </row>
    <row r="104" spans="8:18" x14ac:dyDescent="0.2">
      <c r="H104" s="3">
        <f>Data!A104</f>
        <v>41121</v>
      </c>
      <c r="I104">
        <f>I103*(1+Data!B104)</f>
        <v>1.5902641547723726</v>
      </c>
      <c r="J104">
        <f>I104/MAX($I$2:I104) - 1</f>
        <v>0</v>
      </c>
      <c r="K104">
        <f>K103*(1+Data!C104)</f>
        <v>1.5187760778859518</v>
      </c>
      <c r="L104">
        <f>K104/MAX($K$2:K104) - 1</f>
        <v>-5.8539529269764579E-2</v>
      </c>
      <c r="M104">
        <f>M103*(1+Data!D104)</f>
        <v>1.9990790648114183</v>
      </c>
      <c r="N104">
        <f>M104/MAX($M$2:M104) - 1</f>
        <v>-0.40541100640644423</v>
      </c>
      <c r="O104">
        <f>O103*(1+Data!E104)</f>
        <v>1.5377325480094703</v>
      </c>
      <c r="P104">
        <f>O104/MAX($O$2:O104) - 1</f>
        <v>-4.8185307637847008E-2</v>
      </c>
      <c r="Q104">
        <f>Q103*(1+Data!F104)</f>
        <v>1.8350655074321904</v>
      </c>
      <c r="R104">
        <f>Q104/MAX($Q$2:Q104) - 1</f>
        <v>0</v>
      </c>
    </row>
    <row r="105" spans="8:18" x14ac:dyDescent="0.2">
      <c r="H105" s="3">
        <f>Data!A105</f>
        <v>41152</v>
      </c>
      <c r="I105">
        <f>I104*(1+Data!B105)</f>
        <v>1.5920567543800299</v>
      </c>
      <c r="J105">
        <f>I105/MAX($I$2:I105) - 1</f>
        <v>0</v>
      </c>
      <c r="K105">
        <f>K104*(1+Data!C105)</f>
        <v>1.5948539638386638</v>
      </c>
      <c r="L105">
        <f>K105/MAX($K$2:K105) - 1</f>
        <v>-1.138029140443142E-2</v>
      </c>
      <c r="M105">
        <f>M104*(1+Data!D105)</f>
        <v>2.0047029274806776</v>
      </c>
      <c r="N105">
        <f>M105/MAX($M$2:M105) - 1</f>
        <v>-0.40373829275370099</v>
      </c>
      <c r="O105">
        <f>O104*(1+Data!E105)</f>
        <v>1.5342230434655035</v>
      </c>
      <c r="P105">
        <f>O105/MAX($O$2:O105) - 1</f>
        <v>-5.0357595655151077E-2</v>
      </c>
      <c r="Q105">
        <f>Q104*(1+Data!F105)</f>
        <v>1.8358507953043006</v>
      </c>
      <c r="R105">
        <f>Q105/MAX($Q$2:Q105) - 1</f>
        <v>0</v>
      </c>
    </row>
    <row r="106" spans="8:18" x14ac:dyDescent="0.2">
      <c r="H106" s="3">
        <f>Data!A106</f>
        <v>41180</v>
      </c>
      <c r="I106">
        <f>I105*(1+Data!B106)</f>
        <v>1.5953629168639643</v>
      </c>
      <c r="J106">
        <f>I106/MAX($I$2:I106) - 1</f>
        <v>0</v>
      </c>
      <c r="K106">
        <f>K105*(1+Data!C106)</f>
        <v>1.6141863699582744</v>
      </c>
      <c r="L106">
        <f>K106/MAX($K$2:K106) - 1</f>
        <v>0</v>
      </c>
      <c r="M106">
        <f>M105*(1+Data!D106)</f>
        <v>2.225723913178852</v>
      </c>
      <c r="N106">
        <f>M106/MAX($M$2:M106) - 1</f>
        <v>-0.33799969953716391</v>
      </c>
      <c r="O106">
        <f>O105*(1+Data!E106)</f>
        <v>1.5337600764309769</v>
      </c>
      <c r="P106">
        <f>O106/MAX($O$2:O106) - 1</f>
        <v>-5.0644159678337131E-2</v>
      </c>
      <c r="Q106">
        <f>Q105*(1+Data!F106)</f>
        <v>1.8546175728194256</v>
      </c>
      <c r="R106">
        <f>Q106/MAX($Q$2:Q106) - 1</f>
        <v>0</v>
      </c>
    </row>
    <row r="107" spans="8:18" x14ac:dyDescent="0.2">
      <c r="H107" s="3">
        <f>Data!A107</f>
        <v>41213</v>
      </c>
      <c r="I107">
        <f>I106*(1+Data!B107)</f>
        <v>1.5926909287695314</v>
      </c>
      <c r="J107">
        <f>I107/MAX($I$2:I107) - 1</f>
        <v>-1.6748465607343554E-3</v>
      </c>
      <c r="K107">
        <f>K106*(1+Data!C107)</f>
        <v>1.5051460361613342</v>
      </c>
      <c r="L107">
        <f>K107/MAX($K$2:K107) - 1</f>
        <v>-6.7551266586248437E-2</v>
      </c>
      <c r="M107">
        <f>M106*(1+Data!D107)</f>
        <v>2.0193008918748743</v>
      </c>
      <c r="N107">
        <f>M107/MAX($M$2:M107) - 1</f>
        <v>-0.39939639897348733</v>
      </c>
      <c r="O107">
        <f>O106*(1+Data!E107)</f>
        <v>1.5055799636531433</v>
      </c>
      <c r="P107">
        <f>O107/MAX($O$2:O107) - 1</f>
        <v>-6.8086884298483086E-2</v>
      </c>
      <c r="Q107">
        <f>Q106*(1+Data!F107)</f>
        <v>1.865363195640853</v>
      </c>
      <c r="R107">
        <f>Q107/MAX($Q$2:Q107) - 1</f>
        <v>0</v>
      </c>
    </row>
    <row r="108" spans="8:18" x14ac:dyDescent="0.2">
      <c r="H108" s="3">
        <f>Data!A108</f>
        <v>41243</v>
      </c>
      <c r="I108">
        <f>I107*(1+Data!B108)</f>
        <v>1.5899512954068851</v>
      </c>
      <c r="J108">
        <f>I108/MAX($I$2:I108) - 1</f>
        <v>-3.392094300221582E-3</v>
      </c>
      <c r="K108">
        <f>K107*(1+Data!C108)</f>
        <v>1.5203059805285108</v>
      </c>
      <c r="L108">
        <f>K108/MAX($K$2:K108) - 1</f>
        <v>-5.8159572634844059E-2</v>
      </c>
      <c r="M108">
        <f>M107*(1+Data!D108)</f>
        <v>2.1605008060777569</v>
      </c>
      <c r="N108">
        <f>M108/MAX($M$2:M108) - 1</f>
        <v>-0.35739910313901357</v>
      </c>
      <c r="O108">
        <f>O107*(1+Data!E108)</f>
        <v>1.5046093600952055</v>
      </c>
      <c r="P108">
        <f>O108/MAX($O$2:O108) - 1</f>
        <v>-6.8687661545540735E-2</v>
      </c>
      <c r="Q108">
        <f>Q107*(1+Data!F108)</f>
        <v>1.8774630393845926</v>
      </c>
      <c r="R108">
        <f>Q108/MAX($Q$2:Q108) - 1</f>
        <v>0</v>
      </c>
    </row>
    <row r="109" spans="8:18" x14ac:dyDescent="0.2">
      <c r="H109" s="3">
        <f>Data!A109</f>
        <v>41274</v>
      </c>
      <c r="I109">
        <f>I108*(1+Data!B109)</f>
        <v>1.5921243996482435</v>
      </c>
      <c r="J109">
        <f>I109/MAX($I$2:I109) - 1</f>
        <v>-2.0299564327888042E-3</v>
      </c>
      <c r="K109">
        <f>K108*(1+Data!C109)</f>
        <v>1.5196105702364386</v>
      </c>
      <c r="L109">
        <f>K109/MAX($K$2:K109) - 1</f>
        <v>-5.8590384283990993E-2</v>
      </c>
      <c r="M109">
        <f>M108*(1+Data!D109)</f>
        <v>2.1445743701868851</v>
      </c>
      <c r="N109">
        <f>M109/MAX($M$2:M109) - 1</f>
        <v>-0.36213612612853652</v>
      </c>
      <c r="O109">
        <f>O108*(1+Data!E109)</f>
        <v>1.5199726057611114</v>
      </c>
      <c r="P109">
        <f>O109/MAX($O$2:O109) - 1</f>
        <v>-5.9178229644585523E-2</v>
      </c>
      <c r="Q109">
        <f>Q108*(1+Data!F109)</f>
        <v>1.8630473977322828</v>
      </c>
      <c r="R109">
        <f>Q109/MAX($Q$2:Q109) - 1</f>
        <v>-7.6782558963371939E-3</v>
      </c>
    </row>
    <row r="110" spans="8:18" x14ac:dyDescent="0.2">
      <c r="H110" s="3">
        <f>Data!A110</f>
        <v>41305</v>
      </c>
      <c r="I110">
        <f>I109*(1+Data!B110)</f>
        <v>1.5841591693161052</v>
      </c>
      <c r="J110">
        <f>I110/MAX($I$2:I110) - 1</f>
        <v>-7.0226952309274671E-3</v>
      </c>
      <c r="K110">
        <f>K109*(1+Data!C110)</f>
        <v>1.5401947148817794</v>
      </c>
      <c r="L110">
        <f>K110/MAX($K$2:K110) - 1</f>
        <v>-4.5838359469239975E-2</v>
      </c>
      <c r="M110">
        <f>M109*(1+Data!D110)</f>
        <v>2.1936005037121085</v>
      </c>
      <c r="N110">
        <f>M110/MAX($M$2:M110) - 1</f>
        <v>-0.34755421193331393</v>
      </c>
      <c r="O110">
        <f>O109*(1+Data!E110)</f>
        <v>1.5431822691908799</v>
      </c>
      <c r="P110">
        <f>O110/MAX($O$2:O110) - 1</f>
        <v>-4.481207820568256E-2</v>
      </c>
      <c r="Q110">
        <f>Q109*(1+Data!F110)</f>
        <v>1.8482150727192614</v>
      </c>
      <c r="R110">
        <f>Q110/MAX($Q$2:Q110) - 1</f>
        <v>-1.5578451373891355E-2</v>
      </c>
    </row>
    <row r="111" spans="8:18" x14ac:dyDescent="0.2">
      <c r="H111" s="3">
        <f>Data!A111</f>
        <v>41333</v>
      </c>
      <c r="I111">
        <f>I110*(1+Data!B111)</f>
        <v>1.5895285124805507</v>
      </c>
      <c r="J111">
        <f>I111/MAX($I$2:I111) - 1</f>
        <v>-3.6571016674264989E-3</v>
      </c>
      <c r="K111">
        <f>K110*(1+Data!C111)</f>
        <v>1.5492350486787194</v>
      </c>
      <c r="L111">
        <f>K111/MAX($K$2:K111) - 1</f>
        <v>-4.023780803032917E-2</v>
      </c>
      <c r="M111">
        <f>M110*(1+Data!D111)</f>
        <v>2.0700637251171057</v>
      </c>
      <c r="N111">
        <f>M111/MAX($M$2:M111) - 1</f>
        <v>-0.38429793565567794</v>
      </c>
      <c r="O111">
        <f>O110*(1+Data!E111)</f>
        <v>1.5327018100895411</v>
      </c>
      <c r="P111">
        <f>O111/MAX($O$2:O111) - 1</f>
        <v>-5.129919780802672E-2</v>
      </c>
      <c r="Q111">
        <f>Q110*(1+Data!F111)</f>
        <v>1.8579510397051182</v>
      </c>
      <c r="R111">
        <f>Q111/MAX($Q$2:Q111) - 1</f>
        <v>-1.0392747697376858E-2</v>
      </c>
    </row>
    <row r="112" spans="8:18" x14ac:dyDescent="0.2">
      <c r="H112" s="3">
        <f>Data!A112</f>
        <v>41362</v>
      </c>
      <c r="I112">
        <f>I111*(1+Data!B112)</f>
        <v>1.5913803016978949</v>
      </c>
      <c r="J112">
        <f>I112/MAX($I$2:I112) - 1</f>
        <v>-2.4963693990693869E-3</v>
      </c>
      <c r="K112">
        <f>K111*(1+Data!C112)</f>
        <v>1.5876216968011116</v>
      </c>
      <c r="L112">
        <f>K112/MAX($K$2:K112) - 1</f>
        <v>-1.6457004997415092E-2</v>
      </c>
      <c r="M112">
        <f>M111*(1+Data!D112)</f>
        <v>1.9763850353221195</v>
      </c>
      <c r="N112">
        <f>M112/MAX($M$2:M112) - 1</f>
        <v>-0.41216092460234988</v>
      </c>
      <c r="O112">
        <f>O111*(1+Data!E112)</f>
        <v>1.5389459929335143</v>
      </c>
      <c r="P112">
        <f>O112/MAX($O$2:O112) - 1</f>
        <v>-4.7434218179168153E-2</v>
      </c>
      <c r="Q112">
        <f>Q111*(1+Data!F112)</f>
        <v>1.8682238871749688</v>
      </c>
      <c r="R112">
        <f>Q112/MAX($Q$2:Q112) - 1</f>
        <v>-4.9210834066018005E-3</v>
      </c>
    </row>
    <row r="113" spans="8:18" x14ac:dyDescent="0.2">
      <c r="H113" s="3">
        <f>Data!A113</f>
        <v>41394</v>
      </c>
      <c r="I113">
        <f>I112*(1+Data!B113)</f>
        <v>1.5998444158831076</v>
      </c>
      <c r="J113">
        <f>I113/MAX($I$2:I113) - 1</f>
        <v>0</v>
      </c>
      <c r="K113">
        <f>K112*(1+Data!C113)</f>
        <v>1.6016689847009724</v>
      </c>
      <c r="L113">
        <f>K113/MAX($K$2:K113) - 1</f>
        <v>-7.7546096846459189E-3</v>
      </c>
      <c r="M113">
        <f>M112*(1+Data!D113)</f>
        <v>1.8762819403986795</v>
      </c>
      <c r="N113">
        <f>M113/MAX($M$2:M113) - 1</f>
        <v>-0.44193473370966663</v>
      </c>
      <c r="O113">
        <f>O112*(1+Data!E113)</f>
        <v>1.548994331328664</v>
      </c>
      <c r="P113">
        <f>O113/MAX($O$2:O113) - 1</f>
        <v>-4.1214569560355629E-2</v>
      </c>
      <c r="Q113">
        <f>Q112*(1+Data!F113)</f>
        <v>1.88051604631596</v>
      </c>
      <c r="R113">
        <f>Q113/MAX($Q$2:Q113) - 1</f>
        <v>0</v>
      </c>
    </row>
    <row r="114" spans="8:18" x14ac:dyDescent="0.2">
      <c r="H114" s="3">
        <f>Data!A114</f>
        <v>41425</v>
      </c>
      <c r="I114">
        <f>I113*(1+Data!B114)</f>
        <v>1.5753145504971913</v>
      </c>
      <c r="J114">
        <f>I114/MAX($I$2:I114) - 1</f>
        <v>-1.5332656814866508E-2</v>
      </c>
      <c r="K114">
        <f>K113*(1+Data!C114)</f>
        <v>1.6730180806675927</v>
      </c>
      <c r="L114">
        <f>K114/MAX($K$2:K114) - 1</f>
        <v>0</v>
      </c>
      <c r="M114">
        <f>M113*(1+Data!D114)</f>
        <v>1.9064576169158698</v>
      </c>
      <c r="N114">
        <f>M114/MAX($M$2:M114) - 1</f>
        <v>-0.432959538357374</v>
      </c>
      <c r="O114">
        <f>O113*(1+Data!E114)</f>
        <v>1.5296159037834893</v>
      </c>
      <c r="P114">
        <f>O114/MAX($O$2:O114) - 1</f>
        <v>-5.3209290018245703E-2</v>
      </c>
      <c r="Q114">
        <f>Q113*(1+Data!F114)</f>
        <v>1.7918826876076783</v>
      </c>
      <c r="R114">
        <f>Q114/MAX($Q$2:Q114) - 1</f>
        <v>-4.7132466049369603E-2</v>
      </c>
    </row>
    <row r="115" spans="8:18" x14ac:dyDescent="0.2">
      <c r="H115" s="3">
        <f>Data!A115</f>
        <v>41453</v>
      </c>
      <c r="I115">
        <f>I114*(1+Data!B115)</f>
        <v>1.5601620104173699</v>
      </c>
      <c r="J115">
        <f>I115/MAX($I$2:I115) - 1</f>
        <v>-2.4803915350626871E-2</v>
      </c>
      <c r="K115">
        <f>K114*(1+Data!C115)</f>
        <v>1.6121001390820573</v>
      </c>
      <c r="L115">
        <f>K115/MAX($K$2:K115) - 1</f>
        <v>-3.6412004322886382E-2</v>
      </c>
      <c r="M115">
        <f>M114*(1+Data!D115)</f>
        <v>1.7709888117791133</v>
      </c>
      <c r="N115">
        <f>M115/MAX($M$2:M115) - 1</f>
        <v>-0.47325222208731144</v>
      </c>
      <c r="O115">
        <f>O114*(1+Data!E115)</f>
        <v>1.5056177106773758</v>
      </c>
      <c r="P115">
        <f>O115/MAX($O$2:O115) - 1</f>
        <v>-6.806351991544779E-2</v>
      </c>
      <c r="Q115">
        <f>Q114*(1+Data!F115)</f>
        <v>1.6953323450458768</v>
      </c>
      <c r="R115">
        <f>Q115/MAX($Q$2:Q115) - 1</f>
        <v>-9.8474938106946186E-2</v>
      </c>
    </row>
    <row r="116" spans="8:18" x14ac:dyDescent="0.2">
      <c r="H116" s="3">
        <f>Data!A116</f>
        <v>41486</v>
      </c>
      <c r="I116">
        <f>I115*(1+Data!B116)</f>
        <v>1.5587583711019402</v>
      </c>
      <c r="J116">
        <f>I116/MAX($I$2:I116) - 1</f>
        <v>-2.5681275237309897E-2</v>
      </c>
      <c r="K116">
        <f>K115*(1+Data!C116)</f>
        <v>1.6789986091794147</v>
      </c>
      <c r="L116">
        <f>K116/MAX($K$2:K116) - 1</f>
        <v>0</v>
      </c>
      <c r="M116">
        <f>M115*(1+Data!D116)</f>
        <v>1.7873629148878749</v>
      </c>
      <c r="N116">
        <f>M116/MAX($M$2:M116) - 1</f>
        <v>-0.46838204878610978</v>
      </c>
      <c r="O116">
        <f>O115*(1+Data!E116)</f>
        <v>1.5047728108053848</v>
      </c>
      <c r="P116">
        <f>O116/MAX($O$2:O116) - 1</f>
        <v>-6.858648999420236E-2</v>
      </c>
      <c r="Q116">
        <f>Q115*(1+Data!F116)</f>
        <v>1.7079450298489538</v>
      </c>
      <c r="R116">
        <f>Q116/MAX($Q$2:Q116) - 1</f>
        <v>-9.1767904243669096E-2</v>
      </c>
    </row>
    <row r="117" spans="8:18" x14ac:dyDescent="0.2">
      <c r="H117" s="3">
        <f>Data!A117</f>
        <v>41516</v>
      </c>
      <c r="I117">
        <f>I116*(1+Data!B117)</f>
        <v>1.5543022390583767</v>
      </c>
      <c r="J117">
        <f>I117/MAX($I$2:I117) - 1</f>
        <v>-2.8466628612502709E-2</v>
      </c>
      <c r="K117">
        <f>K116*(1+Data!C117)</f>
        <v>1.6687065368567444</v>
      </c>
      <c r="L117">
        <f>K117/MAX($K$2:K117) - 1</f>
        <v>-6.1298873426108846E-3</v>
      </c>
      <c r="M117">
        <f>M116*(1+Data!D117)</f>
        <v>1.818421471420564</v>
      </c>
      <c r="N117">
        <f>M117/MAX($M$2:M117) - 1</f>
        <v>-0.45914425714679696</v>
      </c>
      <c r="O117">
        <f>O116*(1+Data!E117)</f>
        <v>1.4884841317518309</v>
      </c>
      <c r="P117">
        <f>O117/MAX($O$2:O117) - 1</f>
        <v>-7.8668740033335127E-2</v>
      </c>
      <c r="Q117">
        <f>Q116*(1+Data!F117)</f>
        <v>1.6907167755118409</v>
      </c>
      <c r="R117">
        <f>Q117/MAX($Q$2:Q117) - 1</f>
        <v>-0.10092935456517216</v>
      </c>
    </row>
    <row r="118" spans="8:18" x14ac:dyDescent="0.2">
      <c r="H118" s="3">
        <f>Data!A118</f>
        <v>41547</v>
      </c>
      <c r="I118">
        <f>I117*(1+Data!B118)</f>
        <v>1.5761854833254401</v>
      </c>
      <c r="J118">
        <f>I118/MAX($I$2:I118) - 1</f>
        <v>-1.4788270861081143E-2</v>
      </c>
      <c r="K118">
        <f>K117*(1+Data!C118)</f>
        <v>1.7164116828929057</v>
      </c>
      <c r="L118">
        <f>K118/MAX($K$2:K118) - 1</f>
        <v>0</v>
      </c>
      <c r="M118">
        <f>M117*(1+Data!D118)</f>
        <v>1.8470147446497873</v>
      </c>
      <c r="N118">
        <f>M118/MAX($M$2:M118) - 1</f>
        <v>-0.45063971830580163</v>
      </c>
      <c r="O118">
        <f>O117*(1+Data!E118)</f>
        <v>1.4860088281886947</v>
      </c>
      <c r="P118">
        <f>O118/MAX($O$2:O118) - 1</f>
        <v>-8.0200885725704829E-2</v>
      </c>
      <c r="Q118">
        <f>Q117*(1+Data!F118)</f>
        <v>1.7185384029808903</v>
      </c>
      <c r="R118">
        <f>Q118/MAX($Q$2:Q118) - 1</f>
        <v>-8.6134677580865793E-2</v>
      </c>
    </row>
    <row r="119" spans="8:18" x14ac:dyDescent="0.2">
      <c r="H119" s="3">
        <f>Data!A119</f>
        <v>41578</v>
      </c>
      <c r="I119">
        <f>I118*(1+Data!B119)</f>
        <v>1.5869241696543315</v>
      </c>
      <c r="J119">
        <f>I119/MAX($I$2:I119) - 1</f>
        <v>-8.0759391979026152E-3</v>
      </c>
      <c r="K119">
        <f>K118*(1+Data!C119)</f>
        <v>1.794853963838664</v>
      </c>
      <c r="L119">
        <f>K119/MAX($K$2:K119) - 1</f>
        <v>0</v>
      </c>
      <c r="M119">
        <f>M118*(1+Data!D119)</f>
        <v>1.8547510153812079</v>
      </c>
      <c r="N119">
        <f>M119/MAX($M$2:M119) - 1</f>
        <v>-0.44833870805096376</v>
      </c>
      <c r="O119">
        <f>O118*(1+Data!E119)</f>
        <v>1.4983343962291646</v>
      </c>
      <c r="P119">
        <f>O119/MAX($O$2:O119) - 1</f>
        <v>-7.2571693791246061E-2</v>
      </c>
      <c r="Q119">
        <f>Q118*(1+Data!F119)</f>
        <v>1.7328338475099179</v>
      </c>
      <c r="R119">
        <f>Q119/MAX($Q$2:Q119) - 1</f>
        <v>-7.8532804383860566E-2</v>
      </c>
    </row>
    <row r="120" spans="8:18" x14ac:dyDescent="0.2">
      <c r="H120" s="3">
        <f>Data!A120</f>
        <v>41607</v>
      </c>
      <c r="I120">
        <f>I119*(1+Data!B120)</f>
        <v>1.5770479604951622</v>
      </c>
      <c r="J120">
        <f>I120/MAX($I$2:I120) - 1</f>
        <v>-1.4249170207817907E-2</v>
      </c>
      <c r="K120">
        <f>K119*(1+Data!C120)</f>
        <v>1.8643949930458963</v>
      </c>
      <c r="L120">
        <f>K120/MAX($K$2:K120) - 1</f>
        <v>0</v>
      </c>
      <c r="M120">
        <f>M119*(1+Data!D120)</f>
        <v>1.7658015457319383</v>
      </c>
      <c r="N120">
        <f>M120/MAX($M$2:M120) - 1</f>
        <v>-0.4747950781717869</v>
      </c>
      <c r="O120">
        <f>O119*(1+Data!E120)</f>
        <v>1.5061826207998392</v>
      </c>
      <c r="P120">
        <f>O120/MAX($O$2:O120) - 1</f>
        <v>-6.7713855888942742E-2</v>
      </c>
      <c r="Q120">
        <f>Q119*(1+Data!F120)</f>
        <v>1.7130894667254313</v>
      </c>
      <c r="R120">
        <f>Q120/MAX($Q$2:Q120) - 1</f>
        <v>-8.9032252566271453E-2</v>
      </c>
    </row>
    <row r="121" spans="8:18" x14ac:dyDescent="0.2">
      <c r="H121" s="3">
        <f>Data!A121</f>
        <v>41639</v>
      </c>
      <c r="I121">
        <f>I120*(1+Data!B121)</f>
        <v>1.5696069809916786</v>
      </c>
      <c r="J121">
        <f>I121/MAX($I$2:I121) - 1</f>
        <v>-1.8900234667342919E-2</v>
      </c>
      <c r="K121">
        <f>K120*(1+Data!C121)</f>
        <v>1.9414464534075098</v>
      </c>
      <c r="L121">
        <f>K121/MAX($K$2:K121) - 1</f>
        <v>0</v>
      </c>
      <c r="M121">
        <f>M120*(1+Data!D121)</f>
        <v>1.852217232766195</v>
      </c>
      <c r="N121">
        <f>M121/MAX($M$2:M121) - 1</f>
        <v>-0.44909233469913612</v>
      </c>
      <c r="O121">
        <f>O120*(1+Data!E121)</f>
        <v>1.5132686450054778</v>
      </c>
      <c r="P121">
        <f>O121/MAX($O$2:O121) - 1</f>
        <v>-6.332779931617194E-2</v>
      </c>
      <c r="Q121">
        <f>Q120*(1+Data!F121)</f>
        <v>1.6773748948275187</v>
      </c>
      <c r="R121">
        <f>Q121/MAX($Q$2:Q121) - 1</f>
        <v>-0.10802415213973138</v>
      </c>
    </row>
    <row r="122" spans="8:18" x14ac:dyDescent="0.2">
      <c r="H122" s="3"/>
      <c r="J122" s="43"/>
      <c r="K122" s="43"/>
      <c r="L122" s="43"/>
      <c r="M122" s="43"/>
      <c r="N122" s="43"/>
      <c r="O122" s="43"/>
      <c r="P122" s="43"/>
      <c r="Q122" s="43"/>
      <c r="R122" s="43"/>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D73C8-7195-4B46-A489-F73625F14A20}">
  <sheetPr>
    <tabColor theme="7" tint="0.59999389629810485"/>
  </sheetPr>
  <dimension ref="A1:C76"/>
  <sheetViews>
    <sheetView workbookViewId="0">
      <selection activeCell="C3" sqref="C3"/>
    </sheetView>
  </sheetViews>
  <sheetFormatPr baseColWidth="10" defaultColWidth="8.83203125" defaultRowHeight="15" x14ac:dyDescent="0.2"/>
  <cols>
    <col min="3" max="3" width="12" bestFit="1" customWidth="1"/>
  </cols>
  <sheetData>
    <row r="1" spans="1:3" x14ac:dyDescent="0.2">
      <c r="A1" t="s">
        <v>93</v>
      </c>
    </row>
    <row r="2" spans="1:3" x14ac:dyDescent="0.2">
      <c r="A2" t="s">
        <v>94</v>
      </c>
      <c r="B2" t="s">
        <v>95</v>
      </c>
      <c r="C2" t="s">
        <v>96</v>
      </c>
    </row>
    <row r="3" spans="1:3" x14ac:dyDescent="0.2">
      <c r="A3">
        <v>-2.5000000000000001E-2</v>
      </c>
      <c r="B3" cm="1">
        <f t="array" ref="B3:B15">FREQUENCY(Data!B2:B121, A3:A14)</f>
        <v>0</v>
      </c>
      <c r="C3">
        <f>_xlfn.NORM.DIST(A3-0.0025, Asset_Stats!$B$2, Asset_Stats!$B$4, FALSE) * 0.005 * 120</f>
        <v>7.3744686062241615E-3</v>
      </c>
    </row>
    <row r="4" spans="1:3" x14ac:dyDescent="0.2">
      <c r="A4">
        <f>A3+0.005</f>
        <v>-0.02</v>
      </c>
      <c r="B4">
        <v>0</v>
      </c>
      <c r="C4">
        <f>_xlfn.NORM.DIST(A4-0.0025, Asset_Stats!$B$2, Asset_Stats!$B$4, FALSE) * 0.005 * 120</f>
        <v>8.5955369903026754E-2</v>
      </c>
    </row>
    <row r="5" spans="1:3" x14ac:dyDescent="0.2">
      <c r="A5">
        <f t="shared" ref="A5:A14" si="0">A4+0.005</f>
        <v>-1.4999999999999999E-2</v>
      </c>
      <c r="B5">
        <v>2</v>
      </c>
      <c r="C5">
        <f>_xlfn.NORM.DIST(A5-0.0025, Asset_Stats!$B$2, Asset_Stats!$B$4, FALSE) * 0.005 * 120</f>
        <v>0.65404201131754702</v>
      </c>
    </row>
    <row r="6" spans="1:3" x14ac:dyDescent="0.2">
      <c r="A6">
        <f>A5+0.005</f>
        <v>-9.9999999999999985E-3</v>
      </c>
      <c r="B6">
        <v>2</v>
      </c>
      <c r="C6">
        <f>_xlfn.NORM.DIST(A6-0.0025, Asset_Stats!$B$2, Asset_Stats!$B$4, FALSE) * 0.005 * 120</f>
        <v>3.2488422662224639</v>
      </c>
    </row>
    <row r="7" spans="1:3" x14ac:dyDescent="0.2">
      <c r="A7">
        <f t="shared" si="0"/>
        <v>-4.9999999999999984E-3</v>
      </c>
      <c r="B7">
        <v>10</v>
      </c>
      <c r="C7">
        <f>_xlfn.NORM.DIST(A7-0.0025, Asset_Stats!$B$2, Asset_Stats!$B$4, FALSE) * 0.005 * 120</f>
        <v>10.535179921379729</v>
      </c>
    </row>
    <row r="8" spans="1:3" x14ac:dyDescent="0.2">
      <c r="A8">
        <f t="shared" si="0"/>
        <v>0</v>
      </c>
      <c r="B8">
        <v>17</v>
      </c>
      <c r="C8">
        <f>_xlfn.NORM.DIST(A8-0.0025, Asset_Stats!$B$2, Asset_Stats!$B$4, FALSE) * 0.005 * 120</f>
        <v>22.302093729057269</v>
      </c>
    </row>
    <row r="9" spans="1:3" x14ac:dyDescent="0.2">
      <c r="A9">
        <f t="shared" si="0"/>
        <v>5.0000000000000001E-3</v>
      </c>
      <c r="B9">
        <v>37</v>
      </c>
      <c r="C9">
        <f>_xlfn.NORM.DIST(A9-0.0025, Asset_Stats!$B$2, Asset_Stats!$B$4, FALSE) * 0.005 * 120</f>
        <v>30.820498989576148</v>
      </c>
    </row>
    <row r="10" spans="1:3" x14ac:dyDescent="0.2">
      <c r="A10">
        <f t="shared" si="0"/>
        <v>0.01</v>
      </c>
      <c r="B10">
        <v>30</v>
      </c>
      <c r="C10">
        <f>_xlfn.NORM.DIST(A10-0.0025, Asset_Stats!$B$2, Asset_Stats!$B$4, FALSE) * 0.005 * 120</f>
        <v>27.80507328777523</v>
      </c>
    </row>
    <row r="11" spans="1:3" x14ac:dyDescent="0.2">
      <c r="A11">
        <f t="shared" si="0"/>
        <v>1.4999999999999999E-2</v>
      </c>
      <c r="B11">
        <v>17</v>
      </c>
      <c r="C11">
        <f>_xlfn.NORM.DIST(A11-0.0025, Asset_Stats!$B$2, Asset_Stats!$B$4, FALSE) * 0.005 * 120</f>
        <v>16.375658457684512</v>
      </c>
    </row>
    <row r="12" spans="1:3" x14ac:dyDescent="0.2">
      <c r="A12">
        <f t="shared" si="0"/>
        <v>0.02</v>
      </c>
      <c r="B12">
        <v>4</v>
      </c>
      <c r="C12">
        <f>_xlfn.NORM.DIST(A12-0.0025, Asset_Stats!$B$2, Asset_Stats!$B$4, FALSE) * 0.005 * 120</f>
        <v>6.2959873794389605</v>
      </c>
    </row>
    <row r="13" spans="1:3" x14ac:dyDescent="0.2">
      <c r="A13">
        <f t="shared" si="0"/>
        <v>2.5000000000000001E-2</v>
      </c>
      <c r="B13">
        <v>0</v>
      </c>
      <c r="C13">
        <f>_xlfn.NORM.DIST(A13-0.0025, Asset_Stats!$B$2, Asset_Stats!$B$4, FALSE) * 0.005 * 120</f>
        <v>1.5802262619239305</v>
      </c>
    </row>
    <row r="14" spans="1:3" x14ac:dyDescent="0.2">
      <c r="A14">
        <f t="shared" si="0"/>
        <v>3.0000000000000002E-2</v>
      </c>
      <c r="B14">
        <v>0</v>
      </c>
      <c r="C14">
        <f>_xlfn.NORM.DIST(A14-0.0025, Asset_Stats!$B$2, Asset_Stats!$B$4, FALSE) * 0.005 * 120</f>
        <v>0.25891967351514078</v>
      </c>
    </row>
    <row r="15" spans="1:3" x14ac:dyDescent="0.2">
      <c r="B15">
        <v>1</v>
      </c>
    </row>
    <row r="16" spans="1:3" x14ac:dyDescent="0.2">
      <c r="A16" t="s">
        <v>97</v>
      </c>
    </row>
    <row r="17" spans="1:3" x14ac:dyDescent="0.2">
      <c r="A17" t="s">
        <v>94</v>
      </c>
      <c r="B17" t="s">
        <v>95</v>
      </c>
      <c r="C17" t="s">
        <v>96</v>
      </c>
    </row>
    <row r="18" spans="1:3" x14ac:dyDescent="0.2">
      <c r="A18">
        <v>-0.22</v>
      </c>
      <c r="B18" cm="1">
        <f t="array" ref="B18:B28">FREQUENCY(Data!C4:C121, A18:A27)</f>
        <v>0</v>
      </c>
      <c r="C18">
        <f>_xlfn.NORM.DIST(A18-0.0025, Asset_Stats!$C$2, Asset_Stats!$C$4, FALSE) * 0.04 * 120</f>
        <v>3.943087545339158E-3</v>
      </c>
    </row>
    <row r="19" spans="1:3" x14ac:dyDescent="0.2">
      <c r="A19">
        <f>A18+0.04</f>
        <v>-0.18</v>
      </c>
      <c r="B19">
        <v>0</v>
      </c>
      <c r="C19">
        <f>_xlfn.NORM.DIST(A19-0.0025, Asset_Stats!$C$2, Asset_Stats!$C$4, FALSE) * 0.04 * 120</f>
        <v>7.1545274727314839E-2</v>
      </c>
    </row>
    <row r="20" spans="1:3" x14ac:dyDescent="0.2">
      <c r="A20">
        <f t="shared" ref="A20:A27" si="1">A19+0.04</f>
        <v>-0.13999999999999999</v>
      </c>
      <c r="B20">
        <v>1</v>
      </c>
      <c r="C20">
        <f>_xlfn.NORM.DIST(A20-0.0025, Asset_Stats!$C$2, Asset_Stats!$C$4, FALSE) * 0.04 * 120</f>
        <v>0.74643788369654518</v>
      </c>
    </row>
    <row r="21" spans="1:3" x14ac:dyDescent="0.2">
      <c r="A21">
        <f t="shared" si="1"/>
        <v>-9.9999999999999978E-2</v>
      </c>
      <c r="B21">
        <v>3</v>
      </c>
      <c r="C21">
        <f>_xlfn.NORM.DIST(A21-0.0025, Asset_Stats!$C$2, Asset_Stats!$C$4, FALSE) * 0.04 * 120</f>
        <v>4.4779018602722198</v>
      </c>
    </row>
    <row r="22" spans="1:3" x14ac:dyDescent="0.2">
      <c r="A22">
        <f t="shared" si="1"/>
        <v>-5.9999999999999977E-2</v>
      </c>
      <c r="B22">
        <v>11</v>
      </c>
      <c r="C22">
        <f>_xlfn.NORM.DIST(A22-0.0025, Asset_Stats!$C$2, Asset_Stats!$C$4, FALSE) * 0.04 * 120</f>
        <v>15.44627101148132</v>
      </c>
    </row>
    <row r="23" spans="1:3" x14ac:dyDescent="0.2">
      <c r="A23">
        <f t="shared" si="1"/>
        <v>-1.9999999999999976E-2</v>
      </c>
      <c r="B23">
        <v>17</v>
      </c>
      <c r="C23">
        <f>_xlfn.NORM.DIST(A23-0.0025, Asset_Stats!$C$2, Asset_Stats!$C$4, FALSE) * 0.04 * 120</f>
        <v>30.636624298869464</v>
      </c>
    </row>
    <row r="24" spans="1:3" x14ac:dyDescent="0.2">
      <c r="A24">
        <f t="shared" si="1"/>
        <v>2.0000000000000025E-2</v>
      </c>
      <c r="B24">
        <v>34</v>
      </c>
      <c r="C24">
        <f>_xlfn.NORM.DIST(A24-0.0025, Asset_Stats!$C$2, Asset_Stats!$C$4, FALSE) * 0.04 * 120</f>
        <v>34.940277684308782</v>
      </c>
    </row>
    <row r="25" spans="1:3" x14ac:dyDescent="0.2">
      <c r="A25">
        <f t="shared" si="1"/>
        <v>6.0000000000000026E-2</v>
      </c>
      <c r="B25">
        <v>37</v>
      </c>
      <c r="C25">
        <f>_xlfn.NORM.DIST(A25-0.0025, Asset_Stats!$C$2, Asset_Stats!$C$4, FALSE) * 0.04 * 120</f>
        <v>22.912895509948289</v>
      </c>
    </row>
    <row r="26" spans="1:3" x14ac:dyDescent="0.2">
      <c r="A26">
        <f t="shared" si="1"/>
        <v>0.10000000000000003</v>
      </c>
      <c r="B26">
        <v>11</v>
      </c>
      <c r="C26">
        <f>_xlfn.NORM.DIST(A26-0.0025, Asset_Stats!$C$2, Asset_Stats!$C$4, FALSE) * 0.04 * 120</f>
        <v>8.6397619788775888</v>
      </c>
    </row>
    <row r="27" spans="1:3" x14ac:dyDescent="0.2">
      <c r="A27">
        <f t="shared" si="1"/>
        <v>0.14000000000000004</v>
      </c>
      <c r="B27">
        <v>4</v>
      </c>
      <c r="C27">
        <f>_xlfn.NORM.DIST(A27-0.0025, Asset_Stats!$C$2, Asset_Stats!$C$4, FALSE) * 0.04 * 120</f>
        <v>1.8732328385727397</v>
      </c>
    </row>
    <row r="28" spans="1:3" x14ac:dyDescent="0.2">
      <c r="B28">
        <v>0</v>
      </c>
    </row>
    <row r="29" spans="1:3" x14ac:dyDescent="0.2">
      <c r="A29" t="s">
        <v>98</v>
      </c>
    </row>
    <row r="30" spans="1:3" x14ac:dyDescent="0.2">
      <c r="A30" t="s">
        <v>94</v>
      </c>
      <c r="B30" t="s">
        <v>95</v>
      </c>
      <c r="C30" t="s">
        <v>96</v>
      </c>
    </row>
    <row r="31" spans="1:3" x14ac:dyDescent="0.2">
      <c r="A31">
        <v>-0.3</v>
      </c>
      <c r="B31" cm="1">
        <f t="array" ref="B31:B41">FREQUENCY(Data!D4:D121, A31:A40)</f>
        <v>0</v>
      </c>
      <c r="C31">
        <f>_xlfn.NORM.DIST(A31-0.0025, Asset_Stats!$D$2, Asset_Stats!$D$4, FALSE) * 0.06 * 120</f>
        <v>3.7524044938312198E-3</v>
      </c>
    </row>
    <row r="32" spans="1:3" x14ac:dyDescent="0.2">
      <c r="A32">
        <f>A31+0.06</f>
        <v>-0.24</v>
      </c>
      <c r="B32">
        <v>1</v>
      </c>
      <c r="C32">
        <f>_xlfn.NORM.DIST(A32-0.0025, Asset_Stats!$D$2, Asset_Stats!$D$4, FALSE) * 0.06 * 120</f>
        <v>9.5703342687549459E-2</v>
      </c>
    </row>
    <row r="33" spans="1:3" x14ac:dyDescent="0.2">
      <c r="A33">
        <f t="shared" ref="A33:A40" si="2">A32+0.06</f>
        <v>-0.18</v>
      </c>
      <c r="B33">
        <v>1</v>
      </c>
      <c r="C33">
        <f>_xlfn.NORM.DIST(A33-0.0025, Asset_Stats!$D$2, Asset_Stats!$D$4, FALSE) * 0.06 * 120</f>
        <v>1.2201708245208311</v>
      </c>
    </row>
    <row r="34" spans="1:3" x14ac:dyDescent="0.2">
      <c r="A34">
        <f t="shared" si="2"/>
        <v>-0.12</v>
      </c>
      <c r="B34">
        <v>1</v>
      </c>
      <c r="C34">
        <f>_xlfn.NORM.DIST(A34-0.0025, Asset_Stats!$D$2, Asset_Stats!$D$4, FALSE) * 0.06 * 120</f>
        <v>7.7766085020302969</v>
      </c>
    </row>
    <row r="35" spans="1:3" x14ac:dyDescent="0.2">
      <c r="A35">
        <f t="shared" si="2"/>
        <v>-0.06</v>
      </c>
      <c r="B35">
        <v>13</v>
      </c>
      <c r="C35">
        <f>_xlfn.NORM.DIST(A35-0.0025, Asset_Stats!$D$2, Asset_Stats!$D$4, FALSE) * 0.06 * 120</f>
        <v>24.776268864630509</v>
      </c>
    </row>
    <row r="36" spans="1:3" x14ac:dyDescent="0.2">
      <c r="A36">
        <f t="shared" si="2"/>
        <v>0</v>
      </c>
      <c r="B36">
        <v>39</v>
      </c>
      <c r="C36">
        <f>_xlfn.NORM.DIST(A36-0.0025, Asset_Stats!$D$2, Asset_Stats!$D$4, FALSE) * 0.06 * 120</f>
        <v>39.460051213638621</v>
      </c>
    </row>
    <row r="37" spans="1:3" x14ac:dyDescent="0.2">
      <c r="A37">
        <f t="shared" si="2"/>
        <v>0.06</v>
      </c>
      <c r="B37">
        <v>37</v>
      </c>
      <c r="C37">
        <f>_xlfn.NORM.DIST(A37-0.0025, Asset_Stats!$D$2, Asset_Stats!$D$4, FALSE) * 0.06 * 120</f>
        <v>31.416330270644718</v>
      </c>
    </row>
    <row r="38" spans="1:3" x14ac:dyDescent="0.2">
      <c r="A38">
        <f t="shared" si="2"/>
        <v>0.12</v>
      </c>
      <c r="B38">
        <v>21</v>
      </c>
      <c r="C38">
        <f>_xlfn.NORM.DIST(A38-0.0025, Asset_Stats!$D$2, Asset_Stats!$D$4, FALSE) * 0.06 * 120</f>
        <v>12.503434782636274</v>
      </c>
    </row>
    <row r="39" spans="1:3" x14ac:dyDescent="0.2">
      <c r="A39">
        <f t="shared" si="2"/>
        <v>0.18</v>
      </c>
      <c r="B39">
        <v>4</v>
      </c>
      <c r="C39">
        <f>_xlfn.NORM.DIST(A39-0.0025, Asset_Stats!$D$2, Asset_Stats!$D$4, FALSE) * 0.06 * 120</f>
        <v>2.4875927501917316</v>
      </c>
    </row>
    <row r="40" spans="1:3" x14ac:dyDescent="0.2">
      <c r="A40">
        <f t="shared" si="2"/>
        <v>0.24</v>
      </c>
      <c r="B40">
        <v>1</v>
      </c>
      <c r="C40">
        <f>_xlfn.NORM.DIST(A40-0.0025, Asset_Stats!$D$2, Asset_Stats!$D$4, FALSE) * 0.06 * 120</f>
        <v>0.24740319374059649</v>
      </c>
    </row>
    <row r="41" spans="1:3" x14ac:dyDescent="0.2">
      <c r="B41">
        <v>0</v>
      </c>
    </row>
    <row r="44" spans="1:3" x14ac:dyDescent="0.2">
      <c r="A44" t="s">
        <v>99</v>
      </c>
    </row>
    <row r="45" spans="1:3" x14ac:dyDescent="0.2">
      <c r="A45" t="s">
        <v>94</v>
      </c>
      <c r="B45" t="s">
        <v>95</v>
      </c>
      <c r="C45" t="s">
        <v>96</v>
      </c>
    </row>
    <row r="46" spans="1:3" x14ac:dyDescent="0.2">
      <c r="A46">
        <v>-0.03</v>
      </c>
      <c r="B46" cm="1">
        <f t="array" ref="B46:B63">FREQUENCY(Data!E4:E121, A46:A62)</f>
        <v>0</v>
      </c>
      <c r="C46">
        <f>_xlfn.NORM.DIST(A46-0.0025, Asset_Stats!$E$2, Asset_Stats!$E$4, FALSE) * 0.005 * 120</f>
        <v>0.62574339575870697</v>
      </c>
    </row>
    <row r="47" spans="1:3" x14ac:dyDescent="0.2">
      <c r="A47">
        <f>A46+0.005</f>
        <v>-2.4999999999999998E-2</v>
      </c>
      <c r="B47">
        <v>2</v>
      </c>
      <c r="C47">
        <f>_xlfn.NORM.DIST(A47-0.0025, Asset_Stats!$E$2, Asset_Stats!$E$4, FALSE) * 0.005 * 120</f>
        <v>1.4690200427883882</v>
      </c>
    </row>
    <row r="48" spans="1:3" x14ac:dyDescent="0.2">
      <c r="A48">
        <f t="shared" ref="A48:A62" si="3">A47+0.005</f>
        <v>-1.9999999999999997E-2</v>
      </c>
      <c r="B48">
        <v>2</v>
      </c>
      <c r="C48">
        <f>_xlfn.NORM.DIST(A48-0.0025, Asset_Stats!$E$2, Asset_Stats!$E$4, FALSE) * 0.005 * 120</f>
        <v>3.0369105144131558</v>
      </c>
    </row>
    <row r="49" spans="1:3" x14ac:dyDescent="0.2">
      <c r="A49">
        <f t="shared" si="3"/>
        <v>-1.4999999999999996E-2</v>
      </c>
      <c r="B49">
        <v>5</v>
      </c>
      <c r="C49">
        <f>_xlfn.NORM.DIST(A49-0.0025, Asset_Stats!$E$2, Asset_Stats!$E$4, FALSE) * 0.005 * 120</f>
        <v>5.5285226938403769</v>
      </c>
    </row>
    <row r="50" spans="1:3" x14ac:dyDescent="0.2">
      <c r="A50">
        <f t="shared" si="3"/>
        <v>-9.999999999999995E-3</v>
      </c>
      <c r="B50">
        <v>13</v>
      </c>
      <c r="C50">
        <f>_xlfn.NORM.DIST(A50-0.0025, Asset_Stats!$E$2, Asset_Stats!$E$4, FALSE) * 0.005 * 120</f>
        <v>8.8625566774847684</v>
      </c>
    </row>
    <row r="51" spans="1:3" x14ac:dyDescent="0.2">
      <c r="A51">
        <f t="shared" si="3"/>
        <v>-4.9999999999999949E-3</v>
      </c>
      <c r="B51">
        <v>15</v>
      </c>
      <c r="C51">
        <f>_xlfn.NORM.DIST(A51-0.0025, Asset_Stats!$E$2, Asset_Stats!$E$4, FALSE) * 0.005 * 120</f>
        <v>12.510704952418408</v>
      </c>
    </row>
    <row r="52" spans="1:3" x14ac:dyDescent="0.2">
      <c r="A52">
        <f t="shared" si="3"/>
        <v>0</v>
      </c>
      <c r="B52">
        <v>19</v>
      </c>
      <c r="C52">
        <f>_xlfn.NORM.DIST(A52-0.0025, Asset_Stats!$E$2, Asset_Stats!$E$4, FALSE) * 0.005 * 120</f>
        <v>15.551681950004625</v>
      </c>
    </row>
    <row r="53" spans="1:3" x14ac:dyDescent="0.2">
      <c r="A53">
        <f t="shared" si="3"/>
        <v>5.0000000000000001E-3</v>
      </c>
      <c r="B53">
        <v>10</v>
      </c>
      <c r="C53">
        <f>_xlfn.NORM.DIST(A53-0.0025, Asset_Stats!$E$2, Asset_Stats!$E$4, FALSE) * 0.005 * 120</f>
        <v>17.023379353050295</v>
      </c>
    </row>
    <row r="54" spans="1:3" x14ac:dyDescent="0.2">
      <c r="A54">
        <f t="shared" si="3"/>
        <v>0.01</v>
      </c>
      <c r="B54">
        <v>13</v>
      </c>
      <c r="C54">
        <f>_xlfn.NORM.DIST(A54-0.0025, Asset_Stats!$E$2, Asset_Stats!$E$4, FALSE) * 0.005 * 120</f>
        <v>16.40918517462628</v>
      </c>
    </row>
    <row r="55" spans="1:3" x14ac:dyDescent="0.2">
      <c r="A55">
        <f t="shared" si="3"/>
        <v>1.4999999999999999E-2</v>
      </c>
      <c r="B55">
        <v>14</v>
      </c>
      <c r="C55">
        <f>_xlfn.NORM.DIST(A55-0.0025, Asset_Stats!$E$2, Asset_Stats!$E$4, FALSE) * 0.005 * 120</f>
        <v>13.928395245413425</v>
      </c>
    </row>
    <row r="56" spans="1:3" x14ac:dyDescent="0.2">
      <c r="A56">
        <f t="shared" si="3"/>
        <v>0.02</v>
      </c>
      <c r="B56">
        <v>10</v>
      </c>
      <c r="C56">
        <f>_xlfn.NORM.DIST(A56-0.0025, Asset_Stats!$E$2, Asset_Stats!$E$4, FALSE) * 0.005 * 120</f>
        <v>10.410892832572681</v>
      </c>
    </row>
    <row r="57" spans="1:3" x14ac:dyDescent="0.2">
      <c r="A57">
        <f t="shared" si="3"/>
        <v>2.5000000000000001E-2</v>
      </c>
      <c r="B57">
        <v>7</v>
      </c>
      <c r="C57">
        <f>_xlfn.NORM.DIST(A57-0.0025, Asset_Stats!$E$2, Asset_Stats!$E$4, FALSE) * 0.005 * 120</f>
        <v>6.8524787457306839</v>
      </c>
    </row>
    <row r="58" spans="1:3" x14ac:dyDescent="0.2">
      <c r="A58">
        <f t="shared" si="3"/>
        <v>3.0000000000000002E-2</v>
      </c>
      <c r="B58">
        <v>3</v>
      </c>
      <c r="C58">
        <f>_xlfn.NORM.DIST(A58-0.0025, Asset_Stats!$E$2, Asset_Stats!$E$4, FALSE) * 0.005 * 120</f>
        <v>3.9717348336217779</v>
      </c>
    </row>
    <row r="59" spans="1:3" x14ac:dyDescent="0.2">
      <c r="A59">
        <f t="shared" si="3"/>
        <v>3.5000000000000003E-2</v>
      </c>
      <c r="B59">
        <v>3</v>
      </c>
      <c r="C59">
        <f>_xlfn.NORM.DIST(A59-0.0025, Asset_Stats!$E$2, Asset_Stats!$E$4, FALSE) * 0.005 * 120</f>
        <v>2.0271487688392584</v>
      </c>
    </row>
    <row r="60" spans="1:3" x14ac:dyDescent="0.2">
      <c r="A60">
        <f t="shared" si="3"/>
        <v>0.04</v>
      </c>
      <c r="B60">
        <v>1</v>
      </c>
      <c r="C60">
        <f>_xlfn.NORM.DIST(A60-0.0025, Asset_Stats!$E$2, Asset_Stats!$E$4, FALSE) * 0.005 * 120</f>
        <v>0.91109534044291596</v>
      </c>
    </row>
    <row r="61" spans="1:3" x14ac:dyDescent="0.2">
      <c r="A61">
        <f t="shared" si="3"/>
        <v>4.4999999999999998E-2</v>
      </c>
      <c r="B61">
        <v>1</v>
      </c>
      <c r="C61">
        <f>_xlfn.NORM.DIST(A61-0.0025, Asset_Stats!$E$2, Asset_Stats!$E$4, FALSE) * 0.005 * 120</f>
        <v>0.36059097813712654</v>
      </c>
    </row>
    <row r="62" spans="1:3" x14ac:dyDescent="0.2">
      <c r="A62">
        <f t="shared" si="3"/>
        <v>4.9999999999999996E-2</v>
      </c>
      <c r="B62">
        <v>0</v>
      </c>
      <c r="C62">
        <f>_xlfn.NORM.DIST(A62-0.0025, Asset_Stats!$E$2, Asset_Stats!$E$4, FALSE) * 0.005 * 120</f>
        <v>0.12567205453554475</v>
      </c>
    </row>
    <row r="63" spans="1:3" x14ac:dyDescent="0.2">
      <c r="B63">
        <v>0</v>
      </c>
    </row>
    <row r="64" spans="1:3" x14ac:dyDescent="0.2">
      <c r="A64" t="s">
        <v>100</v>
      </c>
    </row>
    <row r="65" spans="1:3" x14ac:dyDescent="0.2">
      <c r="A65" t="s">
        <v>94</v>
      </c>
      <c r="B65" t="s">
        <v>95</v>
      </c>
      <c r="C65" t="s">
        <v>96</v>
      </c>
    </row>
    <row r="66" spans="1:3" x14ac:dyDescent="0.2">
      <c r="A66">
        <v>-0.1</v>
      </c>
      <c r="B66" cm="1">
        <f t="array" ref="B66:B76">FREQUENCY(Data!F4:F121, A66:A75)</f>
        <v>0</v>
      </c>
      <c r="C66">
        <f>_xlfn.NORM.DIST(A66-0.0025, Asset_Stats!$F$2, Asset_Stats!$F$4, FALSE) * 0.02 * 120</f>
        <v>6.3230531745888942E-5</v>
      </c>
    </row>
    <row r="67" spans="1:3" x14ac:dyDescent="0.2">
      <c r="A67">
        <f>A66+0.02</f>
        <v>-0.08</v>
      </c>
      <c r="B67">
        <v>1</v>
      </c>
      <c r="C67">
        <f>_xlfn.NORM.DIST(A67-0.0025, Asset_Stats!$F$2, Asset_Stats!$F$4, FALSE) * 0.02 * 120</f>
        <v>6.1449477145903864E-3</v>
      </c>
    </row>
    <row r="68" spans="1:3" x14ac:dyDescent="0.2">
      <c r="A68">
        <f t="shared" ref="A68:A75" si="4">A67+0.02</f>
        <v>-0.06</v>
      </c>
      <c r="B68">
        <v>0</v>
      </c>
      <c r="C68">
        <f>_xlfn.NORM.DIST(A68-0.0025, Asset_Stats!$F$2, Asset_Stats!$F$4, FALSE) * 0.02 * 120</f>
        <v>0.23250437960781412</v>
      </c>
    </row>
    <row r="69" spans="1:3" x14ac:dyDescent="0.2">
      <c r="A69">
        <f t="shared" si="4"/>
        <v>-3.9999999999999994E-2</v>
      </c>
      <c r="B69">
        <v>4</v>
      </c>
      <c r="C69">
        <f>_xlfn.NORM.DIST(A69-0.0025, Asset_Stats!$F$2, Asset_Stats!$F$4, FALSE) * 0.02 * 120</f>
        <v>3.425040191135476</v>
      </c>
    </row>
    <row r="70" spans="1:3" x14ac:dyDescent="0.2">
      <c r="A70">
        <f t="shared" si="4"/>
        <v>-1.9999999999999993E-2</v>
      </c>
      <c r="B70">
        <v>5</v>
      </c>
      <c r="C70">
        <f>_xlfn.NORM.DIST(A70-0.0025, Asset_Stats!$F$2, Asset_Stats!$F$4, FALSE) * 0.02 * 120</f>
        <v>19.643632216504482</v>
      </c>
    </row>
    <row r="71" spans="1:3" x14ac:dyDescent="0.2">
      <c r="A71">
        <f t="shared" si="4"/>
        <v>0</v>
      </c>
      <c r="B71">
        <v>28</v>
      </c>
      <c r="C71">
        <f>_xlfn.NORM.DIST(A71-0.0025, Asset_Stats!$F$2, Asset_Stats!$F$4, FALSE) * 0.02 * 120</f>
        <v>43.863118458327442</v>
      </c>
    </row>
    <row r="72" spans="1:3" x14ac:dyDescent="0.2">
      <c r="A72">
        <f t="shared" si="4"/>
        <v>0.02</v>
      </c>
      <c r="B72">
        <v>63</v>
      </c>
      <c r="C72">
        <f>_xlfn.NORM.DIST(A72-0.0025, Asset_Stats!$F$2, Asset_Stats!$F$4, FALSE) * 0.02 * 120</f>
        <v>38.132809443385213</v>
      </c>
    </row>
    <row r="73" spans="1:3" x14ac:dyDescent="0.2">
      <c r="A73">
        <f t="shared" si="4"/>
        <v>0.04</v>
      </c>
      <c r="B73">
        <v>12</v>
      </c>
      <c r="C73">
        <f>_xlfn.NORM.DIST(A73-0.0025, Asset_Stats!$F$2, Asset_Stats!$F$4, FALSE) * 0.02 * 120</f>
        <v>12.906832970509937</v>
      </c>
    </row>
    <row r="74" spans="1:3" x14ac:dyDescent="0.2">
      <c r="A74">
        <f t="shared" si="4"/>
        <v>0.06</v>
      </c>
      <c r="B74">
        <v>3</v>
      </c>
      <c r="C74">
        <f>_xlfn.NORM.DIST(A74-0.0025, Asset_Stats!$F$2, Asset_Stats!$F$4, FALSE) * 0.02 * 120</f>
        <v>1.7008349229081281</v>
      </c>
    </row>
    <row r="75" spans="1:3" x14ac:dyDescent="0.2">
      <c r="A75">
        <f t="shared" si="4"/>
        <v>0.08</v>
      </c>
      <c r="B75">
        <v>2</v>
      </c>
      <c r="C75">
        <f>_xlfn.NORM.DIST(A75-0.0025, Asset_Stats!$F$2, Asset_Stats!$F$4, FALSE) * 0.02 * 120</f>
        <v>8.7262213958041235E-2</v>
      </c>
    </row>
    <row r="76" spans="1:3" x14ac:dyDescent="0.2">
      <c r="B76">
        <v>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D9C4C-A5A1-426D-A5D2-9FC846AC4864}">
  <sheetPr>
    <tabColor theme="0" tint="-0.499984740745262"/>
  </sheetPr>
  <dimension ref="A1:S124"/>
  <sheetViews>
    <sheetView zoomScale="92" workbookViewId="0">
      <selection activeCell="S124" sqref="S124"/>
    </sheetView>
  </sheetViews>
  <sheetFormatPr baseColWidth="10" defaultColWidth="8.83203125" defaultRowHeight="15" x14ac:dyDescent="0.2"/>
  <sheetData>
    <row r="1" spans="1:16" x14ac:dyDescent="0.2">
      <c r="A1" t="s">
        <v>65</v>
      </c>
      <c r="B1" t="s">
        <v>101</v>
      </c>
      <c r="C1" t="s">
        <v>102</v>
      </c>
      <c r="D1" t="s">
        <v>5</v>
      </c>
      <c r="E1" t="s">
        <v>6</v>
      </c>
      <c r="F1" t="s">
        <v>8</v>
      </c>
      <c r="G1" t="s">
        <v>15</v>
      </c>
      <c r="H1" t="s">
        <v>16</v>
      </c>
      <c r="I1" t="s">
        <v>29</v>
      </c>
      <c r="J1" t="s">
        <v>103</v>
      </c>
    </row>
    <row r="2" spans="1:16" x14ac:dyDescent="0.2">
      <c r="A2" s="3">
        <f>Data!A2</f>
        <v>38016</v>
      </c>
      <c r="B2">
        <f>Data!B2 - Factors!AB4</f>
        <v>5.5343369776592599E-3</v>
      </c>
      <c r="C2">
        <f>Factors!N4 - Factors!E4</f>
        <v>1.2420117986135404E-2</v>
      </c>
      <c r="D2">
        <f>Factors!B4</f>
        <v>4.5136226661621759E-3</v>
      </c>
      <c r="E2">
        <f>Factors!C4</f>
        <v>2.1072107724726674E-3</v>
      </c>
      <c r="F2">
        <f>Factors!E4</f>
        <v>3.7328896444264181E-3</v>
      </c>
      <c r="G2">
        <f>Factors!L4</f>
        <v>5.1267545875612885E-3</v>
      </c>
      <c r="H2">
        <f>Factors!M4</f>
        <v>1.2326081607708428E-2</v>
      </c>
      <c r="I2">
        <f>Factors!Z4</f>
        <v>-3.1291370802744023E-2</v>
      </c>
    </row>
    <row r="3" spans="1:16" x14ac:dyDescent="0.2">
      <c r="A3" s="3">
        <f>Data!A3</f>
        <v>38044</v>
      </c>
      <c r="B3">
        <f>Data!B3 - Factors!AB5</f>
        <v>7.6974457288081499E-3</v>
      </c>
      <c r="C3">
        <f>Factors!N5 - Factors!E5</f>
        <v>-6.2488061553728214E-3</v>
      </c>
      <c r="D3">
        <f>Factors!B5</f>
        <v>1.4482163709197193E-2</v>
      </c>
      <c r="E3">
        <f>Factors!C5</f>
        <v>5.0261565288749477E-3</v>
      </c>
      <c r="F3">
        <f>Factors!E5</f>
        <v>5.1522151231468971E-3</v>
      </c>
      <c r="G3">
        <f>Factors!L5</f>
        <v>3.482482059940839E-3</v>
      </c>
      <c r="H3">
        <f>Factors!M5</f>
        <v>2.4775375158766044E-2</v>
      </c>
      <c r="I3">
        <f>Factors!Z5</f>
        <v>-1.5654118524040306E-2</v>
      </c>
      <c r="K3" t="s">
        <v>104</v>
      </c>
    </row>
    <row r="4" spans="1:16" ht="16" thickBot="1" x14ac:dyDescent="0.25">
      <c r="A4" s="3">
        <f>Data!A4</f>
        <v>38077</v>
      </c>
      <c r="B4">
        <f>Data!B4 - Factors!AB6</f>
        <v>3.5919500334087306E-3</v>
      </c>
      <c r="C4">
        <f>Factors!N6 - Factors!E6</f>
        <v>-4.4051421179847061E-3</v>
      </c>
      <c r="D4">
        <f>Factors!B6</f>
        <v>-4.7764906332409263E-3</v>
      </c>
      <c r="E4">
        <f>Factors!C6</f>
        <v>3.2149418248621497E-3</v>
      </c>
      <c r="F4">
        <f>Factors!E6</f>
        <v>1.1076523950998451E-2</v>
      </c>
      <c r="G4">
        <f>Factors!L6</f>
        <v>2.4958810951028809E-2</v>
      </c>
      <c r="H4">
        <f>Factors!M6</f>
        <v>1.7390173366180761E-2</v>
      </c>
      <c r="I4">
        <f>Factors!Z6</f>
        <v>7.6486179477470717E-2</v>
      </c>
    </row>
    <row r="5" spans="1:16" x14ac:dyDescent="0.2">
      <c r="A5" s="3">
        <f>Data!A5</f>
        <v>38107</v>
      </c>
      <c r="B5">
        <f>Data!B5 - Factors!AB7</f>
        <v>-1.8594570832542123E-2</v>
      </c>
      <c r="C5">
        <f>Factors!N7 - Factors!E7</f>
        <v>2.9962729013125688E-2</v>
      </c>
      <c r="D5">
        <f>Factors!B7</f>
        <v>-2.0876863765653453E-2</v>
      </c>
      <c r="E5">
        <f>Factors!C7</f>
        <v>-1.0071722875019007E-2</v>
      </c>
      <c r="F5">
        <f>Factors!E7</f>
        <v>-3.656403634352956E-2</v>
      </c>
      <c r="G5">
        <f>Factors!L7</f>
        <v>-5.4311022948801191E-2</v>
      </c>
      <c r="H5">
        <f>Factors!M7</f>
        <v>-4.6496063288188449E-2</v>
      </c>
      <c r="I5">
        <f>Factors!Z7</f>
        <v>-9.3094149372728308E-2</v>
      </c>
      <c r="K5" s="6" t="s">
        <v>105</v>
      </c>
      <c r="L5" s="6"/>
    </row>
    <row r="6" spans="1:16" x14ac:dyDescent="0.2">
      <c r="A6" s="3">
        <f>Data!A6</f>
        <v>38138</v>
      </c>
      <c r="B6">
        <f>Data!B6 - Factors!AB8</f>
        <v>-2.9775631526983704E-3</v>
      </c>
      <c r="C6">
        <f>Factors!N8 - Factors!E8</f>
        <v>-2.0611869928423898E-2</v>
      </c>
      <c r="D6">
        <f>Factors!B8</f>
        <v>-2.2641617192471486E-3</v>
      </c>
      <c r="E6">
        <f>Factors!C8</f>
        <v>-1.1304660603259631E-3</v>
      </c>
      <c r="F6">
        <f>Factors!E8</f>
        <v>4.9003611723277274E-3</v>
      </c>
      <c r="G6">
        <f>Factors!L8</f>
        <v>-1.4827673501862426E-2</v>
      </c>
      <c r="H6">
        <f>Factors!M8</f>
        <v>1.6443736395469921E-2</v>
      </c>
      <c r="I6">
        <f>Factors!Z8</f>
        <v>2.2753716871363849E-2</v>
      </c>
      <c r="K6" t="s">
        <v>106</v>
      </c>
      <c r="L6">
        <v>0.83504510336822269</v>
      </c>
    </row>
    <row r="7" spans="1:16" x14ac:dyDescent="0.2">
      <c r="A7" s="3">
        <f>Data!A7</f>
        <v>38168</v>
      </c>
      <c r="B7">
        <f>Data!B7 - Factors!AB9</f>
        <v>8.178461387757574E-3</v>
      </c>
      <c r="C7">
        <f>Factors!N9 - Factors!E9</f>
        <v>1.1604846771833266E-2</v>
      </c>
      <c r="D7">
        <f>Factors!B9</f>
        <v>3.3728520634501713E-3</v>
      </c>
      <c r="E7">
        <f>Factors!C9</f>
        <v>-1.0288595092333708E-4</v>
      </c>
      <c r="F7">
        <f>Factors!E9</f>
        <v>2.922565977729219E-3</v>
      </c>
      <c r="G7">
        <f>Factors!L9</f>
        <v>1.4683748761058713E-2</v>
      </c>
      <c r="H7">
        <f>Factors!M9</f>
        <v>-2.6148152171382444E-3</v>
      </c>
      <c r="I7">
        <f>Factors!Z9</f>
        <v>-3.2865630135254786E-3</v>
      </c>
      <c r="K7" t="s">
        <v>107</v>
      </c>
      <c r="L7">
        <v>0.69730032465924574</v>
      </c>
    </row>
    <row r="8" spans="1:16" x14ac:dyDescent="0.2">
      <c r="A8" s="3">
        <f>Data!A8</f>
        <v>38198</v>
      </c>
      <c r="B8">
        <f>Data!B8 - Factors!AB10</f>
        <v>7.9909891920098008E-3</v>
      </c>
      <c r="C8">
        <f>Factors!N10 - Factors!E10</f>
        <v>1.3683915879593833E-2</v>
      </c>
      <c r="D8">
        <f>Factors!B10</f>
        <v>1.1548622371622796E-2</v>
      </c>
      <c r="E8">
        <f>Factors!C10</f>
        <v>3.6528270823688036E-3</v>
      </c>
      <c r="F8">
        <f>Factors!E10</f>
        <v>-2.074828000888651E-4</v>
      </c>
      <c r="G8">
        <f>Factors!L10</f>
        <v>2.9702253898194586E-2</v>
      </c>
      <c r="H8">
        <f>Factors!M10</f>
        <v>1.613455314911616E-2</v>
      </c>
      <c r="I8">
        <f>Factors!Z10</f>
        <v>-8.1166772352567751E-3</v>
      </c>
      <c r="K8" t="s">
        <v>108</v>
      </c>
      <c r="L8">
        <v>0.67838159495044859</v>
      </c>
    </row>
    <row r="9" spans="1:16" x14ac:dyDescent="0.2">
      <c r="A9" s="3">
        <f>Data!A9</f>
        <v>38230</v>
      </c>
      <c r="B9">
        <f>Data!B9 - Factors!AB11</f>
        <v>1.4327929997212108E-2</v>
      </c>
      <c r="C9">
        <f>Factors!N11 - Factors!E11</f>
        <v>-3.7153097343818331E-3</v>
      </c>
      <c r="D9">
        <f>Factors!B11</f>
        <v>1.8101549802851391E-2</v>
      </c>
      <c r="E9">
        <f>Factors!C11</f>
        <v>7.1252819356160124E-3</v>
      </c>
      <c r="F9">
        <f>Factors!E11</f>
        <v>2.1887266998019905E-2</v>
      </c>
      <c r="G9">
        <f>Factors!L11</f>
        <v>4.1283114327875792E-2</v>
      </c>
      <c r="H9">
        <f>Factors!M11</f>
        <v>2.597651165995507E-2</v>
      </c>
      <c r="I9">
        <f>Factors!Z11</f>
        <v>4.8075693645313944E-2</v>
      </c>
      <c r="K9" t="s">
        <v>109</v>
      </c>
      <c r="L9">
        <v>4.3543119585849818E-3</v>
      </c>
    </row>
    <row r="10" spans="1:16" ht="16" thickBot="1" x14ac:dyDescent="0.25">
      <c r="A10" s="3">
        <f>Data!A10</f>
        <v>38260</v>
      </c>
      <c r="B10">
        <f>Data!B10 - Factors!AB12</f>
        <v>3.1251778435947841E-4</v>
      </c>
      <c r="C10">
        <f>Factors!N12 - Factors!E12</f>
        <v>2.1144631329188535E-3</v>
      </c>
      <c r="D10">
        <f>Factors!B12</f>
        <v>3.7546187029973144E-3</v>
      </c>
      <c r="E10">
        <f>Factors!C12</f>
        <v>-8.1437369572956442E-4</v>
      </c>
      <c r="F10">
        <f>Factors!E12</f>
        <v>1.1817089718343832E-2</v>
      </c>
      <c r="G10">
        <f>Factors!L12</f>
        <v>1.6634612140230098E-2</v>
      </c>
      <c r="H10">
        <f>Factors!M12</f>
        <v>1.5744976158673651E-3</v>
      </c>
      <c r="I10">
        <f>Factors!Z12</f>
        <v>2.0495303159692613E-2</v>
      </c>
      <c r="K10" s="4" t="s">
        <v>110</v>
      </c>
      <c r="L10" s="4">
        <v>120</v>
      </c>
    </row>
    <row r="11" spans="1:16" x14ac:dyDescent="0.2">
      <c r="A11" s="3">
        <f>Data!A11</f>
        <v>38289</v>
      </c>
      <c r="B11">
        <f>Data!B11 - Factors!AB13</f>
        <v>6.8457420042600248E-3</v>
      </c>
      <c r="C11">
        <f>Factors!N13 - Factors!E13</f>
        <v>-4.6737517268924389E-3</v>
      </c>
      <c r="D11">
        <f>Factors!B13</f>
        <v>6.7472551964213867E-3</v>
      </c>
      <c r="E11">
        <f>Factors!C13</f>
        <v>3.1582700830319332E-3</v>
      </c>
      <c r="F11">
        <f>Factors!E13</f>
        <v>2.3953957382419455E-2</v>
      </c>
      <c r="G11">
        <f>Factors!L13</f>
        <v>1.6096913375373223E-2</v>
      </c>
      <c r="H11">
        <f>Factors!M13</f>
        <v>1.42003546363485E-2</v>
      </c>
      <c r="I11">
        <f>Factors!Z13</f>
        <v>2.462641960549905E-2</v>
      </c>
    </row>
    <row r="12" spans="1:16" ht="16" thickBot="1" x14ac:dyDescent="0.25">
      <c r="A12" s="3">
        <f>Data!A12</f>
        <v>38321</v>
      </c>
      <c r="B12">
        <f>Data!B12 - Factors!AB14</f>
        <v>-3.87966923453964E-3</v>
      </c>
      <c r="C12">
        <f>Factors!N14 - Factors!E14</f>
        <v>-1.6092938490188002E-2</v>
      </c>
      <c r="D12">
        <f>Factors!B14</f>
        <v>-8.6422779012063078E-3</v>
      </c>
      <c r="E12">
        <f>Factors!C14</f>
        <v>-5.1287259432286625E-3</v>
      </c>
      <c r="F12">
        <f>Factors!E14</f>
        <v>2.6496978688449468E-2</v>
      </c>
      <c r="G12">
        <f>Factors!L14</f>
        <v>6.9900375632860889E-3</v>
      </c>
      <c r="H12">
        <f>Factors!M14</f>
        <v>-7.0595322049834541E-3</v>
      </c>
      <c r="I12">
        <f>Factors!Z14</f>
        <v>5.2269280130673224E-2</v>
      </c>
      <c r="K12" t="s">
        <v>111</v>
      </c>
    </row>
    <row r="13" spans="1:16" x14ac:dyDescent="0.2">
      <c r="A13" s="3">
        <f>Data!A13</f>
        <v>38352</v>
      </c>
      <c r="B13">
        <f>Data!B13 - Factors!AB15</f>
        <v>5.1129046055757854E-3</v>
      </c>
      <c r="C13">
        <f>Factors!N15 - Factors!E15</f>
        <v>-2.4049778699852808E-4</v>
      </c>
      <c r="D13">
        <f>Factors!B15</f>
        <v>9.7161350901135979E-3</v>
      </c>
      <c r="E13">
        <f>Factors!C15</f>
        <v>2.1437321355655126E-3</v>
      </c>
      <c r="F13">
        <f>Factors!E15</f>
        <v>1.5321933507419283E-2</v>
      </c>
      <c r="G13">
        <f>Factors!L15</f>
        <v>2.5041357163709366E-2</v>
      </c>
      <c r="H13">
        <f>Factors!M15</f>
        <v>1.3768153469411848E-2</v>
      </c>
      <c r="I13">
        <f>Factors!Z15</f>
        <v>-2.7719259341390412E-2</v>
      </c>
      <c r="K13" s="5"/>
      <c r="L13" s="5" t="s">
        <v>112</v>
      </c>
      <c r="M13" s="5" t="s">
        <v>113</v>
      </c>
      <c r="N13" s="5" t="s">
        <v>114</v>
      </c>
      <c r="O13" s="5" t="s">
        <v>115</v>
      </c>
      <c r="P13" s="5" t="s">
        <v>116</v>
      </c>
    </row>
    <row r="14" spans="1:16" x14ac:dyDescent="0.2">
      <c r="A14" s="3">
        <f>Data!A14</f>
        <v>38383</v>
      </c>
      <c r="B14">
        <f>Data!B14 - Factors!AB16</f>
        <v>3.6364555408368027E-3</v>
      </c>
      <c r="C14">
        <f>Factors!N16 - Factors!E16</f>
        <v>9.5053028331726352E-3</v>
      </c>
      <c r="D14">
        <f>Factors!B16</f>
        <v>5.2499574790305648E-3</v>
      </c>
      <c r="E14">
        <f>Factors!C16</f>
        <v>-4.0745645309159251E-4</v>
      </c>
      <c r="F14">
        <f>Factors!E16</f>
        <v>-1.0524263850465232E-2</v>
      </c>
      <c r="G14">
        <f>Factors!L16</f>
        <v>6.2656245055536797E-3</v>
      </c>
      <c r="H14">
        <f>Factors!M16</f>
        <v>5.4076539101497456E-3</v>
      </c>
      <c r="I14">
        <f>Factors!Z16</f>
        <v>-3.615007412475757E-2</v>
      </c>
      <c r="K14" t="s">
        <v>117</v>
      </c>
      <c r="L14">
        <v>7</v>
      </c>
      <c r="M14">
        <v>4.8917585798147669E-3</v>
      </c>
      <c r="N14">
        <v>6.9882265425925245E-4</v>
      </c>
      <c r="O14">
        <v>36.857671492341453</v>
      </c>
      <c r="P14">
        <v>2.7273079059648087E-26</v>
      </c>
    </row>
    <row r="15" spans="1:16" x14ac:dyDescent="0.2">
      <c r="A15" s="3">
        <f>Data!A15</f>
        <v>38411</v>
      </c>
      <c r="B15">
        <f>Data!B15 - Factors!AB17</f>
        <v>-6.2576927518297465E-3</v>
      </c>
      <c r="C15">
        <f>Factors!N17 - Factors!E17</f>
        <v>1.2380415720134375E-2</v>
      </c>
      <c r="D15">
        <f>Factors!B17</f>
        <v>-4.6337596049937924E-3</v>
      </c>
      <c r="E15">
        <f>Factors!C17</f>
        <v>-2.4457352491592532E-3</v>
      </c>
      <c r="F15">
        <f>Factors!E17</f>
        <v>1.9035658999762006E-3</v>
      </c>
      <c r="G15">
        <f>Factors!L17</f>
        <v>6.6668763168653555E-3</v>
      </c>
      <c r="H15">
        <f>Factors!M17</f>
        <v>-7.1714246310853325E-3</v>
      </c>
      <c r="I15">
        <f>Factors!Z17</f>
        <v>3.0880265026029141E-2</v>
      </c>
      <c r="K15" t="s">
        <v>118</v>
      </c>
      <c r="L15">
        <v>112</v>
      </c>
      <c r="M15">
        <v>2.123523654859732E-3</v>
      </c>
      <c r="N15">
        <v>1.8960032632676178E-5</v>
      </c>
    </row>
    <row r="16" spans="1:16" ht="16" thickBot="1" x14ac:dyDescent="0.25">
      <c r="A16" s="3">
        <f>Data!A16</f>
        <v>38442</v>
      </c>
      <c r="B16">
        <f>Data!B16 - Factors!AB18</f>
        <v>-4.1361703030331487E-3</v>
      </c>
      <c r="C16">
        <f>Factors!N18 - Factors!E18</f>
        <v>-1.521477682983563E-2</v>
      </c>
      <c r="D16">
        <f>Factors!B18</f>
        <v>-7.0461486158993614E-3</v>
      </c>
      <c r="E16">
        <f>Factors!C18</f>
        <v>-5.1077740320759624E-5</v>
      </c>
      <c r="F16">
        <f>Factors!E18</f>
        <v>-1.2098136671757076E-2</v>
      </c>
      <c r="G16">
        <f>Factors!L18</f>
        <v>-2.5459998125644367E-2</v>
      </c>
      <c r="H16">
        <f>Factors!M18</f>
        <v>-4.4377508572096547E-3</v>
      </c>
      <c r="I16">
        <f>Factors!Z18</f>
        <v>-1.675657064156999E-2</v>
      </c>
      <c r="K16" s="4" t="s">
        <v>119</v>
      </c>
      <c r="L16" s="4">
        <v>119</v>
      </c>
      <c r="M16" s="4">
        <v>7.0152822346744989E-3</v>
      </c>
      <c r="N16" s="4"/>
      <c r="O16" s="4"/>
      <c r="P16" s="4"/>
    </row>
    <row r="17" spans="1:19" ht="16" thickBot="1" x14ac:dyDescent="0.25">
      <c r="A17" s="3">
        <f>Data!A17</f>
        <v>38471</v>
      </c>
      <c r="B17">
        <f>Data!B17 - Factors!AB19</f>
        <v>8.8541607298897596E-3</v>
      </c>
      <c r="C17">
        <f>Factors!N19 - Factors!E19</f>
        <v>-2.3814428132110432E-2</v>
      </c>
      <c r="D17">
        <f>Factors!B19</f>
        <v>1.4397937670063143E-2</v>
      </c>
      <c r="E17">
        <f>Factors!C19</f>
        <v>5.8231598304132604E-3</v>
      </c>
      <c r="F17">
        <f>Factors!E19</f>
        <v>1.3086725952309086E-2</v>
      </c>
      <c r="G17">
        <f>Factors!L19</f>
        <v>1.5771252724708251E-2</v>
      </c>
      <c r="H17">
        <f>Factors!M19</f>
        <v>2.5283828043532353E-2</v>
      </c>
      <c r="I17">
        <f>Factors!Z19</f>
        <v>1.4100618652970631E-2</v>
      </c>
    </row>
    <row r="18" spans="1:19" x14ac:dyDescent="0.2">
      <c r="A18" s="3">
        <f>Data!A18</f>
        <v>38503</v>
      </c>
      <c r="B18">
        <f>Data!B18 - Factors!AB20</f>
        <v>5.4878374212958825E-3</v>
      </c>
      <c r="C18">
        <f>Factors!N20 - Factors!E20</f>
        <v>3.1300320914615098E-2</v>
      </c>
      <c r="D18">
        <f>Factors!B20</f>
        <v>5.0434595426038786E-3</v>
      </c>
      <c r="E18">
        <f>Factors!C20</f>
        <v>3.8088466812249422E-3</v>
      </c>
      <c r="F18">
        <f>Factors!E20</f>
        <v>-1.3397377359409934E-2</v>
      </c>
      <c r="G18">
        <f>Factors!L20</f>
        <v>2.9916687705125122E-2</v>
      </c>
      <c r="H18">
        <f>Factors!M20</f>
        <v>6.918928210748021E-3</v>
      </c>
      <c r="I18">
        <f>Factors!Z20</f>
        <v>-3.9457630240106734E-2</v>
      </c>
      <c r="K18" s="5"/>
      <c r="L18" s="5" t="s">
        <v>120</v>
      </c>
      <c r="M18" s="5" t="s">
        <v>109</v>
      </c>
      <c r="N18" s="5" t="s">
        <v>121</v>
      </c>
      <c r="O18" s="5" t="s">
        <v>122</v>
      </c>
      <c r="P18" s="5" t="s">
        <v>123</v>
      </c>
      <c r="Q18" s="5" t="s">
        <v>124</v>
      </c>
      <c r="R18" s="5" t="s">
        <v>125</v>
      </c>
      <c r="S18" s="5" t="s">
        <v>126</v>
      </c>
    </row>
    <row r="19" spans="1:19" x14ac:dyDescent="0.2">
      <c r="A19" s="3">
        <f>Data!A19</f>
        <v>38533</v>
      </c>
      <c r="B19">
        <f>Data!B19 - Factors!AB21</f>
        <v>1.3617323913872603E-3</v>
      </c>
      <c r="C19">
        <f>Factors!N21 - Factors!E21</f>
        <v>2.3515644566541316E-2</v>
      </c>
      <c r="D19">
        <f>Factors!B21</f>
        <v>5.3472182872160712E-3</v>
      </c>
      <c r="E19">
        <f>Factors!C21</f>
        <v>1.8719012445613803E-3</v>
      </c>
      <c r="F19">
        <f>Factors!E21</f>
        <v>-4.4845892626027561E-3</v>
      </c>
      <c r="G19">
        <f>Factors!L21</f>
        <v>1.77717857580586E-2</v>
      </c>
      <c r="H19">
        <f>Factors!M21</f>
        <v>3.6562030971027948E-3</v>
      </c>
      <c r="I19">
        <f>Factors!Z21</f>
        <v>4.3738765727980855E-2</v>
      </c>
      <c r="K19" t="s">
        <v>127</v>
      </c>
      <c r="L19">
        <v>1.4878996769593624E-4</v>
      </c>
      <c r="M19">
        <v>5.0931757808906307E-4</v>
      </c>
      <c r="N19">
        <v>0.29213593658830622</v>
      </c>
      <c r="O19">
        <v>0.77072314584223012</v>
      </c>
      <c r="P19">
        <v>-8.6035752635079386E-4</v>
      </c>
      <c r="Q19">
        <v>1.1579374617426664E-3</v>
      </c>
      <c r="R19">
        <v>-8.6035752635079386E-4</v>
      </c>
      <c r="S19">
        <v>1.1579374617426664E-3</v>
      </c>
    </row>
    <row r="20" spans="1:19" x14ac:dyDescent="0.2">
      <c r="A20" s="3">
        <f>Data!A20</f>
        <v>38562</v>
      </c>
      <c r="B20">
        <f>Data!B20 - Factors!AB22</f>
        <v>-7.449867875414129E-3</v>
      </c>
      <c r="C20">
        <f>Factors!N22 - Factors!E22</f>
        <v>2.3707030865645295E-2</v>
      </c>
      <c r="D20">
        <f>Factors!B22</f>
        <v>-5.8462084189330188E-3</v>
      </c>
      <c r="E20">
        <f>Factors!C22</f>
        <v>-2.9793465636519523E-3</v>
      </c>
      <c r="F20">
        <f>Factors!E22</f>
        <v>-8.006846642818255E-3</v>
      </c>
      <c r="G20">
        <f>Factors!L22</f>
        <v>-2.4686897880541459E-3</v>
      </c>
      <c r="H20">
        <f>Factors!M22</f>
        <v>-1.8193157898467094E-2</v>
      </c>
      <c r="I20">
        <f>Factors!Z22</f>
        <v>-1.3088404133180243E-2</v>
      </c>
      <c r="K20" t="s">
        <v>102</v>
      </c>
      <c r="L20">
        <v>-9.2828826307125203E-2</v>
      </c>
      <c r="M20">
        <v>2.4534565948237049E-2</v>
      </c>
      <c r="N20">
        <v>-3.7835935839653807</v>
      </c>
      <c r="O20">
        <v>2.4995832712177649E-4</v>
      </c>
      <c r="P20">
        <v>-0.14144092376718598</v>
      </c>
      <c r="Q20">
        <v>-4.4216728847064415E-2</v>
      </c>
      <c r="R20">
        <v>-0.14144092376718598</v>
      </c>
      <c r="S20">
        <v>-4.4216728847064415E-2</v>
      </c>
    </row>
    <row r="21" spans="1:19" x14ac:dyDescent="0.2">
      <c r="A21" s="3">
        <f>Data!A21</f>
        <v>38595</v>
      </c>
      <c r="B21">
        <f>Data!B21 - Factors!AB23</f>
        <v>6.0719039164913724E-3</v>
      </c>
      <c r="C21">
        <f>Factors!N23 - Factors!E23</f>
        <v>-1.2839364641187068E-2</v>
      </c>
      <c r="D21">
        <f>Factors!B23</f>
        <v>8.8760150983278052E-3</v>
      </c>
      <c r="E21">
        <f>Factors!C23</f>
        <v>6.2803889789304623E-3</v>
      </c>
      <c r="F21">
        <f>Factors!E23</f>
        <v>1.6459134151590282E-2</v>
      </c>
      <c r="G21">
        <f>Factors!L23</f>
        <v>1.940604816804492E-2</v>
      </c>
      <c r="H21">
        <f>Factors!M23</f>
        <v>2.4976539377752127E-2</v>
      </c>
      <c r="I21">
        <f>Factors!Z23</f>
        <v>1.2563983248022215E-2</v>
      </c>
      <c r="K21" t="s">
        <v>5</v>
      </c>
      <c r="L21">
        <v>0.12690855082903033</v>
      </c>
      <c r="M21">
        <v>4.8911176506234187E-2</v>
      </c>
      <c r="N21">
        <v>2.5946738535895704</v>
      </c>
      <c r="O21">
        <v>1.073435846069277E-2</v>
      </c>
      <c r="P21">
        <v>2.9997324267137901E-2</v>
      </c>
      <c r="Q21">
        <v>0.22381977739092274</v>
      </c>
      <c r="R21">
        <v>2.9997324267137901E-2</v>
      </c>
      <c r="S21">
        <v>0.22381977739092274</v>
      </c>
    </row>
    <row r="22" spans="1:19" x14ac:dyDescent="0.2">
      <c r="A22" s="3">
        <f>Data!A22</f>
        <v>38625</v>
      </c>
      <c r="B22">
        <f>Data!B22 - Factors!AB24</f>
        <v>-8.2182653288597196E-3</v>
      </c>
      <c r="C22">
        <f>Factors!N24 - Factors!E24</f>
        <v>5.9054786900484268E-3</v>
      </c>
      <c r="D22">
        <f>Factors!B24</f>
        <v>-5.3323723411603519E-3</v>
      </c>
      <c r="E22">
        <f>Factors!C24</f>
        <v>-2.6676062009260981E-3</v>
      </c>
      <c r="F22">
        <f>Factors!E24</f>
        <v>-1.592027546558461E-2</v>
      </c>
      <c r="G22">
        <f>Factors!L24</f>
        <v>1.6904994522900285E-2</v>
      </c>
      <c r="H22">
        <f>Factors!M24</f>
        <v>-5.2538911190929127E-3</v>
      </c>
      <c r="I22">
        <f>Factors!Z24</f>
        <v>7.8354779411764719E-2</v>
      </c>
      <c r="K22" t="s">
        <v>6</v>
      </c>
      <c r="L22">
        <v>0.48595859292354115</v>
      </c>
      <c r="M22">
        <v>0.14644117715108859</v>
      </c>
      <c r="N22">
        <v>3.3184559314362811</v>
      </c>
      <c r="O22">
        <v>1.2215801744463052E-3</v>
      </c>
      <c r="P22">
        <v>0.19580417197906652</v>
      </c>
      <c r="Q22">
        <v>0.77611301386801579</v>
      </c>
      <c r="R22">
        <v>0.19580417197906652</v>
      </c>
      <c r="S22">
        <v>0.77611301386801579</v>
      </c>
    </row>
    <row r="23" spans="1:19" x14ac:dyDescent="0.2">
      <c r="A23" s="3">
        <f>Data!A23</f>
        <v>38656</v>
      </c>
      <c r="B23">
        <f>Data!B23 - Factors!AB25</f>
        <v>-9.6210420905453731E-3</v>
      </c>
      <c r="C23">
        <f>Factors!N25 - Factors!E25</f>
        <v>7.5918326848921636E-3</v>
      </c>
      <c r="D23">
        <f>Factors!B25</f>
        <v>-5.3169019742199675E-3</v>
      </c>
      <c r="E23">
        <f>Factors!C25</f>
        <v>-2.0186727226845225E-4</v>
      </c>
      <c r="F23">
        <f>Factors!E25</f>
        <v>-1.4886017188058376E-2</v>
      </c>
      <c r="G23">
        <f>Factors!L25</f>
        <v>-1.4789798532665821E-2</v>
      </c>
      <c r="H23">
        <f>Factors!M25</f>
        <v>-1.2573985443629532E-2</v>
      </c>
      <c r="I23">
        <f>Factors!Z25</f>
        <v>-8.7577242701897262E-3</v>
      </c>
      <c r="K23" t="s">
        <v>8</v>
      </c>
      <c r="L23">
        <v>-7.639489817726873E-2</v>
      </c>
      <c r="M23">
        <v>4.3089834213831966E-2</v>
      </c>
      <c r="N23">
        <v>-1.7729216083348434</v>
      </c>
      <c r="O23">
        <v>7.8960172355093464E-2</v>
      </c>
      <c r="P23">
        <v>-0.161771881196248</v>
      </c>
      <c r="Q23">
        <v>8.9820848417105359E-3</v>
      </c>
      <c r="R23">
        <v>-0.161771881196248</v>
      </c>
      <c r="S23">
        <v>8.9820848417105359E-3</v>
      </c>
    </row>
    <row r="24" spans="1:19" x14ac:dyDescent="0.2">
      <c r="A24" s="3">
        <f>Data!A24</f>
        <v>38686</v>
      </c>
      <c r="B24">
        <f>Data!B24 - Factors!AB26</f>
        <v>1.9473397960201311E-4</v>
      </c>
      <c r="C24">
        <f>Factors!N26 - Factors!E26</f>
        <v>1.1922580747427025E-2</v>
      </c>
      <c r="D24">
        <f>Factors!B26</f>
        <v>4.3906889879998801E-3</v>
      </c>
      <c r="E24">
        <f>Factors!C26</f>
        <v>3.2810055019936168E-3</v>
      </c>
      <c r="F24">
        <f>Factors!E26</f>
        <v>-7.0979041242693608E-3</v>
      </c>
      <c r="G24">
        <f>Factors!L26</f>
        <v>1.5277777777777724E-2</v>
      </c>
      <c r="H24">
        <f>Factors!M26</f>
        <v>1.9717784724810894E-3</v>
      </c>
      <c r="I24">
        <f>Factors!Z26</f>
        <v>5.9953997291429362E-2</v>
      </c>
      <c r="K24" t="s">
        <v>15</v>
      </c>
      <c r="L24">
        <v>0.15283301265235713</v>
      </c>
      <c r="M24">
        <v>3.2833377642351065E-2</v>
      </c>
      <c r="N24">
        <v>4.6548062863694266</v>
      </c>
      <c r="O24">
        <v>8.9622060817829759E-6</v>
      </c>
      <c r="P24">
        <v>8.7777883604612972E-2</v>
      </c>
      <c r="Q24">
        <v>0.21788814170010129</v>
      </c>
      <c r="R24">
        <v>8.7777883604612972E-2</v>
      </c>
      <c r="S24">
        <v>0.21788814170010129</v>
      </c>
    </row>
    <row r="25" spans="1:19" x14ac:dyDescent="0.2">
      <c r="A25" s="3">
        <f>Data!A25</f>
        <v>38716</v>
      </c>
      <c r="B25">
        <f>Data!B25 - Factors!AB27</f>
        <v>6.558179865697511E-3</v>
      </c>
      <c r="C25">
        <f>Factors!N27 - Factors!E27</f>
        <v>-7.1723124722367082E-4</v>
      </c>
      <c r="D25">
        <f>Factors!B27</f>
        <v>6.8721604866854857E-3</v>
      </c>
      <c r="E25">
        <f>Factors!C27</f>
        <v>3.8740189172872252E-3</v>
      </c>
      <c r="F25">
        <f>Factors!E27</f>
        <v>9.8715136837612683E-3</v>
      </c>
      <c r="G25">
        <f>Factors!L27</f>
        <v>1.8482405332246765E-2</v>
      </c>
      <c r="H25">
        <f>Factors!M27</f>
        <v>8.4798523002940218E-3</v>
      </c>
      <c r="I25">
        <f>Factors!Z27</f>
        <v>4.8511397744787965E-2</v>
      </c>
      <c r="K25" t="s">
        <v>16</v>
      </c>
      <c r="L25">
        <v>0.10232753708441941</v>
      </c>
      <c r="M25">
        <v>3.1273572680256712E-2</v>
      </c>
      <c r="N25">
        <v>3.272013022964265</v>
      </c>
      <c r="O25">
        <v>1.4200200462372895E-3</v>
      </c>
      <c r="P25">
        <v>4.0362961625273204E-2</v>
      </c>
      <c r="Q25">
        <v>0.16429211254356563</v>
      </c>
      <c r="R25">
        <v>4.0362961625273204E-2</v>
      </c>
      <c r="S25">
        <v>0.16429211254356563</v>
      </c>
    </row>
    <row r="26" spans="1:19" ht="16" thickBot="1" x14ac:dyDescent="0.25">
      <c r="A26" s="3">
        <f>Data!A26</f>
        <v>38748</v>
      </c>
      <c r="B26">
        <f>Data!B26 - Factors!AB28</f>
        <v>4.431894774059586E-6</v>
      </c>
      <c r="C26">
        <f>Factors!N28 - Factors!E28</f>
        <v>3.2352418901848701E-3</v>
      </c>
      <c r="D26">
        <f>Factors!B28</f>
        <v>2.8999352306577908E-3</v>
      </c>
      <c r="E26">
        <f>Factors!C28</f>
        <v>1.5035333032626941E-3</v>
      </c>
      <c r="F26">
        <f>Factors!E28</f>
        <v>1.2614297684363729E-2</v>
      </c>
      <c r="G26">
        <f>Factors!L28</f>
        <v>1.197416552354813E-2</v>
      </c>
      <c r="H26">
        <f>Factors!M28</f>
        <v>7.8054041780206695E-4</v>
      </c>
      <c r="I26">
        <f>Factors!Z28</f>
        <v>0.10038684719535773</v>
      </c>
      <c r="K26" s="4" t="s">
        <v>29</v>
      </c>
      <c r="L26" s="4">
        <v>-5.6226851283542765E-3</v>
      </c>
      <c r="M26" s="4">
        <v>8.641846852573078E-3</v>
      </c>
      <c r="N26" s="4">
        <v>-0.65063466458910257</v>
      </c>
      <c r="O26" s="4">
        <v>0.51661488076703455</v>
      </c>
      <c r="P26" s="4">
        <v>-2.2745396910520063E-2</v>
      </c>
      <c r="Q26" s="4">
        <v>1.1500026653811508E-2</v>
      </c>
      <c r="R26" s="4">
        <v>-2.2745396910520063E-2</v>
      </c>
      <c r="S26" s="4">
        <v>1.1500026653811508E-2</v>
      </c>
    </row>
    <row r="27" spans="1:19" x14ac:dyDescent="0.2">
      <c r="A27" s="3">
        <f>Data!A27</f>
        <v>38776</v>
      </c>
      <c r="B27">
        <f>Data!B27 - Factors!AB29</f>
        <v>1.455725399174046E-3</v>
      </c>
      <c r="C27">
        <f>Factors!N29 - Factors!E29</f>
        <v>9.868922287031956E-3</v>
      </c>
      <c r="D27">
        <f>Factors!B29</f>
        <v>4.0444706814408704E-3</v>
      </c>
      <c r="E27">
        <f>Factors!C29</f>
        <v>7.5063804233588272E-4</v>
      </c>
      <c r="F27">
        <f>Factors!E29</f>
        <v>-3.5465658484864493E-3</v>
      </c>
      <c r="G27">
        <f>Factors!L29</f>
        <v>2.2224732427776672E-2</v>
      </c>
      <c r="H27">
        <f>Factors!M29</f>
        <v>-3.4033381074605185E-3</v>
      </c>
      <c r="I27">
        <f>Factors!Z29</f>
        <v>-1.2919669537704404E-2</v>
      </c>
    </row>
    <row r="28" spans="1:19" x14ac:dyDescent="0.2">
      <c r="A28" s="3">
        <f>Data!A28</f>
        <v>38807</v>
      </c>
      <c r="B28">
        <f>Data!B28 - Factors!AB30</f>
        <v>-1.2312887545774309E-2</v>
      </c>
      <c r="C28">
        <f>Factors!N30 - Factors!E30</f>
        <v>1.6163656989342967E-2</v>
      </c>
      <c r="D28">
        <f>Factors!B30</f>
        <v>-6.350829199998298E-3</v>
      </c>
      <c r="E28">
        <f>Factors!C30</f>
        <v>1.2001200120013156E-3</v>
      </c>
      <c r="F28">
        <f>Factors!E30</f>
        <v>-9.9131723640223379E-3</v>
      </c>
      <c r="G28">
        <f>Factors!L30</f>
        <v>-1.8978949113210741E-2</v>
      </c>
      <c r="H28">
        <f>Factors!M30</f>
        <v>-2.0532449238036987E-2</v>
      </c>
      <c r="I28">
        <f>Factors!Z30</f>
        <v>3.9355355711868878E-2</v>
      </c>
    </row>
    <row r="29" spans="1:19" x14ac:dyDescent="0.2">
      <c r="A29" s="3">
        <f>Data!A29</f>
        <v>38835</v>
      </c>
      <c r="B29">
        <f>Data!B29 - Factors!AB31</f>
        <v>-3.7051407654056234E-3</v>
      </c>
      <c r="C29">
        <f>Factors!N31 - Factors!E31</f>
        <v>-1.2502968630573763E-2</v>
      </c>
      <c r="D29">
        <f>Factors!B31</f>
        <v>1.3389486780868154E-5</v>
      </c>
      <c r="E29">
        <f>Factors!C31</f>
        <v>3.0965937468785398E-3</v>
      </c>
      <c r="F29">
        <f>Factors!E31</f>
        <v>1.8928887317047449E-2</v>
      </c>
      <c r="G29">
        <f>Factors!L31</f>
        <v>-8.4480865084057832E-4</v>
      </c>
      <c r="H29">
        <f>Factors!M31</f>
        <v>1.0169097565237983E-4</v>
      </c>
      <c r="I29">
        <f>Factors!Z31</f>
        <v>0.12125417630429203</v>
      </c>
    </row>
    <row r="30" spans="1:19" x14ac:dyDescent="0.2">
      <c r="A30" s="3">
        <f>Data!A30</f>
        <v>38868</v>
      </c>
      <c r="B30">
        <f>Data!B30 - Factors!AB32</f>
        <v>-5.8745779916202778E-3</v>
      </c>
      <c r="C30">
        <f>Factors!N32 - Factors!E32</f>
        <v>-1.3529189331051961E-2</v>
      </c>
      <c r="D30">
        <f>Factors!B32</f>
        <v>4.8536239705683215E-3</v>
      </c>
      <c r="E30">
        <f>Factors!C32</f>
        <v>1.4439354710216179E-3</v>
      </c>
      <c r="F30">
        <f>Factors!E32</f>
        <v>1.2897983485114839E-2</v>
      </c>
      <c r="G30">
        <f>Factors!L32</f>
        <v>-2.0489839632479301E-2</v>
      </c>
      <c r="H30">
        <f>Factors!M32</f>
        <v>2.1352933486338266E-3</v>
      </c>
      <c r="I30">
        <f>Factors!Z32</f>
        <v>-1.4088811466642093E-2</v>
      </c>
    </row>
    <row r="31" spans="1:19" x14ac:dyDescent="0.2">
      <c r="A31" s="3">
        <f>Data!A31</f>
        <v>38898</v>
      </c>
      <c r="B31">
        <f>Data!B31 - Factors!AB33</f>
        <v>-2.0279340483140285E-3</v>
      </c>
      <c r="C31">
        <f>Factors!N33 - Factors!E33</f>
        <v>4.1536737945048197E-3</v>
      </c>
      <c r="D31">
        <f>Factors!B33</f>
        <v>-3.624813134810001E-3</v>
      </c>
      <c r="E31">
        <f>Factors!C33</f>
        <v>1.7898871376722525E-3</v>
      </c>
      <c r="F31">
        <f>Factors!E33</f>
        <v>-7.9451695573354852E-3</v>
      </c>
      <c r="G31">
        <f>Factors!L33</f>
        <v>-5.7547332681262553E-5</v>
      </c>
      <c r="H31">
        <f>Factors!M33</f>
        <v>3.594723873025174E-3</v>
      </c>
      <c r="I31">
        <f>Factors!Z33</f>
        <v>-4.5489770613763247E-2</v>
      </c>
    </row>
    <row r="32" spans="1:19" x14ac:dyDescent="0.2">
      <c r="A32" s="3">
        <f>Data!A32</f>
        <v>38929</v>
      </c>
      <c r="B32">
        <f>Data!B32 - Factors!AB34</f>
        <v>1.0264380648391525E-2</v>
      </c>
      <c r="C32">
        <f>Factors!N34 - Factors!E34</f>
        <v>7.0743002699846791E-4</v>
      </c>
      <c r="D32">
        <f>Factors!B34</f>
        <v>1.0644481020471108E-2</v>
      </c>
      <c r="E32">
        <f>Factors!C34</f>
        <v>7.4941684450839929E-3</v>
      </c>
      <c r="F32">
        <f>Factors!E34</f>
        <v>9.9619177322134433E-3</v>
      </c>
      <c r="G32">
        <f>Factors!L34</f>
        <v>3.2717541436463993E-2</v>
      </c>
      <c r="H32">
        <f>Factors!M34</f>
        <v>1.6696033969785473E-2</v>
      </c>
      <c r="I32">
        <f>Factors!Z34</f>
        <v>3.3936835268328247E-2</v>
      </c>
    </row>
    <row r="33" spans="1:10" x14ac:dyDescent="0.2">
      <c r="A33" s="3">
        <f>Data!A33</f>
        <v>38960</v>
      </c>
      <c r="B33">
        <f>Data!B33 - Factors!AB35</f>
        <v>1.0262188188766785E-2</v>
      </c>
      <c r="C33">
        <f>Factors!N35 - Factors!E35</f>
        <v>4.6252146656420301E-3</v>
      </c>
      <c r="D33">
        <f>Factors!B35</f>
        <v>1.3140651281620563E-2</v>
      </c>
      <c r="E33">
        <f>Factors!C35</f>
        <v>7.1428571428571175E-3</v>
      </c>
      <c r="F33">
        <f>Factors!E35</f>
        <v>1.1555066104359746E-2</v>
      </c>
      <c r="G33">
        <f>Factors!L35</f>
        <v>2.6024687230070676E-2</v>
      </c>
      <c r="H33">
        <f>Factors!M35</f>
        <v>1.8765803903741718E-2</v>
      </c>
      <c r="I33">
        <f>Factors!Z35</f>
        <v>-1.4840989399293347E-2</v>
      </c>
    </row>
    <row r="34" spans="1:10" x14ac:dyDescent="0.2">
      <c r="A34" s="3">
        <f>Data!A34</f>
        <v>38989</v>
      </c>
      <c r="B34">
        <f>Data!B34 - Factors!AB36</f>
        <v>2.6278672836397288E-3</v>
      </c>
      <c r="C34">
        <f>Factors!N36 - Factors!E36</f>
        <v>1.3228492410340298E-2</v>
      </c>
      <c r="D34">
        <f>Factors!B36</f>
        <v>6.3670590717406217E-3</v>
      </c>
      <c r="E34">
        <f>Factors!C36</f>
        <v>5.1357300073369139E-3</v>
      </c>
      <c r="F34">
        <f>Factors!E36</f>
        <v>-7.4683065693026407E-5</v>
      </c>
      <c r="G34">
        <f>Factors!L36</f>
        <v>5.5943296309370893E-3</v>
      </c>
      <c r="H34">
        <f>Factors!M36</f>
        <v>2.5169072021193895E-3</v>
      </c>
      <c r="I34">
        <f>Factors!Z36</f>
        <v>-4.6229874063446474E-2</v>
      </c>
    </row>
    <row r="35" spans="1:10" x14ac:dyDescent="0.2">
      <c r="A35" s="3">
        <f>Data!A35</f>
        <v>39021</v>
      </c>
      <c r="B35">
        <f>Data!B35 - Factors!AB37</f>
        <v>3.353906692478148E-3</v>
      </c>
      <c r="C35">
        <f>Factors!N37 - Factors!E37</f>
        <v>4.9282704313675652E-3</v>
      </c>
      <c r="D35">
        <f>Factors!B37</f>
        <v>4.9471146406840916E-3</v>
      </c>
      <c r="E35">
        <f>Factors!C37</f>
        <v>3.8442822384427977E-3</v>
      </c>
      <c r="F35">
        <f>Factors!E37</f>
        <v>9.6735856267800013E-3</v>
      </c>
      <c r="G35">
        <f>Factors!L37</f>
        <v>1.8553026006643547E-2</v>
      </c>
      <c r="H35">
        <f>Factors!M37</f>
        <v>-1.5995437822950986E-3</v>
      </c>
      <c r="I35">
        <f>Factors!Z37</f>
        <v>1.3872639144242083E-2</v>
      </c>
    </row>
    <row r="36" spans="1:10" x14ac:dyDescent="0.2">
      <c r="A36" s="3">
        <f>Data!A36</f>
        <v>39051</v>
      </c>
      <c r="B36">
        <f>Data!B36 - Factors!AB38</f>
        <v>7.305798149582543E-3</v>
      </c>
      <c r="C36">
        <f>Factors!N38 - Factors!E38</f>
        <v>-8.3921077586619486E-3</v>
      </c>
      <c r="D36">
        <f>Factors!B38</f>
        <v>6.3279161933560424E-3</v>
      </c>
      <c r="E36">
        <f>Factors!C38</f>
        <v>5.1383974017160661E-3</v>
      </c>
      <c r="F36">
        <f>Factors!E38</f>
        <v>2.435446899414595E-2</v>
      </c>
      <c r="G36">
        <f>Factors!L38</f>
        <v>1.2673666348499202E-2</v>
      </c>
      <c r="H36">
        <f>Factors!M38</f>
        <v>1.241284192782155E-2</v>
      </c>
      <c r="I36">
        <f>Factors!Z38</f>
        <v>6.8249258160237414E-2</v>
      </c>
    </row>
    <row r="37" spans="1:10" x14ac:dyDescent="0.2">
      <c r="A37" s="3">
        <f>Data!A37</f>
        <v>39080</v>
      </c>
      <c r="B37">
        <f>Data!B37 - Factors!AB39</f>
        <v>-7.0648521382550289E-3</v>
      </c>
      <c r="C37">
        <f>Factors!N39 - Factors!E39</f>
        <v>2.426525284908565E-2</v>
      </c>
      <c r="D37">
        <f>Factors!B39</f>
        <v>-2.8721037728258736E-3</v>
      </c>
      <c r="E37">
        <f>Factors!C39</f>
        <v>4.8227634434683253E-5</v>
      </c>
      <c r="F37">
        <f>Factors!E39</f>
        <v>-1.3256312785288049E-2</v>
      </c>
      <c r="G37">
        <f>Factors!L39</f>
        <v>6.6502592030162067E-3</v>
      </c>
      <c r="H37">
        <f>Factors!M39</f>
        <v>-2.4954762183249102E-2</v>
      </c>
      <c r="I37">
        <f>Factors!Z39</f>
        <v>-1.743827160493816E-2</v>
      </c>
    </row>
    <row r="38" spans="1:10" x14ac:dyDescent="0.2">
      <c r="A38" s="3">
        <f>Data!A38</f>
        <v>39113</v>
      </c>
      <c r="B38">
        <f>Data!B38 - Factors!AB40</f>
        <v>-3.4834649444790422E-3</v>
      </c>
      <c r="C38">
        <f>Factors!N40 - Factors!E40</f>
        <v>2.0572220687615217E-2</v>
      </c>
      <c r="D38">
        <f>Factors!B40</f>
        <v>-2.4309209581916402E-3</v>
      </c>
      <c r="E38">
        <f>Factors!C40</f>
        <v>2.0736882716048122E-3</v>
      </c>
      <c r="F38">
        <f>Factors!E40</f>
        <v>-9.8284604926325292E-3</v>
      </c>
      <c r="G38">
        <f>Factors!L40</f>
        <v>-3.0430711610487382E-3</v>
      </c>
      <c r="H38">
        <f>Factors!M40</f>
        <v>2.3074317649383058E-3</v>
      </c>
      <c r="I38">
        <f>Factors!Z40</f>
        <v>2.5914873566828867E-2</v>
      </c>
      <c r="J38" cm="1">
        <f t="array" ref="J38">TREND(B2:B37, C2:I37, C38:I38, TRUE)</f>
        <v>-2.5678599326841201E-3</v>
      </c>
    </row>
    <row r="39" spans="1:10" x14ac:dyDescent="0.2">
      <c r="A39" s="3">
        <f>Data!A39</f>
        <v>39141</v>
      </c>
      <c r="B39">
        <f>Data!B39 - Factors!AB41</f>
        <v>8.5567022750085986E-3</v>
      </c>
      <c r="C39">
        <f>Factors!N41 - Factors!E41</f>
        <v>-6.6493111724750253E-3</v>
      </c>
      <c r="D39">
        <f>Factors!B41</f>
        <v>1.1358544661345116E-2</v>
      </c>
      <c r="E39">
        <f>Factors!C41</f>
        <v>8.0850859040377809E-3</v>
      </c>
      <c r="F39">
        <f>Factors!E41</f>
        <v>2.0578465702402404E-2</v>
      </c>
      <c r="G39">
        <f>Factors!L41</f>
        <v>1.7166262294226575E-2</v>
      </c>
      <c r="H39">
        <f>Factors!M41</f>
        <v>2.2753673183472545E-2</v>
      </c>
      <c r="I39">
        <f>Factors!Z41</f>
        <v>2.4724433557868908E-2</v>
      </c>
      <c r="J39" cm="1">
        <f t="array" ref="J39">TREND(B3:B38, C3:I38, C39:I39, TRUE)</f>
        <v>8.8591439393061692E-3</v>
      </c>
    </row>
    <row r="40" spans="1:10" x14ac:dyDescent="0.2">
      <c r="A40" s="3">
        <f>Data!A40</f>
        <v>39171</v>
      </c>
      <c r="B40">
        <f>Data!B40 - Factors!AB42</f>
        <v>-1.8456249190437202E-3</v>
      </c>
      <c r="C40">
        <f>Factors!N42 - Factors!E42</f>
        <v>-4.1273381603534887E-5</v>
      </c>
      <c r="D40">
        <f>Factors!B42</f>
        <v>-4.6020953762182515E-4</v>
      </c>
      <c r="E40">
        <f>Factors!C42</f>
        <v>3.8669021816966076E-3</v>
      </c>
      <c r="F40">
        <f>Factors!E42</f>
        <v>2.3638204866058832E-3</v>
      </c>
      <c r="G40">
        <f>Factors!L42</f>
        <v>9.7463387109184563E-3</v>
      </c>
      <c r="H40">
        <f>Factors!M42</f>
        <v>3.0425055928411382E-3</v>
      </c>
      <c r="I40">
        <f>Factors!Z42</f>
        <v>-8.3065660715621048E-3</v>
      </c>
      <c r="J40" cm="1">
        <f t="array" ref="J40">TREND(B4:B39, C4:I39, C40:I40, TRUE)</f>
        <v>1.1536080813070414E-3</v>
      </c>
    </row>
    <row r="41" spans="1:10" x14ac:dyDescent="0.2">
      <c r="A41" s="3">
        <f>Data!A41</f>
        <v>39202</v>
      </c>
      <c r="B41">
        <f>Data!B41 - Factors!AB43</f>
        <v>6.3767963425309659E-4</v>
      </c>
      <c r="C41">
        <f>Factors!N43 - Factors!E43</f>
        <v>1.9300531495505258E-3</v>
      </c>
      <c r="D41">
        <f>Factors!B43</f>
        <v>2.4974671912918467E-3</v>
      </c>
      <c r="E41">
        <f>Factors!C43</f>
        <v>3.5191173673199128E-3</v>
      </c>
      <c r="F41">
        <f>Factors!E43</f>
        <v>1.1302712511944701E-2</v>
      </c>
      <c r="G41">
        <f>Factors!L43</f>
        <v>8.6616373288628257E-3</v>
      </c>
      <c r="H41">
        <f>Factors!M43</f>
        <v>7.8096584475386699E-3</v>
      </c>
      <c r="I41">
        <f>Factors!Z43</f>
        <v>2.2085298061133907E-2</v>
      </c>
      <c r="J41" cm="1">
        <f t="array" ref="J41">TREND(B5:B40, C5:I40, C41:I41, TRUE)</f>
        <v>1.7732286767935526E-3</v>
      </c>
    </row>
    <row r="42" spans="1:10" x14ac:dyDescent="0.2">
      <c r="A42" s="3">
        <f>Data!A42</f>
        <v>39233</v>
      </c>
      <c r="B42">
        <f>Data!B42 - Factors!AB44</f>
        <v>-9.9683010767914748E-3</v>
      </c>
      <c r="C42">
        <f>Factors!N44 - Factors!E44</f>
        <v>2.2707655398205073E-2</v>
      </c>
      <c r="D42">
        <f>Factors!B44</f>
        <v>-3.5767585607181518E-3</v>
      </c>
      <c r="E42">
        <f>Factors!C44</f>
        <v>-9.9516633494456386E-4</v>
      </c>
      <c r="F42">
        <f>Factors!E44</f>
        <v>-1.5592660392496294E-2</v>
      </c>
      <c r="G42">
        <f>Factors!L44</f>
        <v>-3.8529337698313126E-3</v>
      </c>
      <c r="H42">
        <f>Factors!M44</f>
        <v>-1.6758026624902E-2</v>
      </c>
      <c r="I42">
        <f>Factors!Z44</f>
        <v>-2.6457366054978282E-2</v>
      </c>
      <c r="J42" cm="1">
        <f t="array" ref="J42">TREND(B6:B41, C6:I41, C42:I42, TRUE)</f>
        <v>-6.7096362791870734E-3</v>
      </c>
    </row>
    <row r="43" spans="1:10" x14ac:dyDescent="0.2">
      <c r="A43" s="3">
        <f>Data!A43</f>
        <v>39262</v>
      </c>
      <c r="B43">
        <f>Data!B43 - Factors!AB45</f>
        <v>-8.1880156562094131E-3</v>
      </c>
      <c r="C43">
        <f>Factors!N45 - Factors!E45</f>
        <v>-1.2419119718622973E-2</v>
      </c>
      <c r="D43">
        <f>Factors!B45</f>
        <v>-2.9891201529990141E-3</v>
      </c>
      <c r="E43">
        <f>Factors!C45</f>
        <v>4.3641193491770203E-3</v>
      </c>
      <c r="F43">
        <f>Factors!E45</f>
        <v>-4.4349055764421053E-3</v>
      </c>
      <c r="G43">
        <f>Factors!L45</f>
        <v>-1.8884141871223781E-2</v>
      </c>
      <c r="H43">
        <f>Factors!M45</f>
        <v>-2.3823704586062311E-3</v>
      </c>
      <c r="I43">
        <f>Factors!Z45</f>
        <v>-1.6426949280847869E-2</v>
      </c>
      <c r="J43" cm="1">
        <f t="array" ref="J43">TREND(B7:B42, C7:I42, C43:I43, TRUE)</f>
        <v>-5.610053631737031E-3</v>
      </c>
    </row>
    <row r="44" spans="1:10" x14ac:dyDescent="0.2">
      <c r="A44" s="3">
        <f>Data!A44</f>
        <v>39294</v>
      </c>
      <c r="B44">
        <f>Data!B44 - Factors!AB46</f>
        <v>2.9644939267479131E-3</v>
      </c>
      <c r="C44">
        <f>Factors!N46 - Factors!E46</f>
        <v>-5.1708624460256702E-2</v>
      </c>
      <c r="D44">
        <f>Factors!B46</f>
        <v>8.0686498134023843E-3</v>
      </c>
      <c r="E44">
        <f>Factors!C46</f>
        <v>8.9264629480942936E-3</v>
      </c>
      <c r="F44">
        <f>Factors!E46</f>
        <v>2.0308132647347099E-2</v>
      </c>
      <c r="G44">
        <f>Factors!L46</f>
        <v>-9.0182942540582012E-3</v>
      </c>
      <c r="H44">
        <f>Factors!M46</f>
        <v>2.3700104130510047E-2</v>
      </c>
      <c r="I44">
        <f>Factors!Z46</f>
        <v>2.2550604171476918E-2</v>
      </c>
      <c r="J44" cm="1">
        <f t="array" ref="J44">TREND(B8:B43, C8:I43, C44:I44, TRUE)</f>
        <v>4.50069550633715E-3</v>
      </c>
    </row>
    <row r="45" spans="1:10" x14ac:dyDescent="0.2">
      <c r="A45" s="3">
        <f>Data!A45</f>
        <v>39325</v>
      </c>
      <c r="B45">
        <f>Data!B45 - Factors!AB47</f>
        <v>6.8386208361557177E-3</v>
      </c>
      <c r="C45">
        <f>Factors!N47 - Factors!E47</f>
        <v>-1.1662912457626184E-3</v>
      </c>
      <c r="D45">
        <f>Factors!B47</f>
        <v>2.7516274840062582E-3</v>
      </c>
      <c r="E45">
        <f>Factors!C47</f>
        <v>1.03922853665388E-2</v>
      </c>
      <c r="F45">
        <f>Factors!E47</f>
        <v>1.2312677681552975E-2</v>
      </c>
      <c r="G45">
        <f>Factors!L47</f>
        <v>1.2116484659386195E-2</v>
      </c>
      <c r="H45">
        <f>Factors!M47</f>
        <v>1.3345630119893537E-2</v>
      </c>
      <c r="I45">
        <f>Factors!Z47</f>
        <v>1.3548095739876587E-2</v>
      </c>
      <c r="J45" cm="1">
        <f t="array" ref="J45">TREND(B9:B44, C9:I44, C45:I45, TRUE)</f>
        <v>4.3428546704786224E-3</v>
      </c>
    </row>
    <row r="46" spans="1:10" x14ac:dyDescent="0.2">
      <c r="A46" s="3">
        <f>Data!A46</f>
        <v>39353</v>
      </c>
      <c r="B46">
        <f>Data!B46 - Factors!AB48</f>
        <v>4.1751695745824158E-3</v>
      </c>
      <c r="C46">
        <f>Factors!N48 - Factors!E48</f>
        <v>1.995988499753798E-3</v>
      </c>
      <c r="D46">
        <f>Factors!B48</f>
        <v>1.1351253045520426E-2</v>
      </c>
      <c r="E46">
        <f>Factors!C48</f>
        <v>6.9495922905855601E-3</v>
      </c>
      <c r="F46">
        <f>Factors!E48</f>
        <v>2.2443580979919941E-2</v>
      </c>
      <c r="G46">
        <f>Factors!L48</f>
        <v>2.2709756974772732E-2</v>
      </c>
      <c r="H46">
        <f>Factors!M48</f>
        <v>8.8736013705232875E-3</v>
      </c>
      <c r="I46">
        <f>Factors!Z48</f>
        <v>0.1044111094608644</v>
      </c>
      <c r="J46" cm="1">
        <f t="array" ref="J46">TREND(B10:B45, C10:I45, C46:I46, TRUE)</f>
        <v>6.0800659652283139E-3</v>
      </c>
    </row>
    <row r="47" spans="1:10" x14ac:dyDescent="0.2">
      <c r="A47" s="3">
        <f>Data!A47</f>
        <v>39386</v>
      </c>
      <c r="B47">
        <f>Data!B47 - Factors!AB49</f>
        <v>7.0930245773785927E-3</v>
      </c>
      <c r="C47">
        <f>Factors!N49 - Factors!E49</f>
        <v>-1.024481534744992E-2</v>
      </c>
      <c r="D47">
        <f>Factors!B49</f>
        <v>4.0896827952738857E-3</v>
      </c>
      <c r="E47">
        <f>Factors!C49</f>
        <v>3.910922977822695E-3</v>
      </c>
      <c r="F47">
        <f>Factors!E49</f>
        <v>1.6299287191395395E-2</v>
      </c>
      <c r="G47">
        <f>Factors!L49</f>
        <v>2.3838231600100457E-2</v>
      </c>
      <c r="H47">
        <f>Factors!M49</f>
        <v>1.3770413510393986E-2</v>
      </c>
      <c r="I47">
        <f>Factors!Z49</f>
        <v>7.1543840774609846E-2</v>
      </c>
      <c r="J47" cm="1">
        <f t="array" ref="J47">TREND(B11:B46, C11:I46, C47:I47, TRUE)</f>
        <v>4.8492379051151314E-3</v>
      </c>
    </row>
    <row r="48" spans="1:10" x14ac:dyDescent="0.2">
      <c r="A48" s="3">
        <f>Data!A48</f>
        <v>39416</v>
      </c>
      <c r="B48">
        <f>Data!B48 - Factors!AB50</f>
        <v>1.3575159317060326E-2</v>
      </c>
      <c r="C48">
        <f>Factors!N50 - Factors!E50</f>
        <v>-3.9574174632249437E-2</v>
      </c>
      <c r="D48">
        <f>Factors!B50</f>
        <v>9.1649073546364868E-3</v>
      </c>
      <c r="E48">
        <f>Factors!C50</f>
        <v>1.7324350336862304E-2</v>
      </c>
      <c r="F48">
        <f>Factors!E50</f>
        <v>1.9110524799121453E-2</v>
      </c>
      <c r="G48">
        <f>Factors!L50</f>
        <v>-3.7047032557225856E-3</v>
      </c>
      <c r="H48">
        <f>Factors!M50</f>
        <v>4.6900558776188594E-2</v>
      </c>
      <c r="I48">
        <f>Factors!Z50</f>
        <v>-1.6629016064257041E-2</v>
      </c>
      <c r="J48" cm="1">
        <f t="array" ref="J48">TREND(B12:B47, C12:I47, C48:I48, TRUE)</f>
        <v>1.2615331326180246E-2</v>
      </c>
    </row>
    <row r="49" spans="1:10" x14ac:dyDescent="0.2">
      <c r="A49" s="3">
        <f>Data!A49</f>
        <v>39447</v>
      </c>
      <c r="B49">
        <f>Data!B49 - Factors!AB51</f>
        <v>5.9352799370859799E-5</v>
      </c>
      <c r="C49">
        <f>Factors!N51 - Factors!E51</f>
        <v>5.9131074458954602E-3</v>
      </c>
      <c r="D49">
        <f>Factors!B51</f>
        <v>4.0355597424130973E-3</v>
      </c>
      <c r="E49">
        <f>Factors!C51</f>
        <v>2.4778123169797439E-3</v>
      </c>
      <c r="F49">
        <f>Factors!E51</f>
        <v>-2.9812829750922587E-3</v>
      </c>
      <c r="G49">
        <f>Factors!L51</f>
        <v>6.2302994483847129E-3</v>
      </c>
      <c r="H49">
        <f>Factors!M51</f>
        <v>-4.6936913288584403E-3</v>
      </c>
      <c r="I49">
        <f>Factors!Z51</f>
        <v>6.4003573479676001E-2</v>
      </c>
      <c r="J49" cm="1">
        <f t="array" ref="J49">TREND(B13:B48, C13:I48, C49:I49, TRUE)</f>
        <v>-2.5446089803757288E-3</v>
      </c>
    </row>
    <row r="50" spans="1:10" x14ac:dyDescent="0.2">
      <c r="A50" s="3">
        <f>Data!A50</f>
        <v>39478</v>
      </c>
      <c r="B50">
        <f>Data!B50 - Factors!AB52</f>
        <v>1.4678038656049885E-2</v>
      </c>
      <c r="C50">
        <f>Factors!N52 - Factors!E52</f>
        <v>-4.1365948736188707E-2</v>
      </c>
      <c r="D50">
        <f>Factors!B52</f>
        <v>1.8854692017284735E-2</v>
      </c>
      <c r="E50">
        <f>Factors!C52</f>
        <v>1.7391695128527562E-2</v>
      </c>
      <c r="F50">
        <f>Factors!E52</f>
        <v>2.7778826626435604E-2</v>
      </c>
      <c r="G50">
        <f>Factors!L52</f>
        <v>8.4432588531850872E-3</v>
      </c>
      <c r="H50">
        <f>Factors!M52</f>
        <v>4.7007554112689975E-2</v>
      </c>
      <c r="I50">
        <f>Factors!Z52</f>
        <v>0.11083123425692687</v>
      </c>
      <c r="J50" cm="1">
        <f t="array" ref="J50">TREND(B14:B49, C14:I49, C50:I50, TRUE)</f>
        <v>1.537829684710992E-2</v>
      </c>
    </row>
    <row r="51" spans="1:10" x14ac:dyDescent="0.2">
      <c r="A51" s="3">
        <f>Data!A51</f>
        <v>39507</v>
      </c>
      <c r="B51">
        <f>Data!B51 - Factors!AB53</f>
        <v>-1.1606830682744373E-3</v>
      </c>
      <c r="C51">
        <f>Factors!N53 - Factors!E53</f>
        <v>-2.8600452309947122E-2</v>
      </c>
      <c r="D51">
        <f>Factors!B53</f>
        <v>-3.2464282824035795E-2</v>
      </c>
      <c r="E51">
        <f>Factors!C53</f>
        <v>1.0468660276514052E-2</v>
      </c>
      <c r="F51">
        <f>Factors!E53</f>
        <v>1.67274975589633E-2</v>
      </c>
      <c r="G51">
        <f>Factors!L53</f>
        <v>-1.6745134203757228E-3</v>
      </c>
      <c r="H51">
        <f>Factors!M53</f>
        <v>1.8790070590211094E-2</v>
      </c>
      <c r="I51">
        <f>Factors!Z53</f>
        <v>5.1614296512255686E-2</v>
      </c>
      <c r="J51" cm="1">
        <f t="array" ref="J51">TREND(B15:B50, C15:I50, C51:I51, TRUE)</f>
        <v>-1.6629176666862139E-3</v>
      </c>
    </row>
    <row r="52" spans="1:10" x14ac:dyDescent="0.2">
      <c r="A52" s="3">
        <f>Data!A52</f>
        <v>39538</v>
      </c>
      <c r="B52">
        <f>Data!B52 - Factors!AB54</f>
        <v>3.5004346205771419E-3</v>
      </c>
      <c r="C52">
        <f>Factors!N54 - Factors!E54</f>
        <v>-2.5592154327391259E-2</v>
      </c>
      <c r="D52">
        <f>Factors!B54</f>
        <v>2.3179996971568695E-2</v>
      </c>
      <c r="E52">
        <f>Factors!C54</f>
        <v>2.5354082881623441E-3</v>
      </c>
      <c r="F52">
        <f>Factors!E54</f>
        <v>2.039968566454764E-2</v>
      </c>
      <c r="G52">
        <f>Factors!L54</f>
        <v>-4.1325327564001313E-4</v>
      </c>
      <c r="H52">
        <f>Factors!M54</f>
        <v>7.0818861482309092E-3</v>
      </c>
      <c r="I52">
        <f>Factors!Z54</f>
        <v>-5.8527569565663851E-2</v>
      </c>
      <c r="J52" cm="1">
        <f t="array" ref="J52">TREND(B16:B51, C16:I51, C52:I52, TRUE)</f>
        <v>4.4401570740585893E-3</v>
      </c>
    </row>
    <row r="53" spans="1:10" x14ac:dyDescent="0.2">
      <c r="A53" s="3">
        <f>Data!A53</f>
        <v>39568</v>
      </c>
      <c r="B53">
        <f>Data!B53 - Factors!AB55</f>
        <v>-2.062515875540516E-4</v>
      </c>
      <c r="C53">
        <f>Factors!N55 - Factors!E55</f>
        <v>6.0744757246492531E-2</v>
      </c>
      <c r="D53">
        <f>Factors!B55</f>
        <v>3.943141339512346E-3</v>
      </c>
      <c r="E53">
        <f>Factors!C55</f>
        <v>-8.851486875381509E-3</v>
      </c>
      <c r="F53">
        <f>Factors!E55</f>
        <v>-1.9087691797609496E-2</v>
      </c>
      <c r="G53">
        <f>Factors!L55</f>
        <v>1.0116731517509692E-2</v>
      </c>
      <c r="H53">
        <f>Factors!M55</f>
        <v>-3.3313263928264614E-2</v>
      </c>
      <c r="I53">
        <f>Factors!Z55</f>
        <v>-4.2916348565819606E-2</v>
      </c>
      <c r="J53" cm="1">
        <f t="array" ref="J53">TREND(B17:B52, C17:I52, C53:I53, TRUE)</f>
        <v>-9.3922362314980256E-3</v>
      </c>
    </row>
    <row r="54" spans="1:10" x14ac:dyDescent="0.2">
      <c r="A54" s="3">
        <f>Data!A54</f>
        <v>39598</v>
      </c>
      <c r="B54">
        <f>Data!B54 - Factors!AB56</f>
        <v>-5.882583930907348E-3</v>
      </c>
      <c r="C54">
        <f>Factors!N56 - Factors!E56</f>
        <v>1.5341159337733057E-2</v>
      </c>
      <c r="D54">
        <f>Factors!B56</f>
        <v>4.6614276107574959E-3</v>
      </c>
      <c r="E54">
        <f>Factors!C56</f>
        <v>-3.5194228146584461E-3</v>
      </c>
      <c r="F54">
        <f>Factors!E56</f>
        <v>-1.1057650010709796E-2</v>
      </c>
      <c r="G54">
        <f>Factors!L56</f>
        <v>1.2278505392910866E-3</v>
      </c>
      <c r="H54">
        <f>Factors!M56</f>
        <v>7.1172010110416295E-3</v>
      </c>
      <c r="I54">
        <f>Factors!Z56</f>
        <v>1.0198849068429272E-2</v>
      </c>
      <c r="J54" cm="1">
        <f t="array" ref="J54">TREND(B18:B53, C18:I53, C54:I54, TRUE)</f>
        <v>-2.4615010249827282E-3</v>
      </c>
    </row>
    <row r="55" spans="1:10" x14ac:dyDescent="0.2">
      <c r="A55" s="3">
        <f>Data!A55</f>
        <v>39629</v>
      </c>
      <c r="B55">
        <f>Data!B55 - Factors!AB57</f>
        <v>-2.3100761752820054E-3</v>
      </c>
      <c r="C55">
        <f>Factors!N57 - Factors!E57</f>
        <v>-2.764633769534619E-2</v>
      </c>
      <c r="D55">
        <f>Factors!B57</f>
        <v>-8.6880374127796811E-3</v>
      </c>
      <c r="E55">
        <f>Factors!C57</f>
        <v>2.8254823186615319E-3</v>
      </c>
      <c r="F55">
        <f>Factors!E57</f>
        <v>8.517583537215323E-4</v>
      </c>
      <c r="G55">
        <f>Factors!L57</f>
        <v>-1.9260826700651656E-2</v>
      </c>
      <c r="H55">
        <f>Factors!M57</f>
        <v>1.5442717245768511E-2</v>
      </c>
      <c r="I55">
        <f>Factors!Z57</f>
        <v>4.3880428652002257E-2</v>
      </c>
      <c r="J55" cm="1">
        <f t="array" ref="J55">TREND(B19:B54, C19:I54, C55:I55, TRUE)</f>
        <v>-8.1607632560724945E-3</v>
      </c>
    </row>
    <row r="56" spans="1:10" x14ac:dyDescent="0.2">
      <c r="A56" s="3">
        <f>Data!A56</f>
        <v>39660</v>
      </c>
      <c r="B56">
        <f>Data!B56 - Factors!AB58</f>
        <v>-3.078397299605018E-3</v>
      </c>
      <c r="C56">
        <f>Factors!N58 - Factors!E58</f>
        <v>-1.7404250409580824E-2</v>
      </c>
      <c r="D56">
        <f>Factors!B58</f>
        <v>8.5508559313751675E-3</v>
      </c>
      <c r="E56">
        <f>Factors!C58</f>
        <v>4.0942108738719618E-3</v>
      </c>
      <c r="F56">
        <f>Factors!E58</f>
        <v>1.3773233889398107E-3</v>
      </c>
      <c r="G56">
        <f>Factors!L58</f>
        <v>1.1131270534006754E-2</v>
      </c>
      <c r="H56">
        <f>Factors!M58</f>
        <v>-9.2004044393724227E-3</v>
      </c>
      <c r="I56">
        <f>Factors!Z58</f>
        <v>-1.2210935811540868E-2</v>
      </c>
      <c r="J56" cm="1">
        <f t="array" ref="J56">TREND(B20:B55, C20:I55, C56:I56, TRUE)</f>
        <v>-1.6949375669370018E-3</v>
      </c>
    </row>
    <row r="57" spans="1:10" x14ac:dyDescent="0.2">
      <c r="A57" s="3">
        <f>Data!A57</f>
        <v>39689</v>
      </c>
      <c r="B57">
        <f>Data!B57 - Factors!AB59</f>
        <v>1.1143114197958992E-2</v>
      </c>
      <c r="C57">
        <f>Factors!N59 - Factors!E59</f>
        <v>1.9755623947145584E-2</v>
      </c>
      <c r="D57">
        <f>Factors!B59</f>
        <v>1.1800656539349808E-2</v>
      </c>
      <c r="E57">
        <f>Factors!C59</f>
        <v>4.9544019642231429E-3</v>
      </c>
      <c r="F57">
        <f>Factors!E59</f>
        <v>-1.6528350348578802E-2</v>
      </c>
      <c r="G57">
        <f>Factors!L59</f>
        <v>8.0746847720660764E-3</v>
      </c>
      <c r="H57">
        <f>Factors!M59</f>
        <v>1.3194722111155466E-2</v>
      </c>
      <c r="I57">
        <f>Factors!Z59</f>
        <v>-9.0744995077125079E-2</v>
      </c>
      <c r="J57" cm="1">
        <f t="array" ref="J57">TREND(B21:B56, C21:I56, C57:I57, TRUE)</f>
        <v>4.840291522914061E-3</v>
      </c>
    </row>
    <row r="58" spans="1:10" x14ac:dyDescent="0.2">
      <c r="A58" s="3">
        <f>Data!A58</f>
        <v>39721</v>
      </c>
      <c r="B58">
        <f>Data!B58 - Factors!AB60</f>
        <v>5.5794493136238632E-3</v>
      </c>
      <c r="C58">
        <f>Factors!N60 - Factors!E60</f>
        <v>-5.9446111723244877E-2</v>
      </c>
      <c r="D58">
        <f>Factors!B60</f>
        <v>-3.1034173138067001E-2</v>
      </c>
      <c r="E58">
        <f>Factors!C60</f>
        <v>7.8530605121940322E-3</v>
      </c>
      <c r="F58">
        <f>Factors!E60</f>
        <v>-2.352781095671086E-2</v>
      </c>
      <c r="G58">
        <f>Factors!L60</f>
        <v>-6.8433839270680585E-2</v>
      </c>
      <c r="H58">
        <f>Factors!M60</f>
        <v>-4.6319311100378124E-2</v>
      </c>
      <c r="I58">
        <f>Factors!Z60</f>
        <v>4.7885459904950967E-2</v>
      </c>
      <c r="J58" cm="1">
        <f t="array" ref="J58">TREND(B22:B57, C22:I57, C58:I58, TRUE)</f>
        <v>-3.7035406687129992E-2</v>
      </c>
    </row>
    <row r="59" spans="1:10" x14ac:dyDescent="0.2">
      <c r="A59" s="3">
        <f>Data!A59</f>
        <v>39752</v>
      </c>
      <c r="B59">
        <f>Data!B59 - Factors!AB61</f>
        <v>-1.3771356405024804E-2</v>
      </c>
      <c r="C59">
        <f>Factors!N61 - Factors!E61</f>
        <v>-0.12612169837016796</v>
      </c>
      <c r="D59">
        <f>Factors!B61</f>
        <v>-1.5610617500904089E-3</v>
      </c>
      <c r="E59">
        <f>Factors!C61</f>
        <v>9.5666854248734889E-3</v>
      </c>
      <c r="F59">
        <f>Factors!E61</f>
        <v>-3.686211424561181E-2</v>
      </c>
      <c r="G59">
        <f>Factors!L61</f>
        <v>-0.1489103491014252</v>
      </c>
      <c r="H59">
        <f>Factors!M61</f>
        <v>-7.6398581963264323E-2</v>
      </c>
      <c r="I59">
        <f>Factors!Z61</f>
        <v>-0.16889603306734025</v>
      </c>
      <c r="J59" cm="1">
        <f t="array" ref="J59">TREND(B23:B58, C23:I58, C59:I59, TRUE)</f>
        <v>-2.6548549511467997E-3</v>
      </c>
    </row>
    <row r="60" spans="1:10" x14ac:dyDescent="0.2">
      <c r="A60" s="3">
        <f>Data!A60</f>
        <v>39780</v>
      </c>
      <c r="B60">
        <f>Data!B60 - Factors!AB62</f>
        <v>3.8656080754520872E-2</v>
      </c>
      <c r="C60">
        <f>Factors!N62 - Factors!E62</f>
        <v>-0.1132380944191167</v>
      </c>
      <c r="D60">
        <f>Factors!B62</f>
        <v>1.2384272259801321E-2</v>
      </c>
      <c r="E60">
        <f>Factors!C62</f>
        <v>1.2091587342423438E-2</v>
      </c>
      <c r="F60">
        <f>Factors!E62</f>
        <v>2.8915086290507208E-2</v>
      </c>
      <c r="G60">
        <f>Factors!L62</f>
        <v>2.4786869330420735E-2</v>
      </c>
      <c r="H60">
        <f>Factors!M62</f>
        <v>4.687583587439148E-2</v>
      </c>
      <c r="I60">
        <f>Factors!Z62</f>
        <v>0.13013745941838772</v>
      </c>
      <c r="J60" cm="1">
        <f t="array" ref="J60">TREND(B24:B59, C24:I59, C60:I60, TRUE)</f>
        <v>1.6496902217959505E-2</v>
      </c>
    </row>
    <row r="61" spans="1:10" x14ac:dyDescent="0.2">
      <c r="A61" s="3">
        <f>Data!A61</f>
        <v>39813</v>
      </c>
      <c r="B61">
        <f>Data!B61 - Factors!AB63</f>
        <v>1.6644461271256628E-2</v>
      </c>
      <c r="C61">
        <f>Factors!N63 - Factors!E63</f>
        <v>1.2613149783131883E-2</v>
      </c>
      <c r="D61">
        <f>Factors!B63</f>
        <v>1.6680676535632211E-2</v>
      </c>
      <c r="E61">
        <f>Factors!C63</f>
        <v>5.6346381969158976E-3</v>
      </c>
      <c r="F61">
        <f>Factors!E63</f>
        <v>6.2130939937454999E-2</v>
      </c>
      <c r="G61">
        <f>Factors!L63</f>
        <v>7.7683699449345722E-2</v>
      </c>
      <c r="H61">
        <f>Factors!M63</f>
        <v>3.4186287159702067E-2</v>
      </c>
      <c r="I61">
        <f>Factors!Z63</f>
        <v>7.8234826722082929E-2</v>
      </c>
      <c r="J61" cm="1">
        <f t="array" ref="J61">TREND(B25:B60, C25:I60, C61:I61, TRUE)</f>
        <v>9.100688947126059E-3</v>
      </c>
    </row>
    <row r="62" spans="1:10" x14ac:dyDescent="0.2">
      <c r="A62" s="3">
        <f>Data!A62</f>
        <v>39843</v>
      </c>
      <c r="B62">
        <f>Data!B62 - Factors!AB64</f>
        <v>1.9444739209383277E-3</v>
      </c>
      <c r="C62">
        <f>Factors!N64 - Factors!E64</f>
        <v>8.5780429791907364E-2</v>
      </c>
      <c r="D62">
        <f>Factors!B64</f>
        <v>3.3640794005973529E-2</v>
      </c>
      <c r="E62">
        <f>Factors!C64</f>
        <v>-3.1174958924885532E-3</v>
      </c>
      <c r="F62">
        <f>Factors!E64</f>
        <v>-3.2701175380325243E-2</v>
      </c>
      <c r="G62">
        <f>Factors!L64</f>
        <v>8.5160156035384293E-3</v>
      </c>
      <c r="H62">
        <f>Factors!M64</f>
        <v>1.0796388027620951E-2</v>
      </c>
      <c r="I62">
        <f>Factors!Z64</f>
        <v>5.192449407629951E-2</v>
      </c>
      <c r="J62" cm="1">
        <f t="array" ref="J62">TREND(B26:B61, C26:I61, C62:I62, TRUE)</f>
        <v>-7.1614417995646239E-3</v>
      </c>
    </row>
    <row r="63" spans="1:10" x14ac:dyDescent="0.2">
      <c r="A63" s="3">
        <f>Data!A63</f>
        <v>39871</v>
      </c>
      <c r="B63">
        <f>Data!B63 - Factors!AB65</f>
        <v>5.5533058396206592E-3</v>
      </c>
      <c r="C63">
        <f>Factors!N65 - Factors!E65</f>
        <v>-1.2326850207878381E-2</v>
      </c>
      <c r="D63">
        <f>Factors!B65</f>
        <v>-3.865695165264027E-3</v>
      </c>
      <c r="E63">
        <f>Factors!C65</f>
        <v>-1.0142416430715118E-3</v>
      </c>
      <c r="F63">
        <f>Factors!E65</f>
        <v>-2.2339857219173309E-2</v>
      </c>
      <c r="G63">
        <f>Factors!L65</f>
        <v>-1.1930703857049418E-2</v>
      </c>
      <c r="H63">
        <f>Factors!M65</f>
        <v>-3.9271878475319877E-2</v>
      </c>
      <c r="I63">
        <f>Factors!Z65</f>
        <v>1.559519318855429E-2</v>
      </c>
      <c r="J63" cm="1">
        <f t="array" ref="J63">TREND(B27:B62, C27:I62, C63:I63, TRUE)</f>
        <v>7.2573599996661941E-4</v>
      </c>
    </row>
    <row r="64" spans="1:10" x14ac:dyDescent="0.2">
      <c r="A64" s="3">
        <f>Data!A64</f>
        <v>39903</v>
      </c>
      <c r="B64">
        <f>Data!B64 - Factors!AB66</f>
        <v>1.3967156271081471E-2</v>
      </c>
      <c r="C64">
        <f>Factors!N66 - Factors!E66</f>
        <v>1.0022884643498209E-2</v>
      </c>
      <c r="D64">
        <f>Factors!B66</f>
        <v>1.2992542199938839E-3</v>
      </c>
      <c r="E64">
        <f>Factors!C66</f>
        <v>5.4993866068784314E-3</v>
      </c>
      <c r="F64">
        <f>Factors!E66</f>
        <v>2.3013748583143867E-2</v>
      </c>
      <c r="G64">
        <f>Factors!L66</f>
        <v>3.7382146992336107E-2</v>
      </c>
      <c r="H64">
        <f>Factors!M66</f>
        <v>6.6101878176140216E-2</v>
      </c>
      <c r="I64">
        <f>Factors!Z66</f>
        <v>-2.4376008150097661E-2</v>
      </c>
      <c r="J64" cm="1">
        <f t="array" ref="J64">TREND(B28:B63, C28:I63, C64:I64, TRUE)</f>
        <v>4.7703911551971942E-3</v>
      </c>
    </row>
    <row r="65" spans="1:10" x14ac:dyDescent="0.2">
      <c r="A65" s="3">
        <f>Data!A65</f>
        <v>39933</v>
      </c>
      <c r="B65">
        <f>Data!B65 - Factors!AB67</f>
        <v>2.5822725637949517E-3</v>
      </c>
      <c r="C65">
        <f>Factors!N67 - Factors!E67</f>
        <v>0.1056643471272094</v>
      </c>
      <c r="D65">
        <f>Factors!B67</f>
        <v>1.3123246567140034E-2</v>
      </c>
      <c r="E65">
        <f>Factors!C67</f>
        <v>-1.4725062055618299E-3</v>
      </c>
      <c r="F65">
        <f>Factors!E67</f>
        <v>8.9954877717373094E-3</v>
      </c>
      <c r="G65">
        <f>Factors!L67</f>
        <v>5.3866595801222328E-2</v>
      </c>
      <c r="H65">
        <f>Factors!M67</f>
        <v>-1.305333492423344E-2</v>
      </c>
      <c r="I65">
        <f>Factors!Z67</f>
        <v>-3.3882634470005946E-2</v>
      </c>
      <c r="J65" cm="1">
        <f t="array" ref="J65">TREND(B29:B64, C29:I64, C65:I65, TRUE)</f>
        <v>-7.8875069652809982E-3</v>
      </c>
    </row>
    <row r="66" spans="1:10" x14ac:dyDescent="0.2">
      <c r="A66" s="3">
        <f>Data!A66</f>
        <v>39962</v>
      </c>
      <c r="B66">
        <f>Data!B66 - Factors!AB68</f>
        <v>2.8715477967204972E-3</v>
      </c>
      <c r="C66">
        <f>Factors!N68 - Factors!E68</f>
        <v>3.5440379751980222E-2</v>
      </c>
      <c r="D66">
        <f>Factors!B68</f>
        <v>4.8675986601818266E-3</v>
      </c>
      <c r="E66">
        <f>Factors!C68</f>
        <v>1.6853459172494478E-3</v>
      </c>
      <c r="F66">
        <f>Factors!E68</f>
        <v>3.5689598600021855E-2</v>
      </c>
      <c r="G66">
        <f>Factors!L68</f>
        <v>3.7849559976800951E-2</v>
      </c>
      <c r="H66">
        <f>Factors!M68</f>
        <v>3.2823153924270709E-3</v>
      </c>
      <c r="I66">
        <f>Factors!Z68</f>
        <v>0.10242062598513835</v>
      </c>
      <c r="J66" cm="1">
        <f t="array" ref="J66">TREND(B30:B65, C30:I65, C66:I66, TRUE)</f>
        <v>-4.1701199234033502E-4</v>
      </c>
    </row>
    <row r="67" spans="1:10" x14ac:dyDescent="0.2">
      <c r="A67" s="3">
        <f>Data!A67</f>
        <v>39994</v>
      </c>
      <c r="B67">
        <f>Data!B67 - Factors!AB69</f>
        <v>1.1457857814767269E-3</v>
      </c>
      <c r="C67">
        <f>Factors!N69 - Factors!E69</f>
        <v>2.7660450498887768E-2</v>
      </c>
      <c r="D67">
        <f>Factors!B69</f>
        <v>-7.312509554768698E-3</v>
      </c>
      <c r="E67">
        <f>Factors!C69</f>
        <v>-1.598384790106766E-3</v>
      </c>
      <c r="F67">
        <f>Factors!E69</f>
        <v>4.137049056372577E-3</v>
      </c>
      <c r="G67">
        <f>Factors!L69</f>
        <v>1.3193060887312313E-2</v>
      </c>
      <c r="H67">
        <f>Factors!M69</f>
        <v>-5.3682783551739499E-3</v>
      </c>
      <c r="I67">
        <f>Factors!Z69</f>
        <v>-5.3790455181429109E-2</v>
      </c>
      <c r="J67" cm="1">
        <f t="array" ref="J67">TREND(B31:B66, C31:I66, C67:I67, TRUE)</f>
        <v>-5.2487325207295687E-3</v>
      </c>
    </row>
    <row r="68" spans="1:10" x14ac:dyDescent="0.2">
      <c r="A68" s="3">
        <f>Data!A68</f>
        <v>40025</v>
      </c>
      <c r="B68">
        <f>Data!B68 - Factors!AB70</f>
        <v>8.0259665405626457E-3</v>
      </c>
      <c r="C68">
        <f>Factors!N70 - Factors!E70</f>
        <v>3.9685980761378525E-2</v>
      </c>
      <c r="D68">
        <f>Factors!B70</f>
        <v>1.7163061959132975E-2</v>
      </c>
      <c r="E68">
        <f>Factors!C70</f>
        <v>1.4745534209639199E-3</v>
      </c>
      <c r="F68">
        <f>Factors!E70</f>
        <v>2.2144694975066992E-2</v>
      </c>
      <c r="G68">
        <f>Factors!L70</f>
        <v>3.0862569242943838E-2</v>
      </c>
      <c r="H68">
        <f>Factors!M70</f>
        <v>9.7768408810061658E-3</v>
      </c>
      <c r="I68">
        <f>Factors!Z70</f>
        <v>2.9681597409606075E-2</v>
      </c>
      <c r="J68" cm="1">
        <f t="array" ref="J68">TREND(B32:B67, C32:I67, C68:I68, TRUE)</f>
        <v>1.387390280307315E-3</v>
      </c>
    </row>
    <row r="69" spans="1:10" x14ac:dyDescent="0.2">
      <c r="A69" s="3">
        <f>Data!A69</f>
        <v>40056</v>
      </c>
      <c r="B69">
        <f>Data!B69 - Factors!AB71</f>
        <v>6.4695476676701613E-3</v>
      </c>
      <c r="C69">
        <f>Factors!N71 - Factors!E71</f>
        <v>2.7728099455410771E-3</v>
      </c>
      <c r="D69">
        <f>Factors!B71</f>
        <v>7.4563143057477799E-3</v>
      </c>
      <c r="E69">
        <f>Factors!C71</f>
        <v>3.9123301501828855E-3</v>
      </c>
      <c r="F69">
        <f>Factors!E71</f>
        <v>1.7565764546371376E-2</v>
      </c>
      <c r="G69">
        <f>Factors!L71</f>
        <v>1.9005303805713192E-2</v>
      </c>
      <c r="H69">
        <f>Factors!M71</f>
        <v>1.4577259475219151E-3</v>
      </c>
      <c r="I69">
        <f>Factors!Z71</f>
        <v>-2.945492662473792E-3</v>
      </c>
      <c r="J69" cm="1">
        <f t="array" ref="J69">TREND(B33:B68, C33:I68, C69:I69, TRUE)</f>
        <v>4.6658326907642652E-3</v>
      </c>
    </row>
    <row r="70" spans="1:10" x14ac:dyDescent="0.2">
      <c r="A70" s="3">
        <f>Data!A70</f>
        <v>40086</v>
      </c>
      <c r="B70">
        <f>Data!B70 - Factors!AB72</f>
        <v>7.8810332197978283E-3</v>
      </c>
      <c r="C70">
        <f>Factors!N72 - Factors!E72</f>
        <v>3.8389545235292033E-2</v>
      </c>
      <c r="D70">
        <f>Factors!B72</f>
        <v>2.3490973472177323E-2</v>
      </c>
      <c r="E70">
        <f>Factors!C72</f>
        <v>2.3885350318473275E-3</v>
      </c>
      <c r="F70">
        <f>Factors!E72</f>
        <v>2.1370567768512316E-2</v>
      </c>
      <c r="G70">
        <f>Factors!L72</f>
        <v>4.9172468896244714E-2</v>
      </c>
      <c r="H70">
        <f>Factors!M72</f>
        <v>1.9647659951719465E-2</v>
      </c>
      <c r="I70">
        <f>Factors!Z72</f>
        <v>5.9409791944827095E-2</v>
      </c>
      <c r="J70" cm="1">
        <f t="array" ref="J70">TREND(B34:B69, C34:I69, C70:I70, TRUE)</f>
        <v>9.7417468274172674E-3</v>
      </c>
    </row>
    <row r="71" spans="1:10" x14ac:dyDescent="0.2">
      <c r="A71" s="3">
        <f>Data!A71</f>
        <v>40116</v>
      </c>
      <c r="B71">
        <f>Data!B71 - Factors!AB73</f>
        <v>7.0411622465191837E-3</v>
      </c>
      <c r="C71">
        <f>Factors!N73 - Factors!E73</f>
        <v>1.3165010846483138E-2</v>
      </c>
      <c r="D71">
        <f>Factors!B73</f>
        <v>-1.5602916708276626E-2</v>
      </c>
      <c r="E71">
        <f>Factors!C73</f>
        <v>2.2156264370218892E-3</v>
      </c>
      <c r="F71">
        <f>Factors!E73</f>
        <v>4.6982413831337944E-3</v>
      </c>
      <c r="G71">
        <f>Factors!L73</f>
        <v>1.4795796253181948E-3</v>
      </c>
      <c r="H71">
        <f>Factors!M73</f>
        <v>1.8705095141022587E-2</v>
      </c>
      <c r="I71">
        <f>Factors!Z73</f>
        <v>3.7461546095068021E-2</v>
      </c>
      <c r="J71" cm="1">
        <f t="array" ref="J71">TREND(B35:B70, C35:I70, C71:I71, TRUE)</f>
        <v>-2.8872926413254689E-3</v>
      </c>
    </row>
    <row r="72" spans="1:10" x14ac:dyDescent="0.2">
      <c r="A72" s="3">
        <f>Data!A72</f>
        <v>40147</v>
      </c>
      <c r="B72">
        <f>Data!B72 - Factors!AB74</f>
        <v>1.2773443899890768E-2</v>
      </c>
      <c r="C72">
        <f>Factors!N74 - Factors!E74</f>
        <v>-1.5331378627693404E-2</v>
      </c>
      <c r="D72">
        <f>Factors!B74</f>
        <v>1.2563947042971702E-2</v>
      </c>
      <c r="E72">
        <f>Factors!C74</f>
        <v>6.0899307583215379E-3</v>
      </c>
      <c r="F72">
        <f>Factors!E74</f>
        <v>2.5463667198678763E-2</v>
      </c>
      <c r="G72">
        <f>Factors!L74</f>
        <v>1.0472114193842641E-2</v>
      </c>
      <c r="H72">
        <f>Factors!M74</f>
        <v>2.6498659208211928E-2</v>
      </c>
      <c r="I72">
        <f>Factors!Z74</f>
        <v>0.12834664498541293</v>
      </c>
      <c r="J72" cm="1">
        <f t="array" ref="J72">TREND(B36:B71, C36:I71, C72:I72, TRUE)</f>
        <v>7.9872555106983451E-3</v>
      </c>
    </row>
    <row r="73" spans="1:10" x14ac:dyDescent="0.2">
      <c r="A73" s="3">
        <f>Data!A73</f>
        <v>40178</v>
      </c>
      <c r="B73">
        <f>Data!B73 - Factors!AB75</f>
        <v>-1.4076292180772887E-2</v>
      </c>
      <c r="C73">
        <f>Factors!N75 - Factors!E75</f>
        <v>6.8973020279673891E-2</v>
      </c>
      <c r="D73">
        <f>Factors!B75</f>
        <v>-3.9226224514099517E-4</v>
      </c>
      <c r="E73">
        <f>Factors!C75</f>
        <v>-7.9601990049750215E-3</v>
      </c>
      <c r="F73">
        <f>Factors!E75</f>
        <v>-3.7626846744221787E-2</v>
      </c>
      <c r="G73">
        <f>Factors!L75</f>
        <v>3.2036810079769662E-3</v>
      </c>
      <c r="H73">
        <f>Factors!M75</f>
        <v>-2.7483146067415753E-2</v>
      </c>
      <c r="I73">
        <f>Factors!Z75</f>
        <v>-7.0072819443384837E-2</v>
      </c>
      <c r="J73" cm="1">
        <f t="array" ref="J73">TREND(B37:B72, C37:I72, C73:I73, TRUE)</f>
        <v>-7.6516865731817013E-3</v>
      </c>
    </row>
    <row r="74" spans="1:10" x14ac:dyDescent="0.2">
      <c r="A74" s="3">
        <f>Data!A74</f>
        <v>40207</v>
      </c>
      <c r="B74">
        <f>Data!B74 - Factors!AB76</f>
        <v>1.3160425629171524E-2</v>
      </c>
      <c r="C74">
        <f>Factors!N76 - Factors!E76</f>
        <v>1.1024238393011254E-2</v>
      </c>
      <c r="D74">
        <f>Factors!B76</f>
        <v>5.7150914172552358E-3</v>
      </c>
      <c r="E74">
        <f>Factors!C76</f>
        <v>7.6897358742895605E-3</v>
      </c>
      <c r="F74">
        <f>Factors!E76</f>
        <v>4.1308822450192295E-3</v>
      </c>
      <c r="G74">
        <f>Factors!L76</f>
        <v>3.6863989026534316E-3</v>
      </c>
      <c r="H74">
        <f>Factors!M76</f>
        <v>2.0513205628855946E-2</v>
      </c>
      <c r="I74">
        <f>Factors!Z76</f>
        <v>-1.4375962879568216E-2</v>
      </c>
      <c r="J74" cm="1">
        <f t="array" ref="J74">TREND(B38:B73, C38:I73, C74:I74, TRUE)</f>
        <v>3.4462767224917364E-3</v>
      </c>
    </row>
    <row r="75" spans="1:10" x14ac:dyDescent="0.2">
      <c r="A75" s="3">
        <f>Data!A75</f>
        <v>40235</v>
      </c>
      <c r="B75">
        <f>Data!B75 - Factors!AB77</f>
        <v>1.7755895559219415E-3</v>
      </c>
      <c r="C75">
        <f>Factors!N77 - Factors!E77</f>
        <v>8.045556453502023E-4</v>
      </c>
      <c r="D75">
        <f>Factors!B77</f>
        <v>9.5110003800513709E-3</v>
      </c>
      <c r="E75">
        <f>Factors!C77</f>
        <v>1.9077637690776417E-3</v>
      </c>
      <c r="F75">
        <f>Factors!E77</f>
        <v>7.4427345710548209E-4</v>
      </c>
      <c r="G75">
        <f>Factors!L77</f>
        <v>1.4157591287636162E-2</v>
      </c>
      <c r="H75">
        <f>Factors!M77</f>
        <v>-1.8085690511097652E-2</v>
      </c>
      <c r="I75">
        <f>Factors!Z77</f>
        <v>3.36570477247502E-2</v>
      </c>
      <c r="J75" cm="1">
        <f t="array" ref="J75">TREND(B39:B74, C39:I74, C75:I75, TRUE)</f>
        <v>5.750445380608757E-3</v>
      </c>
    </row>
    <row r="76" spans="1:10" x14ac:dyDescent="0.2">
      <c r="A76" s="3">
        <f>Data!A76</f>
        <v>40268</v>
      </c>
      <c r="B76">
        <f>Data!B76 - Factors!AB78</f>
        <v>2.7824149949329247E-4</v>
      </c>
      <c r="C76">
        <f>Factors!N78 - Factors!E78</f>
        <v>3.8515567988172128E-2</v>
      </c>
      <c r="D76">
        <f>Factors!B78</f>
        <v>-5.6583576749659192E-3</v>
      </c>
      <c r="E76">
        <f>Factors!C78</f>
        <v>-2.5664376190082105E-3</v>
      </c>
      <c r="F76">
        <f>Factors!E78</f>
        <v>-7.5581717406796312E-3</v>
      </c>
      <c r="G76">
        <f>Factors!L78</f>
        <v>2.3329753858463365E-2</v>
      </c>
      <c r="H76">
        <f>Factors!M78</f>
        <v>-7.8633030484711597E-3</v>
      </c>
      <c r="I76">
        <f>Factors!Z78</f>
        <v>-3.8833561502875646E-3</v>
      </c>
      <c r="J76" cm="1">
        <f t="array" ref="J76">TREND(B40:B75, C40:I75, C76:I76, TRUE)</f>
        <v>1.6236242251466192E-4</v>
      </c>
    </row>
    <row r="77" spans="1:10" x14ac:dyDescent="0.2">
      <c r="A77" s="3">
        <f>Data!A77</f>
        <v>40298</v>
      </c>
      <c r="B77">
        <f>Data!B77 - Factors!AB79</f>
        <v>5.9198911968121326E-3</v>
      </c>
      <c r="C77">
        <f>Factors!N79 - Factors!E79</f>
        <v>2.2229001132557435E-2</v>
      </c>
      <c r="D77">
        <f>Factors!B79</f>
        <v>9.2369008235260175E-3</v>
      </c>
      <c r="E77">
        <f>Factors!C79</f>
        <v>2.7805444887116781E-3</v>
      </c>
      <c r="F77">
        <f>Factors!E79</f>
        <v>1.6093982852760647E-4</v>
      </c>
      <c r="G77">
        <f>Factors!L79</f>
        <v>7.6130120779407395E-3</v>
      </c>
      <c r="H77">
        <f>Factors!M79</f>
        <v>3.2550842533410895E-2</v>
      </c>
      <c r="I77">
        <f>Factors!Z79</f>
        <v>5.9088255108915355E-2</v>
      </c>
      <c r="J77" cm="1">
        <f t="array" ref="J77">TREND(B41:B76, C41:I76, C77:I77, TRUE)</f>
        <v>4.5238286257748587E-3</v>
      </c>
    </row>
    <row r="78" spans="1:10" x14ac:dyDescent="0.2">
      <c r="A78" s="3">
        <f>Data!A78</f>
        <v>40329</v>
      </c>
      <c r="B78">
        <f>Data!B78 - Factors!AB80</f>
        <v>1.1043717267077646E-2</v>
      </c>
      <c r="C78">
        <f>Factors!N80 - Factors!E80</f>
        <v>-1.957494172088281E-2</v>
      </c>
      <c r="D78">
        <f>Factors!B80</f>
        <v>7.4491893259547304E-3</v>
      </c>
      <c r="E78">
        <f>Factors!C80</f>
        <v>4.5524148491495886E-3</v>
      </c>
      <c r="F78">
        <f>Factors!E80</f>
        <v>-1.5631174258776026E-2</v>
      </c>
      <c r="G78">
        <f>Factors!L80</f>
        <v>-1.5784852259500437E-2</v>
      </c>
      <c r="H78">
        <f>Factors!M80</f>
        <v>3.7703571147202908E-3</v>
      </c>
      <c r="I78">
        <f>Factors!Z80</f>
        <v>3.161073085502486E-2</v>
      </c>
      <c r="J78" cm="1">
        <f t="array" ref="J78">TREND(B42:B77, C42:I77, C78:I78, TRUE)</f>
        <v>5.8105436707456999E-3</v>
      </c>
    </row>
    <row r="79" spans="1:10" x14ac:dyDescent="0.2">
      <c r="A79" s="3">
        <f>Data!A79</f>
        <v>40359</v>
      </c>
      <c r="B79">
        <f>Data!B79 - Factors!AB81</f>
        <v>1.111948627119741E-2</v>
      </c>
      <c r="C79">
        <f>Factors!N81 - Factors!E81</f>
        <v>-2.2784429780500215E-3</v>
      </c>
      <c r="D79">
        <f>Factors!B81</f>
        <v>2.0451615359027286E-3</v>
      </c>
      <c r="E79">
        <f>Factors!C81</f>
        <v>4.6553784039879975E-3</v>
      </c>
      <c r="F79">
        <f>Factors!E81</f>
        <v>1.5316525078149956E-2</v>
      </c>
      <c r="G79">
        <f>Factors!L81</f>
        <v>2.0063073156562528E-2</v>
      </c>
      <c r="H79">
        <f>Factors!M81</f>
        <v>1.9235081739286342E-2</v>
      </c>
      <c r="I79">
        <f>Factors!Z81</f>
        <v>2.1442078434596779E-2</v>
      </c>
      <c r="J79" cm="1">
        <f t="array" ref="J79">TREND(B43:B78, C43:I78, C79:I79, TRUE)</f>
        <v>7.7565882622990228E-3</v>
      </c>
    </row>
    <row r="80" spans="1:10" x14ac:dyDescent="0.2">
      <c r="A80" s="3">
        <f>Data!A80</f>
        <v>40389</v>
      </c>
      <c r="B80">
        <f>Data!B80 - Factors!AB82</f>
        <v>8.3682320597420201E-3</v>
      </c>
      <c r="C80">
        <f>Factors!N82 - Factors!E82</f>
        <v>6.7114612273222463E-4</v>
      </c>
      <c r="D80">
        <f>Factors!B82</f>
        <v>1.3076275451955111E-2</v>
      </c>
      <c r="E80">
        <f>Factors!C82</f>
        <v>2.6654637906995404E-3</v>
      </c>
      <c r="F80">
        <f>Factors!E82</f>
        <v>3.3979924936982098E-2</v>
      </c>
      <c r="G80">
        <f>Factors!L82</f>
        <v>4.1167497203295156E-2</v>
      </c>
      <c r="H80">
        <f>Factors!M82</f>
        <v>3.5037925666794312E-3</v>
      </c>
      <c r="I80">
        <f>Factors!Z82</f>
        <v>-4.9405173940340386E-2</v>
      </c>
      <c r="J80" cm="1">
        <f t="array" ref="J80">TREND(B44:B79, C44:I79, C80:I80, TRUE)</f>
        <v>7.3175053122606993E-3</v>
      </c>
    </row>
    <row r="81" spans="1:10" x14ac:dyDescent="0.2">
      <c r="A81" s="3">
        <f>Data!A81</f>
        <v>40421</v>
      </c>
      <c r="B81">
        <f>Data!B81 - Factors!AB83</f>
        <v>1.4297262605764693E-3</v>
      </c>
      <c r="C81">
        <f>Factors!N83 - Factors!E83</f>
        <v>-1.2353462324170783E-2</v>
      </c>
      <c r="D81">
        <f>Factors!B83</f>
        <v>1.9113230863537334E-2</v>
      </c>
      <c r="E81">
        <f>Factors!C83</f>
        <v>1.9631098932559876E-3</v>
      </c>
      <c r="F81">
        <f>Factors!E83</f>
        <v>1.3917460987834307E-2</v>
      </c>
      <c r="G81">
        <f>Factors!L83</f>
        <v>2.3266717458829023E-2</v>
      </c>
      <c r="H81">
        <f>Factors!M83</f>
        <v>1.7112475334356558E-2</v>
      </c>
      <c r="I81">
        <f>Factors!Z83</f>
        <v>5.6223539373412512E-2</v>
      </c>
      <c r="J81" cm="1">
        <f t="array" ref="J81">TREND(B45:B80, C45:I80, C81:I81, TRUE)</f>
        <v>1.1242988956268374E-2</v>
      </c>
    </row>
    <row r="82" spans="1:10" x14ac:dyDescent="0.2">
      <c r="A82" s="3">
        <f>Data!A82</f>
        <v>40451</v>
      </c>
      <c r="B82">
        <f>Data!B82 - Factors!AB84</f>
        <v>-3.9134679025312202E-3</v>
      </c>
      <c r="C82">
        <f>Factors!N84 - Factors!E84</f>
        <v>6.2221974189182738E-3</v>
      </c>
      <c r="D82">
        <f>Factors!B84</f>
        <v>-3.8929288590646705E-3</v>
      </c>
      <c r="E82">
        <f>Factors!C84</f>
        <v>1.714355687987279E-3</v>
      </c>
      <c r="F82">
        <f>Factors!E84</f>
        <v>2.3467549167782931E-2</v>
      </c>
      <c r="G82">
        <f>Factors!L84</f>
        <v>1.6762122947690195E-2</v>
      </c>
      <c r="H82">
        <f>Factors!M84</f>
        <v>2.1836367359696407E-2</v>
      </c>
      <c r="I82">
        <f>Factors!Z84</f>
        <v>4.9013949013948954E-2</v>
      </c>
      <c r="J82" cm="1">
        <f t="array" ref="J82">TREND(B46:B81, C46:I81, C82:I82, TRUE)</f>
        <v>3.5456995822661427E-3</v>
      </c>
    </row>
    <row r="83" spans="1:10" x14ac:dyDescent="0.2">
      <c r="A83" s="3">
        <f>Data!A83</f>
        <v>40480</v>
      </c>
      <c r="B83">
        <f>Data!B83 - Factors!AB85</f>
        <v>9.6898537032477083E-3</v>
      </c>
      <c r="C83">
        <f>Factors!N85 - Factors!E85</f>
        <v>1.1695401857421572E-2</v>
      </c>
      <c r="D83">
        <f>Factors!B85</f>
        <v>-2.3471341556199343E-3</v>
      </c>
      <c r="E83">
        <f>Factors!C85</f>
        <v>2.281895603276185E-3</v>
      </c>
      <c r="F83">
        <f>Factors!E85</f>
        <v>1.2557337629727217E-2</v>
      </c>
      <c r="G83">
        <f>Factors!L85</f>
        <v>1.7199294002778753E-2</v>
      </c>
      <c r="H83">
        <f>Factors!M85</f>
        <v>2.5652114295357853E-2</v>
      </c>
      <c r="I83">
        <f>Factors!Z85</f>
        <v>3.8867745731884451E-2</v>
      </c>
      <c r="J83" cm="1">
        <f t="array" ref="J83">TREND(B47:B82, C47:I82, C83:I83, TRUE)</f>
        <v>4.6069719527369402E-3</v>
      </c>
    </row>
    <row r="84" spans="1:10" x14ac:dyDescent="0.2">
      <c r="A84" s="3">
        <f>Data!A84</f>
        <v>40512</v>
      </c>
      <c r="B84">
        <f>Data!B84 - Factors!AB86</f>
        <v>-1.9028184915167445E-3</v>
      </c>
      <c r="C84">
        <f>Factors!N86 - Factors!E86</f>
        <v>2.6910464940070544E-2</v>
      </c>
      <c r="D84">
        <f>Factors!B86</f>
        <v>-1.1950414733116754E-2</v>
      </c>
      <c r="E84">
        <f>Factors!C86</f>
        <v>-1.8701467658658322E-3</v>
      </c>
      <c r="F84">
        <f>Factors!E86</f>
        <v>-3.8066778306476645E-2</v>
      </c>
      <c r="G84">
        <f>Factors!L86</f>
        <v>-3.184184295049286E-2</v>
      </c>
      <c r="H84">
        <f>Factors!M86</f>
        <v>-1.9215541089480537E-2</v>
      </c>
      <c r="I84">
        <f>Factors!Z86</f>
        <v>1.9729292334853543E-2</v>
      </c>
      <c r="J84" cm="1">
        <f t="array" ref="J84">TREND(B48:B83, C48:I83, C84:I84, TRUE)</f>
        <v>-5.1206903038290329E-3</v>
      </c>
    </row>
    <row r="85" spans="1:10" x14ac:dyDescent="0.2">
      <c r="A85" s="3">
        <f>Data!A85</f>
        <v>40543</v>
      </c>
      <c r="B85">
        <f>Data!B85 - Factors!AB87</f>
        <v>-5.7059263682106565E-3</v>
      </c>
      <c r="C85">
        <f>Factors!N87 - Factors!E87</f>
        <v>4.5494413766253849E-3</v>
      </c>
      <c r="D85">
        <f>Factors!B87</f>
        <v>-1.2468861449129953E-2</v>
      </c>
      <c r="E85">
        <f>Factors!C87</f>
        <v>-1.9551138446498584E-3</v>
      </c>
      <c r="F85">
        <f>Factors!E87</f>
        <v>1.3058653730044556E-2</v>
      </c>
      <c r="G85">
        <f>Factors!L87</f>
        <v>-3.317508436767147E-3</v>
      </c>
      <c r="H85">
        <f>Factors!M87</f>
        <v>-2.2837250512475205E-2</v>
      </c>
      <c r="I85">
        <f>Factors!Z87</f>
        <v>2.5378367070162167E-2</v>
      </c>
      <c r="J85" cm="1">
        <f t="array" ref="J85">TREND(B49:B84, C49:I84, C85:I85, TRUE)</f>
        <v>-5.4775032124057378E-3</v>
      </c>
    </row>
    <row r="86" spans="1:10" x14ac:dyDescent="0.2">
      <c r="A86" s="3">
        <f>Data!A86</f>
        <v>40574</v>
      </c>
      <c r="B86">
        <f>Data!B86 - Factors!AB88</f>
        <v>4.6299615563727414E-4</v>
      </c>
      <c r="C86">
        <f>Factors!N88 - Factors!E88</f>
        <v>1.9224633104182987E-2</v>
      </c>
      <c r="D86">
        <f>Factors!B88</f>
        <v>-3.836599309643085E-3</v>
      </c>
      <c r="E86">
        <f>Factors!C88</f>
        <v>1.5916418397745602E-3</v>
      </c>
      <c r="F86">
        <f>Factors!E88</f>
        <v>1.7997827962523694E-3</v>
      </c>
      <c r="G86">
        <f>Factors!L88</f>
        <v>-5.432807269249218E-3</v>
      </c>
      <c r="H86">
        <f>Factors!M88</f>
        <v>1.6578587332671813E-3</v>
      </c>
      <c r="I86">
        <f>Factors!Z88</f>
        <v>-6.2424370339102309E-2</v>
      </c>
      <c r="J86" cm="1">
        <f t="array" ref="J86">TREND(B50:B85, C50:I85, C86:I86, TRUE)</f>
        <v>-2.3779344841932427E-3</v>
      </c>
    </row>
    <row r="87" spans="1:10" x14ac:dyDescent="0.2">
      <c r="A87" s="3">
        <f>Data!A87</f>
        <v>40602</v>
      </c>
      <c r="B87">
        <f>Data!B87 - Factors!AB89</f>
        <v>2.3543230027542883E-3</v>
      </c>
      <c r="C87">
        <f>Factors!N89 - Factors!E89</f>
        <v>7.4824611249928452E-3</v>
      </c>
      <c r="D87">
        <f>Factors!B89</f>
        <v>1.2860000306387676E-2</v>
      </c>
      <c r="E87">
        <f>Factors!C89</f>
        <v>-9.3716893488704489E-4</v>
      </c>
      <c r="F87">
        <f>Factors!E89</f>
        <v>5.8872994581078419E-3</v>
      </c>
      <c r="G87">
        <f>Factors!L89</f>
        <v>2.9428170260239472E-3</v>
      </c>
      <c r="H87">
        <f>Factors!M89</f>
        <v>6.2401576911952361E-3</v>
      </c>
      <c r="I87">
        <f>Factors!Z89</f>
        <v>5.9024364621399039E-2</v>
      </c>
      <c r="J87" cm="1">
        <f t="array" ref="J87">TREND(B51:B86, C51:I86, C87:I87, TRUE)</f>
        <v>1.2564173591332539E-3</v>
      </c>
    </row>
    <row r="88" spans="1:10" x14ac:dyDescent="0.2">
      <c r="A88" s="3">
        <f>Data!A88</f>
        <v>40633</v>
      </c>
      <c r="B88">
        <f>Data!B88 - Factors!AB90</f>
        <v>2.6308223402204955E-3</v>
      </c>
      <c r="C88">
        <f>Factors!N90 - Factors!E90</f>
        <v>-5.082415334631829E-4</v>
      </c>
      <c r="D88">
        <f>Factors!B90</f>
        <v>-1.3085061895490302E-3</v>
      </c>
      <c r="E88">
        <f>Factors!C90</f>
        <v>-4.8941637097765778E-4</v>
      </c>
      <c r="F88">
        <f>Factors!E90</f>
        <v>4.7096391412388972E-3</v>
      </c>
      <c r="G88">
        <f>Factors!L90</f>
        <v>1.2695612150966262E-2</v>
      </c>
      <c r="H88">
        <f>Factors!M90</f>
        <v>8.8310914036591193E-3</v>
      </c>
      <c r="I88">
        <f>Factors!Z90</f>
        <v>1.478746997513003E-2</v>
      </c>
      <c r="J88" cm="1">
        <f t="array" ref="J88">TREND(B52:B87, C52:I87, C88:I88, TRUE)</f>
        <v>3.280935506476697E-3</v>
      </c>
    </row>
    <row r="89" spans="1:10" x14ac:dyDescent="0.2">
      <c r="A89" s="3">
        <f>Data!A89</f>
        <v>40662</v>
      </c>
      <c r="B89">
        <f>Data!B89 - Factors!AB91</f>
        <v>1.0869827904158358E-2</v>
      </c>
      <c r="C89">
        <f>Factors!N91 - Factors!E91</f>
        <v>-1.5795744446313043E-2</v>
      </c>
      <c r="D89">
        <f>Factors!B91</f>
        <v>1.4694445581433513E-2</v>
      </c>
      <c r="E89">
        <f>Factors!C91</f>
        <v>4.4477088178886959E-3</v>
      </c>
      <c r="F89">
        <f>Factors!E91</f>
        <v>3.0995329723658704E-2</v>
      </c>
      <c r="G89">
        <f>Factors!L91</f>
        <v>1.3918872855357423E-2</v>
      </c>
      <c r="H89">
        <f>Factors!M91</f>
        <v>3.1358498928861778E-2</v>
      </c>
      <c r="I89">
        <f>Factors!Z91</f>
        <v>9.1816785365172349E-2</v>
      </c>
      <c r="J89" cm="1">
        <f t="array" ref="J89">TREND(B53:B88, C53:I88, C89:I89, TRUE)</f>
        <v>7.389841074661797E-3</v>
      </c>
    </row>
    <row r="90" spans="1:10" x14ac:dyDescent="0.2">
      <c r="A90" s="3">
        <f>Data!A90</f>
        <v>40694</v>
      </c>
      <c r="B90">
        <f>Data!B90 - Factors!AB92</f>
        <v>1.0688996163327635E-2</v>
      </c>
      <c r="C90">
        <f>Factors!N92 - Factors!E92</f>
        <v>5.6747678000111934E-3</v>
      </c>
      <c r="D90">
        <f>Factors!B92</f>
        <v>1.1998386446147702E-2</v>
      </c>
      <c r="E90">
        <f>Factors!C92</f>
        <v>3.696782580435487E-3</v>
      </c>
      <c r="F90">
        <f>Factors!E92</f>
        <v>-7.8462186459959948E-4</v>
      </c>
      <c r="G90">
        <f>Factors!L92</f>
        <v>1.4661661156870398E-2</v>
      </c>
      <c r="H90">
        <f>Factors!M92</f>
        <v>6.021661610244422E-3</v>
      </c>
      <c r="I90">
        <f>Factors!Z92</f>
        <v>-1.789345782439089E-2</v>
      </c>
      <c r="J90" cm="1">
        <f t="array" ref="J90">TREND(B54:B89, C54:I89, C90:I90, TRUE)</f>
        <v>8.886857382715203E-3</v>
      </c>
    </row>
    <row r="91" spans="1:10" x14ac:dyDescent="0.2">
      <c r="A91" s="3">
        <f>Data!A91</f>
        <v>40724</v>
      </c>
      <c r="B91">
        <f>Data!B91 - Factors!AB93</f>
        <v>8.8273705300445648E-4</v>
      </c>
      <c r="C91">
        <f>Factors!N93 - Factors!E93</f>
        <v>-1.0803247012602268E-2</v>
      </c>
      <c r="D91">
        <f>Factors!B93</f>
        <v>1.8104677081438592E-3</v>
      </c>
      <c r="E91">
        <f>Factors!C93</f>
        <v>2.0237179746640521E-4</v>
      </c>
      <c r="F91">
        <f>Factors!E93</f>
        <v>7.5848138648137997E-4</v>
      </c>
      <c r="G91">
        <f>Factors!L93</f>
        <v>1.1210101976953935E-2</v>
      </c>
      <c r="H91">
        <f>Factors!M93</f>
        <v>1.1060934305678449E-2</v>
      </c>
      <c r="I91">
        <f>Factors!Z93</f>
        <v>-2.3148751074414609E-2</v>
      </c>
      <c r="J91" cm="1">
        <f t="array" ref="J91">TREND(B55:B90, C55:I90, C91:I91, TRUE)</f>
        <v>3.3037372021957668E-3</v>
      </c>
    </row>
    <row r="92" spans="1:10" x14ac:dyDescent="0.2">
      <c r="A92" s="3">
        <f>Data!A92</f>
        <v>40753</v>
      </c>
      <c r="B92">
        <f>Data!B92 - Factors!AB94</f>
        <v>9.3469597600953636E-3</v>
      </c>
      <c r="C92">
        <f>Factors!N94 - Factors!E94</f>
        <v>-8.2872577123658253E-3</v>
      </c>
      <c r="D92">
        <f>Factors!B94</f>
        <v>8.7248327488396171E-3</v>
      </c>
      <c r="E92">
        <f>Factors!C94</f>
        <v>2.8326319197151673E-3</v>
      </c>
      <c r="F92">
        <f>Factors!E94</f>
        <v>2.0641793888848792E-2</v>
      </c>
      <c r="G92">
        <f>Factors!L94</f>
        <v>1.9459361063074443E-2</v>
      </c>
      <c r="H92">
        <f>Factors!M94</f>
        <v>4.3724504936800024E-2</v>
      </c>
      <c r="I92">
        <f>Factors!Z94</f>
        <v>8.4577081264123333E-2</v>
      </c>
      <c r="J92" cm="1">
        <f t="array" ref="J92">TREND(B56:B91, C56:I91, C92:I92, TRUE)</f>
        <v>1.0193949519801286E-2</v>
      </c>
    </row>
    <row r="93" spans="1:10" x14ac:dyDescent="0.2">
      <c r="A93" s="3">
        <f>Data!A93</f>
        <v>40786</v>
      </c>
      <c r="B93">
        <f>Data!B93 - Factors!AB95</f>
        <v>1.2349418442985982E-2</v>
      </c>
      <c r="C93">
        <f>Factors!N95 - Factors!E95</f>
        <v>-5.2789778781318519E-2</v>
      </c>
      <c r="D93">
        <f>Factors!B95</f>
        <v>1.5501649959332786E-2</v>
      </c>
      <c r="E93">
        <f>Factors!C95</f>
        <v>3.510612541360647E-3</v>
      </c>
      <c r="F93">
        <f>Factors!E95</f>
        <v>1.2718624953519386E-2</v>
      </c>
      <c r="G93">
        <f>Factors!L95</f>
        <v>5.3210484965360294E-3</v>
      </c>
      <c r="H93">
        <f>Factors!M95</f>
        <v>1.9951230325869984E-2</v>
      </c>
      <c r="I93">
        <f>Factors!Z95</f>
        <v>0.12199993853907376</v>
      </c>
      <c r="J93" cm="1">
        <f t="array" ref="J93">TREND(B57:B92, C57:I92, C93:I93, TRUE)</f>
        <v>1.19214116523287E-2</v>
      </c>
    </row>
    <row r="94" spans="1:10" x14ac:dyDescent="0.2">
      <c r="A94" s="3">
        <f>Data!A94</f>
        <v>40816</v>
      </c>
      <c r="B94">
        <f>Data!B94 - Factors!AB96</f>
        <v>1.7068698759490353E-3</v>
      </c>
      <c r="C94">
        <f>Factors!N96 - Factors!E96</f>
        <v>-1.2839982580850284E-2</v>
      </c>
      <c r="D94">
        <f>Factors!B96</f>
        <v>4.0124077787109247E-3</v>
      </c>
      <c r="E94">
        <f>Factors!C96</f>
        <v>-1.3671639390405721E-3</v>
      </c>
      <c r="F94">
        <f>Factors!E96</f>
        <v>-2.3107205887413995E-2</v>
      </c>
      <c r="G94">
        <f>Factors!L96</f>
        <v>-4.200561258925084E-2</v>
      </c>
      <c r="H94">
        <f>Factors!M96</f>
        <v>2.3388110335182954E-3</v>
      </c>
      <c r="I94">
        <f>Factors!Z96</f>
        <v>-0.11052011722494592</v>
      </c>
      <c r="J94" cm="1">
        <f t="array" ref="J94">TREND(B58:B93, C58:I93, C94:I94, TRUE)</f>
        <v>-1.0005256066973695E-2</v>
      </c>
    </row>
    <row r="95" spans="1:10" x14ac:dyDescent="0.2">
      <c r="A95" s="3">
        <f>Data!A95</f>
        <v>40847</v>
      </c>
      <c r="B95">
        <f>Data!B95 - Factors!AB97</f>
        <v>-7.9599154734211197E-5</v>
      </c>
      <c r="C95">
        <f>Factors!N97 - Factors!E97</f>
        <v>4.6246208065107375E-2</v>
      </c>
      <c r="D95">
        <f>Factors!B97</f>
        <v>-3.8690922933839467E-3</v>
      </c>
      <c r="E95">
        <f>Factors!C97</f>
        <v>8.4558083350105839E-4</v>
      </c>
      <c r="F95">
        <f>Factors!E97</f>
        <v>1.3311028609062525E-2</v>
      </c>
      <c r="G95">
        <f>Factors!L97</f>
        <v>4.5089641618925924E-2</v>
      </c>
      <c r="H95">
        <f>Factors!M97</f>
        <v>1.1497070344723692E-2</v>
      </c>
      <c r="I95">
        <f>Factors!Z97</f>
        <v>5.5986303647639124E-2</v>
      </c>
      <c r="J95" cm="1">
        <f t="array" ref="J95">TREND(B59:B94, C59:I94, C95:I95, TRUE)</f>
        <v>8.5681123289568922E-3</v>
      </c>
    </row>
    <row r="96" spans="1:10" x14ac:dyDescent="0.2">
      <c r="A96" s="3">
        <f>Data!A96</f>
        <v>40877</v>
      </c>
      <c r="B96">
        <f>Data!B96 - Factors!AB98</f>
        <v>1.8194410852883092E-3</v>
      </c>
      <c r="C96">
        <f>Factors!N98 - Factors!E98</f>
        <v>-4.6641247501899574E-3</v>
      </c>
      <c r="D96">
        <f>Factors!B98</f>
        <v>7.4276373355577352E-3</v>
      </c>
      <c r="E96">
        <f>Factors!C98</f>
        <v>6.0347602188604021E-4</v>
      </c>
      <c r="F96">
        <f>Factors!E98</f>
        <v>-1.7451268054763491E-2</v>
      </c>
      <c r="G96">
        <f>Factors!L98</f>
        <v>-5.8542816086857297E-3</v>
      </c>
      <c r="H96">
        <f>Factors!M98</f>
        <v>1.1380370957218666E-2</v>
      </c>
      <c r="I96">
        <f>Factors!Z98</f>
        <v>1.8458039307167384E-2</v>
      </c>
      <c r="J96" cm="1">
        <f t="array" ref="J96">TREND(B60:B95, C60:I95, C96:I96, TRUE)</f>
        <v>6.195477741963858E-3</v>
      </c>
    </row>
    <row r="97" spans="1:10" x14ac:dyDescent="0.2">
      <c r="A97" s="3">
        <f>Data!A97</f>
        <v>40907</v>
      </c>
      <c r="B97">
        <f>Data!B97 - Factors!AB99</f>
        <v>7.0121533016926918E-3</v>
      </c>
      <c r="C97">
        <f>Factors!N99 - Factors!E99</f>
        <v>1.8043423991080942E-2</v>
      </c>
      <c r="D97">
        <f>Factors!B99</f>
        <v>1.6907301863400281E-2</v>
      </c>
      <c r="E97">
        <f>Factors!C99</f>
        <v>4.8248964657626736E-4</v>
      </c>
      <c r="F97">
        <f>Factors!E99</f>
        <v>6.7433421328839671E-3</v>
      </c>
      <c r="G97">
        <f>Factors!L99</f>
        <v>1.1795356805082147E-2</v>
      </c>
      <c r="H97">
        <f>Factors!M99</f>
        <v>3.5618508722616848E-3</v>
      </c>
      <c r="I97">
        <f>Factors!Z99</f>
        <v>-0.10389669882898611</v>
      </c>
      <c r="J97" cm="1">
        <f t="array" ref="J97">TREND(B61:B96, C61:I96, C97:I97, TRUE)</f>
        <v>4.1245666676463979E-3</v>
      </c>
    </row>
    <row r="98" spans="1:10" x14ac:dyDescent="0.2">
      <c r="A98" s="3">
        <f>Data!A98</f>
        <v>40939</v>
      </c>
      <c r="B98">
        <f>Data!B98 - Factors!AB100</f>
        <v>4.0755613431917581E-3</v>
      </c>
      <c r="C98">
        <f>Factors!N100 - Factors!E100</f>
        <v>1.2291929085191056E-2</v>
      </c>
      <c r="D98">
        <f>Factors!B100</f>
        <v>1.6102281235487403E-2</v>
      </c>
      <c r="E98">
        <f>Factors!C100</f>
        <v>1.2458304866775904E-3</v>
      </c>
      <c r="F98">
        <f>Factors!E100</f>
        <v>1.6737375833606016E-2</v>
      </c>
      <c r="G98">
        <f>Factors!L100</f>
        <v>1.7619047619047645E-2</v>
      </c>
      <c r="H98">
        <f>Factors!M100</f>
        <v>2.8705893156408591E-2</v>
      </c>
      <c r="I98">
        <f>Factors!Z100</f>
        <v>0.1104536363113533</v>
      </c>
      <c r="J98" cm="1">
        <f t="array" ref="J98">TREND(B62:B97, C62:I97, C98:I98, TRUE)</f>
        <v>5.0665122304423271E-3</v>
      </c>
    </row>
    <row r="99" spans="1:10" x14ac:dyDescent="0.2">
      <c r="A99" s="3">
        <f>Data!A99</f>
        <v>40968</v>
      </c>
      <c r="B99">
        <f>Data!B99 - Factors!AB101</f>
        <v>9.225042191001176E-4</v>
      </c>
      <c r="C99">
        <f>Factors!N101 - Factors!E101</f>
        <v>2.3465317414775311E-2</v>
      </c>
      <c r="D99">
        <f>Factors!B101</f>
        <v>1.6826474648379275E-4</v>
      </c>
      <c r="E99">
        <f>Factors!C101</f>
        <v>-1.4851087741830638E-3</v>
      </c>
      <c r="F99">
        <f>Factors!E101</f>
        <v>-6.8014883567724116E-4</v>
      </c>
      <c r="G99">
        <f>Factors!L101</f>
        <v>2.951524289849039E-2</v>
      </c>
      <c r="H99">
        <f>Factors!M101</f>
        <v>-3.6465563029186576E-3</v>
      </c>
      <c r="I99">
        <f>Factors!Z101</f>
        <v>-2.3593591750299181E-2</v>
      </c>
      <c r="J99" cm="1">
        <f t="array" ref="J99">TREND(B63:B98, C63:I98, C99:I99, TRUE)</f>
        <v>3.3191849271902232E-4</v>
      </c>
    </row>
    <row r="100" spans="1:10" x14ac:dyDescent="0.2">
      <c r="A100" s="3">
        <f>Data!A100</f>
        <v>40998</v>
      </c>
      <c r="B100">
        <f>Data!B100 - Factors!AB102</f>
        <v>5.4635290694315941E-4</v>
      </c>
      <c r="C100">
        <f>Factors!N102 - Factors!E102</f>
        <v>6.2651493077477971E-3</v>
      </c>
      <c r="D100">
        <f>Factors!B102</f>
        <v>-7.4523892744982057E-3</v>
      </c>
      <c r="E100">
        <f>Factors!C102</f>
        <v>-6.0296659565062249E-4</v>
      </c>
      <c r="F100">
        <f>Factors!E102</f>
        <v>-7.2007357393220062E-3</v>
      </c>
      <c r="G100">
        <f>Factors!L102</f>
        <v>9.4272920103710689E-4</v>
      </c>
      <c r="H100">
        <f>Factors!M102</f>
        <v>-8.1575057115979011E-3</v>
      </c>
      <c r="I100">
        <f>Factors!Z102</f>
        <v>-1.6861547891275031E-2</v>
      </c>
      <c r="J100" cm="1">
        <f t="array" ref="J100">TREND(B64:B99, C64:I99, C100:I100, TRUE)</f>
        <v>-2.0168863882571867E-4</v>
      </c>
    </row>
    <row r="101" spans="1:10" x14ac:dyDescent="0.2">
      <c r="A101" s="3">
        <f>Data!A101</f>
        <v>41029</v>
      </c>
      <c r="B101">
        <f>Data!B101 - Factors!AB103</f>
        <v>6.4332014175692009E-3</v>
      </c>
      <c r="C101">
        <f>Factors!N103 - Factors!E103</f>
        <v>-1.5777821533051739E-3</v>
      </c>
      <c r="D101">
        <f>Factors!B103</f>
        <v>1.0589028075675744E-2</v>
      </c>
      <c r="E101">
        <f>Factors!C103</f>
        <v>2.1719893813851865E-3</v>
      </c>
      <c r="F101">
        <f>Factors!E103</f>
        <v>1.18003507858504E-2</v>
      </c>
      <c r="G101">
        <f>Factors!L103</f>
        <v>1.7558612802314189E-2</v>
      </c>
      <c r="H101">
        <f>Factors!M103</f>
        <v>2.2289066840101457E-2</v>
      </c>
      <c r="I101">
        <f>Factors!Z103</f>
        <v>-2.0381860144471631E-3</v>
      </c>
      <c r="J101" cm="1">
        <f t="array" ref="J101">TREND(B65:B100, C65:I100, C101:I101, TRUE)</f>
        <v>7.1688650273057965E-3</v>
      </c>
    </row>
    <row r="102" spans="1:10" x14ac:dyDescent="0.2">
      <c r="A102" s="3">
        <f>Data!A102</f>
        <v>41060</v>
      </c>
      <c r="B102">
        <f>Data!B102 - Factors!AB104</f>
        <v>3.061028274291111E-3</v>
      </c>
      <c r="C102">
        <f>Factors!N104 - Factors!E104</f>
        <v>-1.8065948770097373E-3</v>
      </c>
      <c r="D102">
        <f>Factors!B104</f>
        <v>5.8030129255011165E-3</v>
      </c>
      <c r="E102">
        <f>Factors!C104</f>
        <v>4.0134853106432722E-4</v>
      </c>
      <c r="F102">
        <f>Factors!E104</f>
        <v>-1.0265945522908937E-2</v>
      </c>
      <c r="G102">
        <f>Factors!L104</f>
        <v>-2.7718091963901959E-2</v>
      </c>
      <c r="H102">
        <f>Factors!M104</f>
        <v>2.4175591135616514E-2</v>
      </c>
      <c r="I102">
        <f>Factors!Z104</f>
        <v>-6.2616008409671076E-2</v>
      </c>
      <c r="J102" cm="1">
        <f t="array" ref="J102">TREND(B66:B101, C66:I101, C102:I102, TRUE)</f>
        <v>4.4791805333569898E-3</v>
      </c>
    </row>
    <row r="103" spans="1:10" x14ac:dyDescent="0.2">
      <c r="A103" s="3">
        <f>Data!A103</f>
        <v>41089</v>
      </c>
      <c r="B103">
        <f>Data!B103 - Factors!AB105</f>
        <v>1.1069722694583284E-3</v>
      </c>
      <c r="C103">
        <f>Factors!N105 - Factors!E105</f>
        <v>1.5557593224184707E-2</v>
      </c>
      <c r="D103">
        <f>Factors!B105</f>
        <v>-1.0696780834680286E-3</v>
      </c>
      <c r="E103">
        <f>Factors!C105</f>
        <v>-5.6166252106226722E-4</v>
      </c>
      <c r="F103">
        <f>Factors!E105</f>
        <v>4.7798759421848747E-3</v>
      </c>
      <c r="G103">
        <f>Factors!L105</f>
        <v>3.5682107947301311E-2</v>
      </c>
      <c r="H103">
        <f>Factors!M105</f>
        <v>-1.5960934534285931E-3</v>
      </c>
      <c r="I103">
        <f>Factors!Z105</f>
        <v>2.3671748338684129E-2</v>
      </c>
      <c r="J103" cm="1">
        <f t="array" ref="J103">TREND(B67:B102, C67:I102, C103:I103, TRUE)</f>
        <v>9.0973693376989633E-4</v>
      </c>
    </row>
    <row r="104" spans="1:10" x14ac:dyDescent="0.2">
      <c r="A104" s="3">
        <f>Data!A104</f>
        <v>41121</v>
      </c>
      <c r="B104">
        <f>Data!B104 - Factors!AB106</f>
        <v>7.9823348472947142E-3</v>
      </c>
      <c r="C104">
        <f>Factors!N106 - Factors!E106</f>
        <v>7.5951283656852109E-3</v>
      </c>
      <c r="D104">
        <f>Factors!B106</f>
        <v>1.2214716957247296E-2</v>
      </c>
      <c r="E104">
        <f>Factors!C106</f>
        <v>2.408477842003931E-3</v>
      </c>
      <c r="F104">
        <f>Factors!E106</f>
        <v>1.1568172439173408E-2</v>
      </c>
      <c r="G104">
        <f>Factors!L106</f>
        <v>4.0033484341146286E-2</v>
      </c>
      <c r="H104">
        <f>Factors!M106</f>
        <v>1.7939389749660917E-2</v>
      </c>
      <c r="I104">
        <f>Factors!Z106</f>
        <v>1.072334032364064E-2</v>
      </c>
      <c r="J104" cm="1">
        <f t="array" ref="J104">TREND(B68:B103, C68:I103, C104:I104, TRUE)</f>
        <v>7.7408233276016628E-3</v>
      </c>
    </row>
    <row r="105" spans="1:10" x14ac:dyDescent="0.2">
      <c r="A105" s="3">
        <f>Data!A105</f>
        <v>41152</v>
      </c>
      <c r="B105">
        <f>Data!B105 - Factors!AB107</f>
        <v>1.0751396775179334E-3</v>
      </c>
      <c r="C105">
        <f>Factors!N107 - Factors!E107</f>
        <v>3.4234710583969097E-3</v>
      </c>
      <c r="D105">
        <f>Factors!B107</f>
        <v>2.398836564267981E-4</v>
      </c>
      <c r="E105">
        <f>Factors!C107</f>
        <v>4.0044850232234808E-5</v>
      </c>
      <c r="F105">
        <f>Factors!E107</f>
        <v>8.6349093936310961E-3</v>
      </c>
      <c r="G105">
        <f>Factors!L107</f>
        <v>1.1599829553524899E-2</v>
      </c>
      <c r="H105">
        <f>Factors!M107</f>
        <v>-2.3769301946535704E-3</v>
      </c>
      <c r="I105">
        <f>Factors!Z107</f>
        <v>4.7857647189981201E-2</v>
      </c>
      <c r="J105" cm="1">
        <f t="array" ref="J105">TREND(B69:B104, C69:I104, C105:I105, TRUE)</f>
        <v>8.3627808029872847E-4</v>
      </c>
    </row>
    <row r="106" spans="1:10" x14ac:dyDescent="0.2">
      <c r="A106" s="3">
        <f>Data!A106</f>
        <v>41180</v>
      </c>
      <c r="B106">
        <f>Data!B106 - Factors!AB108</f>
        <v>1.9724782509262795E-3</v>
      </c>
      <c r="C106">
        <f>Factors!N108 - Factors!E108</f>
        <v>2.0516834363115688E-3</v>
      </c>
      <c r="D106">
        <f>Factors!B108</f>
        <v>5.5803444941442404E-3</v>
      </c>
      <c r="E106">
        <f>Factors!C108</f>
        <v>8.0086493412956372E-5</v>
      </c>
      <c r="F106">
        <f>Factors!E108</f>
        <v>1.2191439057180231E-2</v>
      </c>
      <c r="G106">
        <f>Factors!L108</f>
        <v>1.4727448594339831E-2</v>
      </c>
      <c r="H106">
        <f>Factors!M108</f>
        <v>7.1775627770827022E-3</v>
      </c>
      <c r="I106">
        <f>Factors!Z108</f>
        <v>4.7521943434701619E-2</v>
      </c>
      <c r="J106" cm="1">
        <f t="array" ref="J106">TREND(B70:B105, C70:I105, C106:I106, TRUE)</f>
        <v>1.7896227722501682E-3</v>
      </c>
    </row>
    <row r="107" spans="1:10" x14ac:dyDescent="0.2">
      <c r="A107" s="3">
        <f>Data!A107</f>
        <v>41213</v>
      </c>
      <c r="B107">
        <f>Data!B107 - Factors!AB109</f>
        <v>-1.7269326068826141E-3</v>
      </c>
      <c r="C107">
        <f>Factors!N109 - Factors!E109</f>
        <v>9.6519002216730598E-3</v>
      </c>
      <c r="D107">
        <f>Factors!B109</f>
        <v>1.8272516441082409E-3</v>
      </c>
      <c r="E107">
        <f>Factors!C109</f>
        <v>-5.6056056056053016E-4</v>
      </c>
      <c r="F107">
        <f>Factors!E109</f>
        <v>-1.4044484880715302E-3</v>
      </c>
      <c r="G107">
        <f>Factors!L109</f>
        <v>8.1639555979213796E-3</v>
      </c>
      <c r="H107">
        <f>Factors!M109</f>
        <v>7.4643573767028126E-3</v>
      </c>
      <c r="I107">
        <f>Factors!Z109</f>
        <v>-2.9115531104528136E-2</v>
      </c>
      <c r="J107" cm="1">
        <f t="array" ref="J107">TREND(B71:B106, C71:I106, C107:I107, TRUE)</f>
        <v>1.555252812293564E-3</v>
      </c>
    </row>
    <row r="108" spans="1:10" x14ac:dyDescent="0.2">
      <c r="A108" s="3">
        <f>Data!A108</f>
        <v>41243</v>
      </c>
      <c r="B108">
        <f>Data!B108 - Factors!AB110</f>
        <v>-1.8242953577762844E-3</v>
      </c>
      <c r="C108">
        <f>Factors!N110 - Factors!E110</f>
        <v>7.5281700116850425E-3</v>
      </c>
      <c r="D108">
        <f>Factors!B110</f>
        <v>1.2404535483133472E-2</v>
      </c>
      <c r="E108">
        <f>Factors!C110</f>
        <v>9.2143744241002246E-4</v>
      </c>
      <c r="F108">
        <f>Factors!E110</f>
        <v>-1.0501126144191186E-4</v>
      </c>
      <c r="G108">
        <f>Factors!L110</f>
        <v>1.5524682415018365E-2</v>
      </c>
      <c r="H108">
        <f>Factors!M110</f>
        <v>7.14489374905658E-3</v>
      </c>
      <c r="I108">
        <f>Factors!Z110</f>
        <v>-3.3010780809578089E-3</v>
      </c>
      <c r="J108" cm="1">
        <f t="array" ref="J108">TREND(B72:B107, C72:I107, C108:I108, TRUE)</f>
        <v>4.6901769965296113E-3</v>
      </c>
    </row>
    <row r="109" spans="1:10" x14ac:dyDescent="0.2">
      <c r="A109" s="3">
        <f>Data!A109</f>
        <v>41274</v>
      </c>
      <c r="B109">
        <f>Data!B109 - Factors!AB111</f>
        <v>1.262618276944627E-3</v>
      </c>
      <c r="C109">
        <f>Factors!N111 - Factors!E111</f>
        <v>1.9152016128700766E-2</v>
      </c>
      <c r="D109">
        <f>Factors!B111</f>
        <v>-9.6756490728503453E-3</v>
      </c>
      <c r="E109">
        <f>Factors!C111</f>
        <v>2.8017931476131963E-4</v>
      </c>
      <c r="F109">
        <f>Factors!E111</f>
        <v>-3.2935503480279182E-3</v>
      </c>
      <c r="G109">
        <f>Factors!L111</f>
        <v>9.2955504497604924E-3</v>
      </c>
      <c r="H109">
        <f>Factors!M111</f>
        <v>-1.0766207597128985E-2</v>
      </c>
      <c r="I109">
        <f>Factors!Z111</f>
        <v>-2.3102444940727884E-2</v>
      </c>
      <c r="J109" cm="1">
        <f t="array" ref="J109">TREND(B73:B108, C73:I108, C109:I109, TRUE)</f>
        <v>5.3998534430863736E-4</v>
      </c>
    </row>
    <row r="110" spans="1:10" x14ac:dyDescent="0.2">
      <c r="A110" s="3">
        <f>Data!A110</f>
        <v>41305</v>
      </c>
      <c r="B110">
        <f>Data!B110 - Factors!AB112</f>
        <v>-5.0028944559219468E-3</v>
      </c>
      <c r="C110">
        <f>Factors!N112 - Factors!E112</f>
        <v>2.2853556991026647E-2</v>
      </c>
      <c r="D110">
        <f>Factors!B112</f>
        <v>2.4985576195690751E-3</v>
      </c>
      <c r="E110">
        <f>Factors!C112</f>
        <v>1.6005762074344787E-4</v>
      </c>
      <c r="F110">
        <f>Factors!E112</f>
        <v>-9.0956693420318757E-3</v>
      </c>
      <c r="G110">
        <f>Factors!L112</f>
        <v>-1.4224073798541959E-2</v>
      </c>
      <c r="H110">
        <f>Factors!M112</f>
        <v>-9.3682925802787143E-3</v>
      </c>
      <c r="I110">
        <f>Factors!Z112</f>
        <v>-6.9537708538514043E-3</v>
      </c>
      <c r="J110" cm="1">
        <f t="array" ref="J110">TREND(B74:B109, C74:I109, C110:I110, TRUE)</f>
        <v>3.898284488110461E-4</v>
      </c>
    </row>
    <row r="111" spans="1:10" x14ac:dyDescent="0.2">
      <c r="A111" s="3">
        <f>Data!A111</f>
        <v>41333</v>
      </c>
      <c r="B111">
        <f>Data!B111 - Factors!AB113</f>
        <v>3.3893962604549799E-3</v>
      </c>
      <c r="C111">
        <f>Factors!N113 - Factors!E113</f>
        <v>1.4102687947410431E-2</v>
      </c>
      <c r="D111">
        <f>Factors!B113</f>
        <v>3.2794200954111563E-3</v>
      </c>
      <c r="E111">
        <f>Factors!C113</f>
        <v>8.4016803360675851E-4</v>
      </c>
      <c r="F111">
        <f>Factors!E113</f>
        <v>-9.4749964049156699E-3</v>
      </c>
      <c r="G111">
        <f>Factors!L113</f>
        <v>-1.4187822622029334E-3</v>
      </c>
      <c r="H111">
        <f>Factors!M113</f>
        <v>5.1787717092071084E-3</v>
      </c>
      <c r="I111">
        <f>Factors!Z113</f>
        <v>-5.0543968263509154E-2</v>
      </c>
      <c r="J111" cm="1">
        <f t="array" ref="J111">TREND(B75:B110, C75:I110, C111:I111, TRUE)</f>
        <v>3.3024928242515439E-3</v>
      </c>
    </row>
    <row r="112" spans="1:10" x14ac:dyDescent="0.2">
      <c r="A112" s="3">
        <f>Data!A112</f>
        <v>41362</v>
      </c>
      <c r="B112">
        <f>Data!B112 - Factors!AB114</f>
        <v>1.0087753106446939E-3</v>
      </c>
      <c r="C112">
        <f>Factors!N114 - Factors!E114</f>
        <v>1.2845605393174586E-2</v>
      </c>
      <c r="D112">
        <f>Factors!B114</f>
        <v>-2.3290796680557335E-3</v>
      </c>
      <c r="E112">
        <f>Factors!C114</f>
        <v>2.3984649824115856E-4</v>
      </c>
      <c r="F112">
        <f>Factors!E114</f>
        <v>-2.5395383047209785E-3</v>
      </c>
      <c r="G112">
        <f>Factors!L114</f>
        <v>-7.5272067714631241E-3</v>
      </c>
      <c r="H112">
        <f>Factors!M114</f>
        <v>3.7827077425052202E-3</v>
      </c>
      <c r="I112">
        <f>Factors!Z114</f>
        <v>1.1325580364773602E-2</v>
      </c>
      <c r="J112" cm="1">
        <f t="array" ref="J112">TREND(B76:B111, C76:I111, C112:I112, TRUE)</f>
        <v>4.5597679288621716E-4</v>
      </c>
    </row>
    <row r="113" spans="1:10" x14ac:dyDescent="0.2">
      <c r="A113" s="3">
        <f>Data!A113</f>
        <v>41394</v>
      </c>
      <c r="B113">
        <f>Data!B113 - Factors!AB115</f>
        <v>5.2666606422180351E-3</v>
      </c>
      <c r="C113">
        <f>Factors!N115 - Factors!E115</f>
        <v>4.6606056403541984E-3</v>
      </c>
      <c r="D113">
        <f>Factors!B115</f>
        <v>8.8990833630318011E-3</v>
      </c>
      <c r="E113">
        <f>Factors!C115</f>
        <v>1.039085604667811E-3</v>
      </c>
      <c r="F113">
        <f>Factors!E115</f>
        <v>1.3909752433718836E-2</v>
      </c>
      <c r="G113">
        <f>Factors!L115</f>
        <v>2.8342115683348101E-2</v>
      </c>
      <c r="H113">
        <f>Factors!M115</f>
        <v>7.5579583828075947E-3</v>
      </c>
      <c r="I113">
        <f>Factors!Z115</f>
        <v>-7.5611893583724554E-2</v>
      </c>
      <c r="J113" cm="1">
        <f t="array" ref="J113">TREND(B77:B112, C77:I112, C113:I113, TRUE)</f>
        <v>4.7968545247325904E-3</v>
      </c>
    </row>
    <row r="114" spans="1:10" x14ac:dyDescent="0.2">
      <c r="A114" s="3">
        <f>Data!A114</f>
        <v>41425</v>
      </c>
      <c r="B114">
        <f>Data!B114 - Factors!AB116</f>
        <v>-1.5384718455849433E-2</v>
      </c>
      <c r="C114">
        <f>Factors!N116 - Factors!E116</f>
        <v>2.4420971296654437E-2</v>
      </c>
      <c r="D114">
        <f>Factors!B116</f>
        <v>-1.0931794625558378E-2</v>
      </c>
      <c r="E114">
        <f>Factors!C116</f>
        <v>-1.4771638454167402E-3</v>
      </c>
      <c r="F114">
        <f>Factors!E116</f>
        <v>-2.9730139911118836E-2</v>
      </c>
      <c r="G114">
        <f>Factors!L116</f>
        <v>-3.8105534410497244E-2</v>
      </c>
      <c r="H114">
        <f>Factors!M116</f>
        <v>-5.2070056374402984E-2</v>
      </c>
      <c r="I114">
        <f>Factors!Z116</f>
        <v>-6.0208165448869533E-2</v>
      </c>
      <c r="J114" cm="1">
        <f t="array" ref="J114">TREND(B78:B113, C78:I113, C114:I114, TRUE)</f>
        <v>-4.9678112436809373E-3</v>
      </c>
    </row>
    <row r="115" spans="1:10" x14ac:dyDescent="0.2">
      <c r="A115" s="3">
        <f>Data!A115</f>
        <v>41453</v>
      </c>
      <c r="B115">
        <f>Data!B115 - Factors!AB117</f>
        <v>-9.6187393654423303E-3</v>
      </c>
      <c r="C115">
        <f>Factors!N117 - Factors!E117</f>
        <v>-1.4523124259204101E-2</v>
      </c>
      <c r="D115">
        <f>Factors!B117</f>
        <v>-2.0788005218328687E-2</v>
      </c>
      <c r="E115">
        <f>Factors!C117</f>
        <v>-6.3971852384958616E-4</v>
      </c>
      <c r="F115">
        <f>Factors!E117</f>
        <v>-1.1836922132865246E-2</v>
      </c>
      <c r="G115">
        <f>Factors!L117</f>
        <v>-5.0315627405696617E-2</v>
      </c>
      <c r="H115">
        <f>Factors!M117</f>
        <v>-5.4934687633633517E-2</v>
      </c>
      <c r="I115">
        <f>Factors!Z117</f>
        <v>-0.11044098573281447</v>
      </c>
      <c r="J115" cm="1">
        <f t="array" ref="J115">TREND(B79:B114, C79:I114, C115:I115, TRUE)</f>
        <v>-7.9498517179327471E-3</v>
      </c>
    </row>
    <row r="116" spans="1:10" x14ac:dyDescent="0.2">
      <c r="A116" s="3">
        <f>Data!A116</f>
        <v>41486</v>
      </c>
      <c r="B116">
        <f>Data!B116 - Factors!AB118</f>
        <v>-9.5173428881822897E-4</v>
      </c>
      <c r="C116">
        <f>Factors!N118 - Factors!E118</f>
        <v>6.2427254371200114E-3</v>
      </c>
      <c r="D116">
        <f>Factors!B118</f>
        <v>-2.0078297608434603E-3</v>
      </c>
      <c r="E116">
        <f>Factors!C118</f>
        <v>1.6003200640128945E-3</v>
      </c>
      <c r="F116">
        <f>Factors!E118</f>
        <v>1.2562947209014519E-2</v>
      </c>
      <c r="G116">
        <f>Factors!L118</f>
        <v>9.5003404558864357E-3</v>
      </c>
      <c r="H116">
        <f>Factors!M118</f>
        <v>2.957475789748587E-3</v>
      </c>
      <c r="I116">
        <f>Factors!Z118</f>
        <v>7.333965152730193E-2</v>
      </c>
      <c r="J116" cm="1">
        <f t="array" ref="J116">TREND(B80:B115, C80:I115, C116:I116, TRUE)</f>
        <v>1.0560943442996253E-3</v>
      </c>
    </row>
    <row r="117" spans="1:10" x14ac:dyDescent="0.2">
      <c r="A117" s="3">
        <f>Data!A117</f>
        <v>41516</v>
      </c>
      <c r="B117">
        <f>Data!B117 - Factors!AB119</f>
        <v>-2.9108264612999202E-3</v>
      </c>
      <c r="C117">
        <f>Factors!N119 - Factors!E119</f>
        <v>-9.5539299249369769E-4</v>
      </c>
      <c r="D117">
        <f>Factors!B119</f>
        <v>-8.6474497827966346E-3</v>
      </c>
      <c r="E117">
        <f>Factors!C119</f>
        <v>-9.9860195725987033E-4</v>
      </c>
      <c r="F117">
        <f>Factors!E119</f>
        <v>-5.2451998426928936E-3</v>
      </c>
      <c r="G117">
        <f>Factors!L119</f>
        <v>-2.6803494571850606E-2</v>
      </c>
      <c r="H117">
        <f>Factors!M119</f>
        <v>-1.0464824237463088E-2</v>
      </c>
      <c r="I117">
        <f>Factors!Z119</f>
        <v>5.2978333220131901E-2</v>
      </c>
      <c r="J117" cm="1">
        <f t="array" ref="J117">TREND(B81:B116, C81:I116, C117:I117, TRUE)</f>
        <v>-4.7559453577792482E-3</v>
      </c>
    </row>
    <row r="118" spans="1:10" x14ac:dyDescent="0.2">
      <c r="A118" s="3">
        <f>Data!A118</f>
        <v>41547</v>
      </c>
      <c r="B118">
        <f>Data!B118 - Factors!AB120</f>
        <v>1.4079143500636437E-2</v>
      </c>
      <c r="C118">
        <f>Factors!N120 - Factors!E120</f>
        <v>-1.064378559756296E-2</v>
      </c>
      <c r="D118">
        <f>Factors!B120</f>
        <v>1.6578621965480211E-2</v>
      </c>
      <c r="E118">
        <f>Factors!C120</f>
        <v>2.2790883646541804E-3</v>
      </c>
      <c r="F118">
        <f>Factors!E120</f>
        <v>2.0557739955961774E-2</v>
      </c>
      <c r="G118">
        <f>Factors!L120</f>
        <v>2.6700110562880575E-2</v>
      </c>
      <c r="H118">
        <f>Factors!M120</f>
        <v>1.6977194532704187E-2</v>
      </c>
      <c r="I118">
        <f>Factors!Z120</f>
        <v>-4.7474682319551098E-2</v>
      </c>
      <c r="J118" cm="1">
        <f t="array" ref="J118">TREND(B82:B117, C82:I117, C118:I118, TRUE)</f>
        <v>8.2595557854006438E-3</v>
      </c>
    </row>
    <row r="119" spans="1:10" x14ac:dyDescent="0.2">
      <c r="A119" s="3">
        <f>Data!A119</f>
        <v>41578</v>
      </c>
      <c r="B119">
        <f>Data!B119 - Factors!AB121</f>
        <v>6.8130854157055776E-3</v>
      </c>
      <c r="C119">
        <f>Factors!N121 - Factors!E121</f>
        <v>1.4755993520042088E-2</v>
      </c>
      <c r="D119">
        <f>Factors!B121</f>
        <v>7.2556166062887062E-3</v>
      </c>
      <c r="E119">
        <f>Factors!C121</f>
        <v>1.0372202497308525E-3</v>
      </c>
      <c r="F119">
        <f>Factors!E121</f>
        <v>9.8265794518803684E-3</v>
      </c>
      <c r="G119">
        <f>Factors!L121</f>
        <v>2.6696883488435574E-2</v>
      </c>
      <c r="H119">
        <f>Factors!M121</f>
        <v>9.183428233380253E-3</v>
      </c>
      <c r="I119">
        <f>Factors!Z121</f>
        <v>-4.4919979232974638E-3</v>
      </c>
      <c r="J119" cm="1">
        <f t="array" ref="J119">TREND(B83:B118, C83:I118, C119:I119, TRUE)</f>
        <v>4.2140918910229547E-3</v>
      </c>
    </row>
    <row r="120" spans="1:10" x14ac:dyDescent="0.2">
      <c r="A120" s="3">
        <f>Data!A120</f>
        <v>41607</v>
      </c>
      <c r="B120">
        <f>Data!B120 - Factors!AB122</f>
        <v>-6.2755450602751672E-3</v>
      </c>
      <c r="C120">
        <f>Factors!N122 - Factors!E122</f>
        <v>1.2836653996312619E-2</v>
      </c>
      <c r="D120">
        <f>Factors!B122</f>
        <v>-2.3007873109065491E-3</v>
      </c>
      <c r="E120">
        <f>Factors!C122</f>
        <v>9.5644203562739172E-4</v>
      </c>
      <c r="F120">
        <f>Factors!E122</f>
        <v>-8.185881748817958E-3</v>
      </c>
      <c r="G120">
        <f>Factors!L122</f>
        <v>-2.2793450014089278E-2</v>
      </c>
      <c r="H120">
        <f>Factors!M122</f>
        <v>-1.5287032584552662E-2</v>
      </c>
      <c r="I120">
        <f>Factors!Z122</f>
        <v>-5.2688464619896291E-2</v>
      </c>
      <c r="J120" cm="1">
        <f t="array" ref="J120">TREND(B84:B119, C84:I119, C120:I120, TRUE)</f>
        <v>-2.0198529918166834E-3</v>
      </c>
    </row>
    <row r="121" spans="1:10" x14ac:dyDescent="0.2">
      <c r="A121" s="3">
        <f>Data!A121</f>
        <v>41639</v>
      </c>
      <c r="B121">
        <f>Data!B121 - Factors!AB123</f>
        <v>-4.7703470676940807E-3</v>
      </c>
      <c r="C121">
        <f>Factors!N123 - Factors!E123</f>
        <v>1.1450679595968682E-2</v>
      </c>
      <c r="D121">
        <f>Factors!B123</f>
        <v>-1.5690491182498434E-3</v>
      </c>
      <c r="E121">
        <f>Factors!C123</f>
        <v>-1.3934785205239608E-3</v>
      </c>
      <c r="F121">
        <f>Factors!E123</f>
        <v>-5.9709069676935345E-3</v>
      </c>
      <c r="G121">
        <f>Factors!L123</f>
        <v>5.831277434237947E-3</v>
      </c>
      <c r="H121">
        <f>Factors!M123</f>
        <v>-2.0891371379937351E-2</v>
      </c>
      <c r="I121">
        <f>Factors!Z123</f>
        <v>-4.125743008736571E-2</v>
      </c>
      <c r="J121" cm="1">
        <f t="array" ref="J121">TREND(B85:B120, C85:I120, C121:I121, TRUE)</f>
        <v>-2.8953841562211376E-3</v>
      </c>
    </row>
    <row r="122" spans="1:10" x14ac:dyDescent="0.2">
      <c r="A122" s="3"/>
    </row>
    <row r="123" spans="1:10" x14ac:dyDescent="0.2">
      <c r="A123" s="3"/>
    </row>
    <row r="124" spans="1:10" x14ac:dyDescent="0.2">
      <c r="A124"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5D049-8C1F-4A7F-A7FC-D883444AF518}">
  <sheetPr>
    <tabColor theme="9" tint="0.59999389629810485"/>
  </sheetPr>
  <dimension ref="A1:Y124"/>
  <sheetViews>
    <sheetView workbookViewId="0">
      <selection activeCell="F49" sqref="F49"/>
    </sheetView>
  </sheetViews>
  <sheetFormatPr baseColWidth="10" defaultColWidth="8.83203125" defaultRowHeight="15" x14ac:dyDescent="0.2"/>
  <cols>
    <col min="1" max="1" width="9.33203125" bestFit="1" customWidth="1"/>
    <col min="2" max="3" width="13.1640625" bestFit="1" customWidth="1"/>
    <col min="4" max="4" width="13.6640625" bestFit="1" customWidth="1"/>
    <col min="5" max="5" width="12.83203125" bestFit="1" customWidth="1"/>
    <col min="6" max="9" width="12.6640625" customWidth="1"/>
    <col min="10" max="10" width="13.5" bestFit="1" customWidth="1"/>
    <col min="11" max="11" width="15.1640625" bestFit="1" customWidth="1"/>
    <col min="12" max="12" width="12.6640625" customWidth="1"/>
    <col min="13" max="13" width="20.5" bestFit="1" customWidth="1"/>
    <col min="14" max="14" width="17.6640625" bestFit="1" customWidth="1"/>
    <col min="15" max="15" width="12.83203125" bestFit="1" customWidth="1"/>
    <col min="16" max="16" width="14.83203125" bestFit="1" customWidth="1"/>
    <col min="17" max="17" width="12.83203125" bestFit="1" customWidth="1"/>
    <col min="18" max="18" width="12" bestFit="1" customWidth="1"/>
    <col min="19" max="19" width="13.6640625" bestFit="1" customWidth="1"/>
    <col min="20" max="20" width="12.6640625" bestFit="1" customWidth="1"/>
    <col min="21" max="22" width="12.83203125" bestFit="1" customWidth="1"/>
  </cols>
  <sheetData>
    <row r="1" spans="1:22" x14ac:dyDescent="0.2">
      <c r="A1" s="14" t="s">
        <v>65</v>
      </c>
      <c r="B1" s="7" t="s">
        <v>101</v>
      </c>
      <c r="C1" s="13" t="s">
        <v>7</v>
      </c>
      <c r="D1" s="13" t="s">
        <v>15</v>
      </c>
      <c r="E1" s="13" t="s">
        <v>128</v>
      </c>
      <c r="G1" s="14" t="s">
        <v>129</v>
      </c>
      <c r="H1" s="14" t="s">
        <v>118</v>
      </c>
      <c r="I1" s="14" t="s">
        <v>130</v>
      </c>
      <c r="J1" s="14" t="s">
        <v>131</v>
      </c>
      <c r="L1" s="14" t="s">
        <v>59</v>
      </c>
      <c r="M1" s="14" t="s">
        <v>132</v>
      </c>
      <c r="N1" s="14" t="s">
        <v>133</v>
      </c>
    </row>
    <row r="2" spans="1:22" x14ac:dyDescent="0.2">
      <c r="A2" s="3">
        <f>Data!A2</f>
        <v>38016</v>
      </c>
      <c r="B2">
        <f>Data!B2 - Factors!AB4</f>
        <v>5.5343369776592599E-3</v>
      </c>
      <c r="C2">
        <f>Factors!D4</f>
        <v>8.0453023030973014E-3</v>
      </c>
      <c r="D2">
        <f>Factors!L4</f>
        <v>5.1267545875612885E-3</v>
      </c>
      <c r="E2">
        <f>Factors!N4 - Factors!D4</f>
        <v>8.1077053274645206E-3</v>
      </c>
      <c r="L2" t="s">
        <v>7</v>
      </c>
      <c r="M2">
        <f>INDEX(LINEST(C2:C121, D2:E121, TRUE, TRUE), 3, 1)</f>
        <v>0.69636819482355683</v>
      </c>
      <c r="N2">
        <f>1/(1-M2)</f>
        <v>3.2934626180511328</v>
      </c>
    </row>
    <row r="3" spans="1:22" x14ac:dyDescent="0.2">
      <c r="A3" s="3">
        <f>Data!A3</f>
        <v>38044</v>
      </c>
      <c r="B3">
        <f>Data!B3 - Factors!AB5</f>
        <v>7.6974457288081499E-3</v>
      </c>
      <c r="C3">
        <f>Factors!D5</f>
        <v>1.0824141946975452E-2</v>
      </c>
      <c r="D3">
        <f>Factors!L5</f>
        <v>3.482482059940839E-3</v>
      </c>
      <c r="E3">
        <f>Factors!N5 - Factors!D5</f>
        <v>-1.1920732979201376E-2</v>
      </c>
      <c r="L3" t="s">
        <v>15</v>
      </c>
      <c r="M3">
        <f>INDEX(LINEST(D2:D121, CHOOSE({1,2}, C2:C121, E2:E121), TRUE, TRUE), 3, 1)</f>
        <v>0.79122174032072212</v>
      </c>
      <c r="N3" s="2">
        <f>1/(1-M3)</f>
        <v>4.7897707430658034</v>
      </c>
    </row>
    <row r="4" spans="1:22" x14ac:dyDescent="0.2">
      <c r="A4" s="3">
        <f>Data!A4</f>
        <v>38077</v>
      </c>
      <c r="B4">
        <f>Data!B4 - Factors!AB6</f>
        <v>3.5919500334087306E-3</v>
      </c>
      <c r="C4">
        <f>Factors!D6</f>
        <v>7.4889867841410052E-3</v>
      </c>
      <c r="D4">
        <f>Factors!L6</f>
        <v>2.4958810951028809E-2</v>
      </c>
      <c r="E4">
        <f>Factors!N6 - Factors!D6</f>
        <v>-8.1760495112725984E-4</v>
      </c>
      <c r="L4" t="s">
        <v>128</v>
      </c>
      <c r="M4">
        <f>INDEX(LINEST(E2:E121, C2:D121, TRUE, TRUE), 3, 1)</f>
        <v>0.6418212969273176</v>
      </c>
      <c r="N4">
        <f>1/(1-M4)</f>
        <v>2.7919024537789947</v>
      </c>
    </row>
    <row r="5" spans="1:22" x14ac:dyDescent="0.2">
      <c r="A5" s="3">
        <f>Data!A5</f>
        <v>38107</v>
      </c>
      <c r="B5">
        <f>Data!B5 - Factors!AB7</f>
        <v>-1.8594570832542123E-2</v>
      </c>
      <c r="C5">
        <f>Factors!D7</f>
        <v>-2.6016615653694841E-2</v>
      </c>
      <c r="D5">
        <f>Factors!L7</f>
        <v>-5.4311022948801191E-2</v>
      </c>
      <c r="E5">
        <f>Factors!N7 - Factors!D7</f>
        <v>1.941530832329097E-2</v>
      </c>
      <c r="G5" t="s">
        <v>104</v>
      </c>
      <c r="Q5" t="s">
        <v>104</v>
      </c>
    </row>
    <row r="6" spans="1:22" ht="16" thickBot="1" x14ac:dyDescent="0.25">
      <c r="A6" s="3">
        <f>Data!A6</f>
        <v>38138</v>
      </c>
      <c r="B6">
        <f>Data!B6 - Factors!AB8</f>
        <v>-2.9775631526983704E-3</v>
      </c>
      <c r="C6">
        <f>Factors!D8</f>
        <v>-4.0058706725372151E-3</v>
      </c>
      <c r="D6">
        <f>Factors!L8</f>
        <v>-1.4827673501862426E-2</v>
      </c>
      <c r="E6">
        <f>Factors!N8 - Factors!D8</f>
        <v>-1.1705638083558956E-2</v>
      </c>
    </row>
    <row r="7" spans="1:22" x14ac:dyDescent="0.2">
      <c r="A7" s="3">
        <f>Data!A7</f>
        <v>38168</v>
      </c>
      <c r="B7">
        <f>Data!B7 - Factors!AB9</f>
        <v>8.178461387757574E-3</v>
      </c>
      <c r="C7">
        <f>Factors!D9</f>
        <v>5.6515784546573578E-3</v>
      </c>
      <c r="D7">
        <f>Factors!L9</f>
        <v>1.4683748761058713E-2</v>
      </c>
      <c r="E7">
        <f>Factors!N9 - Factors!D9</f>
        <v>8.8758342949051272E-3</v>
      </c>
      <c r="G7" s="6" t="s">
        <v>105</v>
      </c>
      <c r="H7" s="6"/>
      <c r="Q7" s="6" t="s">
        <v>105</v>
      </c>
      <c r="R7" s="6"/>
    </row>
    <row r="8" spans="1:22" x14ac:dyDescent="0.2">
      <c r="A8" s="3">
        <f>Data!A8</f>
        <v>38198</v>
      </c>
      <c r="B8">
        <f>Data!B8 - Factors!AB10</f>
        <v>7.9909891920098008E-3</v>
      </c>
      <c r="C8">
        <f>Factors!D10</f>
        <v>9.9122549949146599E-3</v>
      </c>
      <c r="D8">
        <f>Factors!L10</f>
        <v>2.9702253898194586E-2</v>
      </c>
      <c r="E8">
        <f>Factors!N10 - Factors!D10</f>
        <v>3.5641780845903082E-3</v>
      </c>
      <c r="G8" t="s">
        <v>106</v>
      </c>
      <c r="H8">
        <v>0.90414706731198269</v>
      </c>
      <c r="N8" s="148" t="s">
        <v>134</v>
      </c>
      <c r="O8" s="148"/>
      <c r="Q8" t="s">
        <v>106</v>
      </c>
      <c r="R8">
        <v>0.90414418075397263</v>
      </c>
    </row>
    <row r="9" spans="1:22" x14ac:dyDescent="0.2">
      <c r="A9" s="3">
        <f>Data!A9</f>
        <v>38230</v>
      </c>
      <c r="B9">
        <f>Data!B9 - Factors!AB11</f>
        <v>1.4327929997212108E-2</v>
      </c>
      <c r="C9">
        <f>Factors!D11</f>
        <v>1.9075174108971638E-2</v>
      </c>
      <c r="D9">
        <f>Factors!L11</f>
        <v>4.1283114327875792E-2</v>
      </c>
      <c r="E9">
        <f>Factors!N11 - Factors!D11</f>
        <v>-9.0321684533356539E-4</v>
      </c>
      <c r="G9" t="s">
        <v>107</v>
      </c>
      <c r="H9">
        <v>0.81748191932885905</v>
      </c>
      <c r="Q9" t="s">
        <v>107</v>
      </c>
      <c r="R9">
        <v>0.81747669959127234</v>
      </c>
    </row>
    <row r="10" spans="1:22" x14ac:dyDescent="0.2">
      <c r="A10" s="3">
        <f>Data!A10</f>
        <v>38260</v>
      </c>
      <c r="B10">
        <f>Data!B10 - Factors!AB12</f>
        <v>3.1251778435947841E-4</v>
      </c>
      <c r="C10">
        <f>Factors!D12</f>
        <v>2.7134996608124684E-3</v>
      </c>
      <c r="D10">
        <f>Factors!L12</f>
        <v>1.6634612140230098E-2</v>
      </c>
      <c r="E10">
        <f>Factors!N12 - Factors!D12</f>
        <v>1.1218053190450217E-2</v>
      </c>
      <c r="G10" t="s">
        <v>108</v>
      </c>
      <c r="H10">
        <v>0.81113346434899325</v>
      </c>
      <c r="Q10" t="s">
        <v>108</v>
      </c>
      <c r="R10">
        <v>0.81275626940828805</v>
      </c>
    </row>
    <row r="11" spans="1:22" x14ac:dyDescent="0.2">
      <c r="A11" s="3">
        <f>Data!A11</f>
        <v>38289</v>
      </c>
      <c r="B11">
        <f>Data!B11 - Factors!AB13</f>
        <v>6.8457420042600248E-3</v>
      </c>
      <c r="C11">
        <f>Factors!D13</f>
        <v>8.3857442348007627E-3</v>
      </c>
      <c r="D11">
        <f>Factors!L13</f>
        <v>1.6096913375373223E-2</v>
      </c>
      <c r="E11">
        <f>Factors!N13 - Factors!D13</f>
        <v>1.0894461420726254E-2</v>
      </c>
      <c r="G11" t="s">
        <v>109</v>
      </c>
      <c r="H11">
        <v>3.3367725213851182E-3</v>
      </c>
      <c r="Q11" t="s">
        <v>109</v>
      </c>
      <c r="R11">
        <v>3.3224062566515103E-3</v>
      </c>
    </row>
    <row r="12" spans="1:22" ht="16" thickBot="1" x14ac:dyDescent="0.25">
      <c r="A12" s="3">
        <f>Data!A12</f>
        <v>38321</v>
      </c>
      <c r="B12">
        <f>Data!B12 - Factors!AB14</f>
        <v>-3.87966923453964E-3</v>
      </c>
      <c r="C12">
        <f>Factors!D14</f>
        <v>-7.9764103668484854E-3</v>
      </c>
      <c r="D12">
        <f>Factors!L14</f>
        <v>6.9900375632860889E-3</v>
      </c>
      <c r="E12">
        <f>Factors!N14 - Factors!D14</f>
        <v>1.8380450565109951E-2</v>
      </c>
      <c r="G12" s="4" t="s">
        <v>110</v>
      </c>
      <c r="H12" s="4">
        <v>120</v>
      </c>
      <c r="Q12" s="4" t="s">
        <v>110</v>
      </c>
      <c r="R12" s="4">
        <v>120</v>
      </c>
    </row>
    <row r="13" spans="1:22" x14ac:dyDescent="0.2">
      <c r="A13" s="3">
        <f>Data!A13</f>
        <v>38352</v>
      </c>
      <c r="B13">
        <f>Data!B13 - Factors!AB15</f>
        <v>5.1129046055757854E-3</v>
      </c>
      <c r="C13">
        <f>Factors!D15</f>
        <v>9.2011221695278422E-3</v>
      </c>
      <c r="D13">
        <f>Factors!L15</f>
        <v>2.5041357163709366E-2</v>
      </c>
      <c r="E13">
        <f>Factors!N15 - Factors!D15</f>
        <v>5.8803135508929127E-3</v>
      </c>
    </row>
    <row r="14" spans="1:22" ht="16" thickBot="1" x14ac:dyDescent="0.25">
      <c r="A14" s="3">
        <f>Data!A14</f>
        <v>38383</v>
      </c>
      <c r="B14">
        <f>Data!B14 - Factors!AB16</f>
        <v>3.6364555408368027E-3</v>
      </c>
      <c r="C14">
        <f>Factors!D16</f>
        <v>6.2794738148423956E-3</v>
      </c>
      <c r="D14">
        <f>Factors!L16</f>
        <v>6.2656245055536797E-3</v>
      </c>
      <c r="E14">
        <f>Factors!N16 - Factors!D16</f>
        <v>-7.2984348321349923E-3</v>
      </c>
      <c r="G14" t="s">
        <v>111</v>
      </c>
      <c r="O14" s="16" t="s">
        <v>135</v>
      </c>
      <c r="Q14" t="s">
        <v>111</v>
      </c>
    </row>
    <row r="15" spans="1:22" x14ac:dyDescent="0.2">
      <c r="A15" s="3">
        <f>Data!A15</f>
        <v>38411</v>
      </c>
      <c r="B15">
        <f>Data!B15 - Factors!AB17</f>
        <v>-6.2576927518297465E-3</v>
      </c>
      <c r="C15">
        <f>Factors!D17</f>
        <v>-5.9031974282449662E-3</v>
      </c>
      <c r="D15">
        <f>Factors!L17</f>
        <v>6.6668763168653555E-3</v>
      </c>
      <c r="E15">
        <f>Factors!N17 - Factors!D17</f>
        <v>2.0187179048355541E-2</v>
      </c>
      <c r="G15" s="5"/>
      <c r="H15" s="5" t="s">
        <v>112</v>
      </c>
      <c r="I15" s="5" t="s">
        <v>113</v>
      </c>
      <c r="J15" s="5" t="s">
        <v>114</v>
      </c>
      <c r="K15" s="5" t="s">
        <v>115</v>
      </c>
      <c r="L15" s="5" t="s">
        <v>116</v>
      </c>
      <c r="Q15" s="5"/>
      <c r="R15" s="5" t="s">
        <v>112</v>
      </c>
      <c r="S15" s="5" t="s">
        <v>113</v>
      </c>
      <c r="T15" s="5" t="s">
        <v>114</v>
      </c>
      <c r="U15" s="5" t="s">
        <v>115</v>
      </c>
      <c r="V15" s="5" t="s">
        <v>116</v>
      </c>
    </row>
    <row r="16" spans="1:22" x14ac:dyDescent="0.2">
      <c r="A16" s="3">
        <f>Data!A16</f>
        <v>38442</v>
      </c>
      <c r="B16">
        <f>Data!B16 - Factors!AB18</f>
        <v>-4.1361703030331487E-3</v>
      </c>
      <c r="C16">
        <f>Factors!D18</f>
        <v>-5.1360091306827949E-3</v>
      </c>
      <c r="D16">
        <f>Factors!L18</f>
        <v>-2.5459998125644367E-2</v>
      </c>
      <c r="E16">
        <f>Factors!N18 - Factors!D18</f>
        <v>-2.2176904370909911E-2</v>
      </c>
      <c r="G16" t="s">
        <v>117</v>
      </c>
      <c r="H16">
        <v>4</v>
      </c>
      <c r="I16">
        <v>5.7348663858353566E-3</v>
      </c>
      <c r="J16">
        <v>1.4337165964588392E-3</v>
      </c>
      <c r="K16">
        <v>128.7686408616768</v>
      </c>
      <c r="L16">
        <v>1.6083376691000467E-41</v>
      </c>
      <c r="Q16" t="s">
        <v>117</v>
      </c>
      <c r="R16">
        <v>3</v>
      </c>
      <c r="S16">
        <v>5.734829767902995E-3</v>
      </c>
      <c r="T16">
        <v>1.9116099226343317E-3</v>
      </c>
      <c r="U16">
        <v>173.1784324526223</v>
      </c>
      <c r="V16">
        <v>1.1232599654930931E-42</v>
      </c>
    </row>
    <row r="17" spans="1:25" x14ac:dyDescent="0.2">
      <c r="A17" s="3">
        <f>Data!A17</f>
        <v>38471</v>
      </c>
      <c r="B17">
        <f>Data!B17 - Factors!AB19</f>
        <v>8.8541607298897596E-3</v>
      </c>
      <c r="C17">
        <f>Factors!D19</f>
        <v>1.3533959597638923E-2</v>
      </c>
      <c r="D17">
        <f>Factors!L19</f>
        <v>1.5771252724708251E-2</v>
      </c>
      <c r="E17">
        <f>Factors!N19 - Factors!D19</f>
        <v>-2.4261661777440269E-2</v>
      </c>
      <c r="G17" t="s">
        <v>118</v>
      </c>
      <c r="H17">
        <v>115</v>
      </c>
      <c r="I17">
        <v>1.2804158488391418E-3</v>
      </c>
      <c r="J17">
        <v>1.1134050859470798E-5</v>
      </c>
      <c r="Q17" t="s">
        <v>118</v>
      </c>
      <c r="R17">
        <v>116</v>
      </c>
      <c r="S17">
        <v>1.2804524667715037E-3</v>
      </c>
      <c r="T17">
        <v>1.1038383334237101E-5</v>
      </c>
    </row>
    <row r="18" spans="1:25" ht="16" thickBot="1" x14ac:dyDescent="0.25">
      <c r="A18" s="3">
        <f>Data!A18</f>
        <v>38503</v>
      </c>
      <c r="B18">
        <f>Data!B18 - Factors!AB20</f>
        <v>5.4878374212958825E-3</v>
      </c>
      <c r="C18">
        <f>Factors!D20</f>
        <v>1.0818747026689834E-2</v>
      </c>
      <c r="D18">
        <f>Factors!L20</f>
        <v>2.9916687705125122E-2</v>
      </c>
      <c r="E18">
        <f>Factors!N20 - Factors!D20</f>
        <v>7.0841965285153297E-3</v>
      </c>
      <c r="G18" s="4" t="s">
        <v>119</v>
      </c>
      <c r="H18" s="4">
        <v>119</v>
      </c>
      <c r="I18" s="4">
        <v>7.015282234674498E-3</v>
      </c>
      <c r="J18" s="4"/>
      <c r="K18" s="4"/>
      <c r="L18" s="4"/>
      <c r="Q18" s="4" t="s">
        <v>119</v>
      </c>
      <c r="R18" s="4">
        <v>119</v>
      </c>
      <c r="S18" s="4">
        <v>7.0152822346744989E-3</v>
      </c>
      <c r="T18" s="4"/>
      <c r="U18" s="4"/>
      <c r="V18" s="4"/>
    </row>
    <row r="19" spans="1:25" ht="16" thickBot="1" x14ac:dyDescent="0.25">
      <c r="A19" s="3">
        <f>Data!A19</f>
        <v>38533</v>
      </c>
      <c r="B19">
        <f>Data!B19 - Factors!AB21</f>
        <v>1.3617323913872603E-3</v>
      </c>
      <c r="C19">
        <f>Factors!D21</f>
        <v>5.4529078117773189E-3</v>
      </c>
      <c r="D19">
        <f>Factors!L21</f>
        <v>1.77717857580586E-2</v>
      </c>
      <c r="E19">
        <f>Factors!N21 - Factors!D21</f>
        <v>1.3578147492161241E-2</v>
      </c>
    </row>
    <row r="20" spans="1:25" x14ac:dyDescent="0.2">
      <c r="A20" s="3">
        <f>Data!A20</f>
        <v>38562</v>
      </c>
      <c r="B20">
        <f>Data!B20 - Factors!AB22</f>
        <v>-7.449867875414129E-3</v>
      </c>
      <c r="C20">
        <f>Factors!D22</f>
        <v>-9.0953845160560709E-3</v>
      </c>
      <c r="D20">
        <f>Factors!L22</f>
        <v>-2.4686897880541459E-3</v>
      </c>
      <c r="E20">
        <f>Factors!N22 - Factors!D22</f>
        <v>2.4795568738883111E-2</v>
      </c>
      <c r="G20" s="5"/>
      <c r="H20" s="5" t="s">
        <v>120</v>
      </c>
      <c r="I20" s="5" t="s">
        <v>109</v>
      </c>
      <c r="J20" s="5" t="s">
        <v>121</v>
      </c>
      <c r="K20" s="5" t="s">
        <v>122</v>
      </c>
      <c r="L20" s="5" t="s">
        <v>123</v>
      </c>
      <c r="M20" s="5" t="s">
        <v>124</v>
      </c>
      <c r="N20" s="5" t="s">
        <v>125</v>
      </c>
      <c r="O20" s="5" t="s">
        <v>126</v>
      </c>
      <c r="Q20" s="5"/>
      <c r="R20" s="5" t="s">
        <v>120</v>
      </c>
      <c r="S20" s="5" t="s">
        <v>109</v>
      </c>
      <c r="T20" s="5" t="s">
        <v>121</v>
      </c>
      <c r="U20" s="5" t="s">
        <v>122</v>
      </c>
      <c r="V20" s="5" t="s">
        <v>123</v>
      </c>
      <c r="W20" s="5" t="s">
        <v>124</v>
      </c>
      <c r="X20" s="5" t="s">
        <v>125</v>
      </c>
      <c r="Y20" s="5" t="s">
        <v>126</v>
      </c>
    </row>
    <row r="21" spans="1:25" x14ac:dyDescent="0.2">
      <c r="A21" s="3">
        <f>Data!A21</f>
        <v>38595</v>
      </c>
      <c r="B21">
        <f>Data!B21 - Factors!AB23</f>
        <v>6.0719039164913724E-3</v>
      </c>
      <c r="C21">
        <f>Factors!D23</f>
        <v>1.2811324135459712E-2</v>
      </c>
      <c r="D21">
        <f>Factors!L23</f>
        <v>1.940604816804492E-2</v>
      </c>
      <c r="E21">
        <f>Factors!N23 - Factors!D23</f>
        <v>-9.1915546250564972E-3</v>
      </c>
      <c r="G21" t="s">
        <v>127</v>
      </c>
      <c r="H21">
        <v>1.0733719760094862E-4</v>
      </c>
      <c r="I21">
        <v>3.7015552843347666E-4</v>
      </c>
      <c r="J21">
        <v>0.28997864237015974</v>
      </c>
      <c r="K21">
        <v>0.77235478634497445</v>
      </c>
      <c r="L21">
        <v>-6.2586966450138472E-4</v>
      </c>
      <c r="M21">
        <v>8.4054405970328196E-4</v>
      </c>
      <c r="N21">
        <v>-6.2586966450138472E-4</v>
      </c>
      <c r="O21">
        <v>8.4054405970328196E-4</v>
      </c>
      <c r="Q21" t="s">
        <v>127</v>
      </c>
      <c r="R21">
        <v>1.1659257913930094E-4</v>
      </c>
      <c r="S21">
        <v>3.3168541561686055E-4</v>
      </c>
      <c r="T21">
        <v>0.35151554349311642</v>
      </c>
      <c r="U21">
        <v>0.72583930632095983</v>
      </c>
      <c r="V21">
        <v>-5.403521796679034E-4</v>
      </c>
      <c r="W21">
        <v>7.7353733794650534E-4</v>
      </c>
      <c r="X21">
        <v>-5.403521796679034E-4</v>
      </c>
      <c r="Y21">
        <v>7.7353733794650534E-4</v>
      </c>
    </row>
    <row r="22" spans="1:25" x14ac:dyDescent="0.2">
      <c r="A22" s="3">
        <f>Data!A22</f>
        <v>38625</v>
      </c>
      <c r="B22">
        <f>Data!B22 - Factors!AB24</f>
        <v>-8.2182653288597196E-3</v>
      </c>
      <c r="C22">
        <f>Factors!D24</f>
        <v>-1.0301153954404674E-2</v>
      </c>
      <c r="D22">
        <f>Factors!L24</f>
        <v>1.6904994522900285E-2</v>
      </c>
      <c r="E22">
        <f>Factors!N24 - Factors!D24</f>
        <v>2.8635717886849044E-4</v>
      </c>
      <c r="G22" t="s">
        <v>7</v>
      </c>
      <c r="H22">
        <v>0.59268256419858445</v>
      </c>
      <c r="I22">
        <v>6.612289020908918E-2</v>
      </c>
      <c r="J22">
        <v>8.9633493382464842</v>
      </c>
      <c r="K22">
        <v>6.7272228454620366E-15</v>
      </c>
      <c r="L22">
        <v>0.46170584463283471</v>
      </c>
      <c r="M22">
        <v>0.72365928376433419</v>
      </c>
      <c r="N22">
        <v>0.46170584463283471</v>
      </c>
      <c r="O22">
        <v>0.72365928376433419</v>
      </c>
      <c r="Q22" t="s">
        <v>7</v>
      </c>
      <c r="R22">
        <v>0.59460301244371883</v>
      </c>
      <c r="S22">
        <v>5.6770537827814264E-2</v>
      </c>
      <c r="T22">
        <v>10.473795655189264</v>
      </c>
      <c r="U22" s="10">
        <v>1.8001810076314927E-18</v>
      </c>
      <c r="V22">
        <v>0.48216180904836248</v>
      </c>
      <c r="W22">
        <v>0.70704421583907517</v>
      </c>
      <c r="X22">
        <v>0.48216180904836248</v>
      </c>
      <c r="Y22">
        <v>0.70704421583907517</v>
      </c>
    </row>
    <row r="23" spans="1:25" x14ac:dyDescent="0.2">
      <c r="A23" s="3">
        <f>Data!A23</f>
        <v>38656</v>
      </c>
      <c r="B23">
        <f>Data!B23 - Factors!AB25</f>
        <v>-9.6210420905453731E-3</v>
      </c>
      <c r="C23">
        <f>Factors!D25</f>
        <v>-7.9139379560264622E-3</v>
      </c>
      <c r="D23">
        <f>Factors!L25</f>
        <v>-1.4789798532665821E-2</v>
      </c>
      <c r="E23">
        <f>Factors!N25 - Factors!D25</f>
        <v>6.1975345286024996E-4</v>
      </c>
      <c r="G23" t="s">
        <v>6</v>
      </c>
      <c r="H23">
        <v>6.5937106338348241E-3</v>
      </c>
      <c r="I23">
        <v>0.1149766300730332</v>
      </c>
      <c r="J23">
        <v>5.7348268336326232E-2</v>
      </c>
      <c r="K23" s="9">
        <v>0.95436729686667243</v>
      </c>
      <c r="L23">
        <v>-0.22115286526554395</v>
      </c>
      <c r="M23">
        <v>0.23434028653321359</v>
      </c>
      <c r="N23">
        <v>-0.22115286526554395</v>
      </c>
      <c r="O23">
        <v>0.23434028653321359</v>
      </c>
      <c r="Q23" t="s">
        <v>15</v>
      </c>
      <c r="R23">
        <v>5.241443286531227E-2</v>
      </c>
      <c r="S23">
        <v>2.5722587908082298E-2</v>
      </c>
      <c r="T23">
        <v>2.037681163832008</v>
      </c>
      <c r="U23" s="11">
        <v>4.3856832860870616E-2</v>
      </c>
      <c r="V23">
        <v>1.4676064040246989E-3</v>
      </c>
      <c r="W23">
        <v>0.10336125932659984</v>
      </c>
      <c r="X23">
        <v>1.4676064040246989E-3</v>
      </c>
      <c r="Y23">
        <v>0.10336125932659984</v>
      </c>
    </row>
    <row r="24" spans="1:25" ht="16" thickBot="1" x14ac:dyDescent="0.25">
      <c r="A24" s="3">
        <f>Data!A24</f>
        <v>38686</v>
      </c>
      <c r="B24">
        <f>Data!B24 - Factors!AB26</f>
        <v>1.9473397960201311E-4</v>
      </c>
      <c r="C24">
        <f>Factors!D26</f>
        <v>4.4226044226045591E-3</v>
      </c>
      <c r="D24">
        <f>Factors!L26</f>
        <v>1.5277777777777724E-2</v>
      </c>
      <c r="E24">
        <f>Factors!N26 - Factors!D26</f>
        <v>4.0207220055310522E-4</v>
      </c>
      <c r="G24" t="s">
        <v>15</v>
      </c>
      <c r="H24">
        <v>5.2596249832905437E-2</v>
      </c>
      <c r="I24">
        <v>2.6027627093912667E-2</v>
      </c>
      <c r="J24">
        <v>2.0207854386082946</v>
      </c>
      <c r="K24">
        <v>4.5625019925315938E-2</v>
      </c>
      <c r="L24">
        <v>1.0405298082427766E-3</v>
      </c>
      <c r="M24">
        <v>0.1041519698575681</v>
      </c>
      <c r="N24">
        <v>1.0405298082427766E-3</v>
      </c>
      <c r="O24">
        <v>0.1041519698575681</v>
      </c>
      <c r="Q24" s="4" t="s">
        <v>128</v>
      </c>
      <c r="R24" s="4">
        <v>-6.9793957513184943E-2</v>
      </c>
      <c r="S24" s="4">
        <v>1.7599311114130482E-2</v>
      </c>
      <c r="T24" s="4">
        <v>-3.9657209910419389</v>
      </c>
      <c r="U24" s="12">
        <v>1.2701342251436907E-4</v>
      </c>
      <c r="V24" s="4">
        <v>-0.10465161073119902</v>
      </c>
      <c r="W24" s="4">
        <v>-3.4936304295170854E-2</v>
      </c>
      <c r="X24" s="4">
        <v>-0.10465161073119902</v>
      </c>
      <c r="Y24" s="4">
        <v>-3.4936304295170854E-2</v>
      </c>
    </row>
    <row r="25" spans="1:25" ht="16" thickBot="1" x14ac:dyDescent="0.25">
      <c r="A25" s="3">
        <f>Data!A25</f>
        <v>38716</v>
      </c>
      <c r="B25">
        <f>Data!B25 - Factors!AB27</f>
        <v>6.558179865697511E-3</v>
      </c>
      <c r="C25">
        <f>Factors!D27</f>
        <v>9.5075016307892835E-3</v>
      </c>
      <c r="D25">
        <f>Factors!L27</f>
        <v>1.8482405332246765E-2</v>
      </c>
      <c r="E25">
        <f>Factors!N27 - Factors!D27</f>
        <v>-3.5321919425168602E-4</v>
      </c>
      <c r="G25" s="4" t="s">
        <v>128</v>
      </c>
      <c r="H25" s="4">
        <v>-6.9456336457702716E-2</v>
      </c>
      <c r="I25" s="4">
        <v>1.8630066101249381E-2</v>
      </c>
      <c r="J25" s="4">
        <v>-3.7281851862589361</v>
      </c>
      <c r="K25" s="4">
        <v>3.0084911994374109E-4</v>
      </c>
      <c r="L25" s="4">
        <v>-0.10635891188232181</v>
      </c>
      <c r="M25" s="4">
        <v>-3.255376103308362E-2</v>
      </c>
      <c r="N25" s="4">
        <v>-0.10635891188232181</v>
      </c>
      <c r="O25" s="4">
        <v>-3.255376103308362E-2</v>
      </c>
    </row>
    <row r="26" spans="1:25" x14ac:dyDescent="0.2">
      <c r="A26" s="3">
        <f>Data!A26</f>
        <v>38748</v>
      </c>
      <c r="B26">
        <f>Data!B26 - Factors!AB28</f>
        <v>4.431894774059586E-6</v>
      </c>
      <c r="C26">
        <f>Factors!D28</f>
        <v>5.6540070755950467E-5</v>
      </c>
      <c r="D26">
        <f>Factors!L28</f>
        <v>1.197416552354813E-2</v>
      </c>
      <c r="E26">
        <f>Factors!N28 - Factors!D28</f>
        <v>1.5792999503792648E-2</v>
      </c>
    </row>
    <row r="27" spans="1:25" x14ac:dyDescent="0.2">
      <c r="A27" s="3">
        <f>Data!A27</f>
        <v>38776</v>
      </c>
      <c r="B27">
        <f>Data!B27 - Factors!AB29</f>
        <v>1.455725399174046E-3</v>
      </c>
      <c r="C27">
        <f>Factors!D29</f>
        <v>3.3195221826463062E-3</v>
      </c>
      <c r="D27">
        <f>Factors!L29</f>
        <v>2.2224732427776672E-2</v>
      </c>
      <c r="E27">
        <f>Factors!N29 - Factors!D29</f>
        <v>3.0028342558992005E-3</v>
      </c>
    </row>
    <row r="28" spans="1:25" x14ac:dyDescent="0.2">
      <c r="A28" s="3">
        <f>Data!A28</f>
        <v>38807</v>
      </c>
      <c r="B28">
        <f>Data!B28 - Factors!AB30</f>
        <v>-1.2312887545774309E-2</v>
      </c>
      <c r="C28">
        <f>Factors!D30</f>
        <v>-9.8129185986605139E-3</v>
      </c>
      <c r="D28">
        <f>Factors!L30</f>
        <v>-1.8978949113210741E-2</v>
      </c>
      <c r="E28">
        <f>Factors!N30 - Factors!D30</f>
        <v>1.6063403223981143E-2</v>
      </c>
    </row>
    <row r="29" spans="1:25" x14ac:dyDescent="0.2">
      <c r="A29" s="3">
        <f>Data!A29</f>
        <v>38835</v>
      </c>
      <c r="B29">
        <f>Data!B29 - Factors!AB31</f>
        <v>-3.7051407654056234E-3</v>
      </c>
      <c r="C29">
        <f>Factors!D31</f>
        <v>-1.8129344335596764E-3</v>
      </c>
      <c r="D29">
        <f>Factors!L31</f>
        <v>-8.4480865084057832E-4</v>
      </c>
      <c r="E29">
        <f>Factors!N31 - Factors!D31</f>
        <v>8.2388531200333626E-3</v>
      </c>
    </row>
    <row r="30" spans="1:25" x14ac:dyDescent="0.2">
      <c r="A30" s="3">
        <f>Data!A30</f>
        <v>38868</v>
      </c>
      <c r="B30">
        <f>Data!B30 - Factors!AB32</f>
        <v>-5.8745779916202778E-3</v>
      </c>
      <c r="C30">
        <f>Factors!D32</f>
        <v>-1.0669316349301017E-3</v>
      </c>
      <c r="D30">
        <f>Factors!L32</f>
        <v>-2.0489839632479301E-2</v>
      </c>
      <c r="E30">
        <f>Factors!N32 - Factors!D32</f>
        <v>4.3572578899297998E-4</v>
      </c>
      <c r="H30" s="7" t="s">
        <v>136</v>
      </c>
      <c r="I30" s="7">
        <f>1 - SUMSQ(H38:H121) / DEVSQ(B38:B121)</f>
        <v>0.66655024358878523</v>
      </c>
    </row>
    <row r="31" spans="1:25" x14ac:dyDescent="0.2">
      <c r="A31" s="3">
        <f>Data!A31</f>
        <v>38898</v>
      </c>
      <c r="B31">
        <f>Data!B31 - Factors!AB33</f>
        <v>-2.0279340483140285E-3</v>
      </c>
      <c r="C31">
        <f>Factors!D33</f>
        <v>2.1198359573098013E-3</v>
      </c>
      <c r="D31">
        <f>Factors!L33</f>
        <v>-5.7547332681262553E-5</v>
      </c>
      <c r="E31">
        <f>Factors!N33 - Factors!D33</f>
        <v>-5.9113317201404669E-3</v>
      </c>
      <c r="H31" s="7" t="s">
        <v>137</v>
      </c>
      <c r="I31" s="7">
        <f>SQRT( SUMSQ(H38:H121) / COUNT(H38:H121) )</f>
        <v>4.4717093384465173E-3</v>
      </c>
    </row>
    <row r="32" spans="1:25" x14ac:dyDescent="0.2">
      <c r="A32" s="3">
        <f>Data!A32</f>
        <v>38929</v>
      </c>
      <c r="B32">
        <f>Data!B32 - Factors!AB34</f>
        <v>1.0264380648391525E-2</v>
      </c>
      <c r="C32">
        <f>Factors!D34</f>
        <v>1.3521979318368738E-2</v>
      </c>
      <c r="D32">
        <f>Factors!L34</f>
        <v>3.2717541436463993E-2</v>
      </c>
      <c r="E32">
        <f>Factors!N34 - Factors!D34</f>
        <v>-2.8526315591568263E-3</v>
      </c>
      <c r="H32" s="7" t="s">
        <v>138</v>
      </c>
      <c r="I32" s="7">
        <f>1 - SUMSQ(I38:I121) / DEVSQ(J38:J121)</f>
        <v>0.79957026926058794</v>
      </c>
    </row>
    <row r="33" spans="1:10" x14ac:dyDescent="0.2">
      <c r="A33" s="3">
        <f>Data!A33</f>
        <v>38960</v>
      </c>
      <c r="B33">
        <f>Data!B33 - Factors!AB35</f>
        <v>1.0262188188766785E-2</v>
      </c>
      <c r="C33">
        <f>Factors!D35</f>
        <v>1.5308293129329797E-2</v>
      </c>
      <c r="D33">
        <f>Factors!L35</f>
        <v>2.6024687230070676E-2</v>
      </c>
      <c r="E33">
        <f>Factors!N35 - Factors!D35</f>
        <v>8.7198764067197843E-4</v>
      </c>
    </row>
    <row r="34" spans="1:10" x14ac:dyDescent="0.2">
      <c r="A34" s="3">
        <f>Data!A34</f>
        <v>38989</v>
      </c>
      <c r="B34">
        <f>Data!B34 - Factors!AB36</f>
        <v>2.6278672836397288E-3</v>
      </c>
      <c r="C34">
        <f>Factors!D36</f>
        <v>8.7839974699557288E-3</v>
      </c>
      <c r="D34">
        <f>Factors!L36</f>
        <v>5.5943296309370893E-3</v>
      </c>
      <c r="E34">
        <f>Factors!N36 - Factors!D36</f>
        <v>4.3698118746915426E-3</v>
      </c>
    </row>
    <row r="35" spans="1:10" x14ac:dyDescent="0.2">
      <c r="A35" s="3">
        <f>Data!A35</f>
        <v>39021</v>
      </c>
      <c r="B35">
        <f>Data!B35 - Factors!AB37</f>
        <v>3.353906692478148E-3</v>
      </c>
      <c r="C35">
        <f>Factors!D37</f>
        <v>6.61488662993448E-3</v>
      </c>
      <c r="D35">
        <f>Factors!L37</f>
        <v>1.8553026006643547E-2</v>
      </c>
      <c r="E35">
        <f>Factors!N37 - Factors!D37</f>
        <v>7.9869694282130865E-3</v>
      </c>
    </row>
    <row r="36" spans="1:10" x14ac:dyDescent="0.2">
      <c r="A36" s="3">
        <f>Data!A36</f>
        <v>39051</v>
      </c>
      <c r="B36">
        <f>Data!B36 - Factors!AB38</f>
        <v>7.305798149582543E-3</v>
      </c>
      <c r="C36">
        <f>Factors!D38</f>
        <v>1.1601199050103261E-2</v>
      </c>
      <c r="D36">
        <f>Factors!L38</f>
        <v>1.2673666348499202E-2</v>
      </c>
      <c r="E36">
        <f>Factors!N38 - Factors!D38</f>
        <v>4.3611621853807403E-3</v>
      </c>
    </row>
    <row r="37" spans="1:10" x14ac:dyDescent="0.2">
      <c r="A37" s="3">
        <f>Data!A37</f>
        <v>39080</v>
      </c>
      <c r="B37">
        <f>Data!B37 - Factors!AB39</f>
        <v>-7.0648521382550289E-3</v>
      </c>
      <c r="C37">
        <f>Factors!D39</f>
        <v>-5.8033480854339237E-3</v>
      </c>
      <c r="D37">
        <f>Factors!L39</f>
        <v>6.6502592030162067E-3</v>
      </c>
      <c r="E37">
        <f>Factors!N39 - Factors!D39</f>
        <v>1.6812288149231525E-2</v>
      </c>
      <c r="G37" s="147" t="s">
        <v>139</v>
      </c>
      <c r="H37" s="147"/>
      <c r="I37" s="147"/>
      <c r="J37" s="147"/>
    </row>
    <row r="38" spans="1:10" x14ac:dyDescent="0.2">
      <c r="A38" s="3">
        <f>Data!A38</f>
        <v>39113</v>
      </c>
      <c r="B38">
        <f>Data!B38 - Factors!AB40</f>
        <v>-3.4834649444790422E-3</v>
      </c>
      <c r="C38">
        <f>Factors!D40</f>
        <v>-4.1030881544612541E-4</v>
      </c>
      <c r="D38">
        <f>Factors!L40</f>
        <v>-3.0430711610487382E-3</v>
      </c>
      <c r="E38">
        <f>Factors!N40 - Factors!D40</f>
        <v>1.1154069010428813E-2</v>
      </c>
      <c r="G38" cm="1">
        <f t="array" ref="G38">TREND(B2:B37, C2:E37, C38:E38, TRUE)</f>
        <v>-1.9193823864084394E-3</v>
      </c>
      <c r="H38">
        <f t="shared" ref="H38:H69" si="0">B38 - G38</f>
        <v>-1.5640825580706028E-3</v>
      </c>
      <c r="I38">
        <f t="shared" ref="I38:I69" si="1">IF(OR(YEAR(A38)=2008, YEAR(A38)=2009), "", H38)</f>
        <v>-1.5640825580706028E-3</v>
      </c>
      <c r="J38">
        <f t="shared" ref="J38:J69" si="2">IF(OR(YEAR(A38)=2008, YEAR(A38)=2009), "", B38)</f>
        <v>-3.4834649444790422E-3</v>
      </c>
    </row>
    <row r="39" spans="1:10" x14ac:dyDescent="0.2">
      <c r="A39" s="3">
        <f>Data!A39</f>
        <v>39141</v>
      </c>
      <c r="B39">
        <f>Data!B39 - Factors!AB41</f>
        <v>8.5567022750085986E-3</v>
      </c>
      <c r="C39">
        <f>Factors!D41</f>
        <v>1.5420003407735416E-2</v>
      </c>
      <c r="D39">
        <f>Factors!L41</f>
        <v>1.7166262294226575E-2</v>
      </c>
      <c r="E39">
        <f>Factors!N41 - Factors!D41</f>
        <v>-1.4908488778080375E-3</v>
      </c>
      <c r="G39" cm="1">
        <f t="array" ref="G39">TREND(B3:B38, C3:E38, C39:E39, TRUE)</f>
        <v>9.5668897726728114E-3</v>
      </c>
      <c r="H39">
        <f t="shared" si="0"/>
        <v>-1.0101874976642129E-3</v>
      </c>
      <c r="I39">
        <f t="shared" si="1"/>
        <v>-1.0101874976642129E-3</v>
      </c>
      <c r="J39">
        <f t="shared" si="2"/>
        <v>8.5567022750085986E-3</v>
      </c>
    </row>
    <row r="40" spans="1:10" x14ac:dyDescent="0.2">
      <c r="A40" s="3">
        <f>Data!A40</f>
        <v>39171</v>
      </c>
      <c r="B40">
        <f>Data!B40 - Factors!AB42</f>
        <v>-1.8456249190437202E-3</v>
      </c>
      <c r="C40">
        <f>Factors!D42</f>
        <v>3.0508965822573231E-5</v>
      </c>
      <c r="D40">
        <f>Factors!L42</f>
        <v>9.7463387109184563E-3</v>
      </c>
      <c r="E40">
        <f>Factors!N42 - Factors!D42</f>
        <v>2.2920381391797751E-3</v>
      </c>
      <c r="G40" cm="1">
        <f t="array" ref="G40">TREND(B4:B39, C4:E39, C40:E40, TRUE)</f>
        <v>-1.0545677479970347E-3</v>
      </c>
      <c r="H40">
        <f t="shared" si="0"/>
        <v>-7.9105717104668545E-4</v>
      </c>
      <c r="I40">
        <f t="shared" si="1"/>
        <v>-7.9105717104668545E-4</v>
      </c>
      <c r="J40">
        <f t="shared" si="2"/>
        <v>-1.8456249190437202E-3</v>
      </c>
    </row>
    <row r="41" spans="1:10" x14ac:dyDescent="0.2">
      <c r="A41" s="3">
        <f>Data!A41</f>
        <v>39202</v>
      </c>
      <c r="B41">
        <f>Data!B41 - Factors!AB43</f>
        <v>6.3767963425309659E-4</v>
      </c>
      <c r="C41">
        <f>Factors!D43</f>
        <v>5.3922951957470211E-3</v>
      </c>
      <c r="D41">
        <f>Factors!L43</f>
        <v>8.6616373288628257E-3</v>
      </c>
      <c r="E41">
        <f>Factors!N43 - Factors!D43</f>
        <v>7.8404704657482061E-3</v>
      </c>
      <c r="G41" cm="1">
        <f t="array" ref="G41">TREND(B5:B40, C5:E40, C41:E41, TRUE)</f>
        <v>2.2221493992377137E-3</v>
      </c>
      <c r="H41">
        <f t="shared" si="0"/>
        <v>-1.5844697649846171E-3</v>
      </c>
      <c r="I41">
        <f t="shared" si="1"/>
        <v>-1.5844697649846171E-3</v>
      </c>
      <c r="J41">
        <f t="shared" si="2"/>
        <v>6.3767963425309659E-4</v>
      </c>
    </row>
    <row r="42" spans="1:10" x14ac:dyDescent="0.2">
      <c r="A42" s="3">
        <f>Data!A42</f>
        <v>39233</v>
      </c>
      <c r="B42">
        <f>Data!B42 - Factors!AB44</f>
        <v>-9.9683010767914748E-3</v>
      </c>
      <c r="C42">
        <f>Factors!D44</f>
        <v>-7.5785161583977745E-3</v>
      </c>
      <c r="D42">
        <f>Factors!L44</f>
        <v>-3.8529337698313126E-3</v>
      </c>
      <c r="E42">
        <f>Factors!N44 - Factors!D44</f>
        <v>1.4693511164106554E-2</v>
      </c>
      <c r="G42" cm="1">
        <f t="array" ref="G42">TREND(B6:B41, C6:E41, C42:E42, TRUE)</f>
        <v>-7.577005634906573E-3</v>
      </c>
      <c r="H42">
        <f t="shared" si="0"/>
        <v>-2.3912954418849018E-3</v>
      </c>
      <c r="I42">
        <f t="shared" si="1"/>
        <v>-2.3912954418849018E-3</v>
      </c>
      <c r="J42">
        <f t="shared" si="2"/>
        <v>-9.9683010767914748E-3</v>
      </c>
    </row>
    <row r="43" spans="1:10" x14ac:dyDescent="0.2">
      <c r="A43" s="3">
        <f>Data!A43</f>
        <v>39262</v>
      </c>
      <c r="B43">
        <f>Data!B43 - Factors!AB45</f>
        <v>-8.1880156562094131E-3</v>
      </c>
      <c r="C43">
        <f>Factors!D45</f>
        <v>-2.9582406494370606E-3</v>
      </c>
      <c r="D43">
        <f>Factors!L45</f>
        <v>-1.8884141871223781E-2</v>
      </c>
      <c r="E43">
        <f>Factors!N45 - Factors!D45</f>
        <v>-1.3895784645628018E-2</v>
      </c>
      <c r="G43" cm="1">
        <f t="array" ref="G43">TREND(B7:B42, C7:E42, C43:E43, TRUE)</f>
        <v>-5.5362426597974738E-3</v>
      </c>
      <c r="H43">
        <f t="shared" si="0"/>
        <v>-2.6517729964119392E-3</v>
      </c>
      <c r="I43">
        <f t="shared" si="1"/>
        <v>-2.6517729964119392E-3</v>
      </c>
      <c r="J43">
        <f t="shared" si="2"/>
        <v>-8.1880156562094131E-3</v>
      </c>
    </row>
    <row r="44" spans="1:10" x14ac:dyDescent="0.2">
      <c r="A44" s="3">
        <f>Data!A44</f>
        <v>39294</v>
      </c>
      <c r="B44">
        <f>Data!B44 - Factors!AB46</f>
        <v>2.9644939267479131E-3</v>
      </c>
      <c r="C44">
        <f>Factors!D46</f>
        <v>8.3413833816337046E-3</v>
      </c>
      <c r="D44">
        <f>Factors!L46</f>
        <v>-9.0182942540582012E-3</v>
      </c>
      <c r="E44">
        <f>Factors!N46 - Factors!D46</f>
        <v>-3.9741875194543308E-2</v>
      </c>
      <c r="G44" cm="1">
        <f t="array" ref="G44">TREND(B8:B43, C8:E43, C44:E44, TRUE)</f>
        <v>2.8887434700240631E-3</v>
      </c>
      <c r="H44">
        <f t="shared" si="0"/>
        <v>7.5750456723850008E-5</v>
      </c>
      <c r="I44">
        <f t="shared" si="1"/>
        <v>7.5750456723850008E-5</v>
      </c>
      <c r="J44">
        <f t="shared" si="2"/>
        <v>2.9644939267479131E-3</v>
      </c>
    </row>
    <row r="45" spans="1:10" x14ac:dyDescent="0.2">
      <c r="A45" s="3">
        <f>Data!A45</f>
        <v>39325</v>
      </c>
      <c r="B45">
        <f>Data!B45 - Factors!AB47</f>
        <v>6.8386208361557177E-3</v>
      </c>
      <c r="C45">
        <f>Factors!D47</f>
        <v>1.225650461519745E-2</v>
      </c>
      <c r="D45">
        <f>Factors!L47</f>
        <v>1.2116484659386195E-2</v>
      </c>
      <c r="E45">
        <f>Factors!N47 - Factors!D47</f>
        <v>-1.1101181794070936E-3</v>
      </c>
      <c r="G45" cm="1">
        <f t="array" ref="G45">TREND(B9:B44, C9:E44, C45:E45, TRUE)</f>
        <v>6.5354975034596155E-3</v>
      </c>
      <c r="H45">
        <f t="shared" si="0"/>
        <v>3.031233326961022E-4</v>
      </c>
      <c r="I45">
        <f t="shared" si="1"/>
        <v>3.031233326961022E-4</v>
      </c>
      <c r="J45">
        <f t="shared" si="2"/>
        <v>6.8386208361557177E-3</v>
      </c>
    </row>
    <row r="46" spans="1:10" x14ac:dyDescent="0.2">
      <c r="A46" s="3">
        <f>Data!A46</f>
        <v>39353</v>
      </c>
      <c r="B46">
        <f>Data!B46 - Factors!AB48</f>
        <v>4.1751695745824158E-3</v>
      </c>
      <c r="C46">
        <f>Factors!D48</f>
        <v>7.5863415806631807E-3</v>
      </c>
      <c r="D46">
        <f>Factors!L48</f>
        <v>2.2709756974772732E-2</v>
      </c>
      <c r="E46">
        <f>Factors!N48 - Factors!D48</f>
        <v>1.6853227899010559E-2</v>
      </c>
      <c r="G46" cm="1">
        <f t="array" ref="G46">TREND(B10:B45, C10:E45, C46:E46, TRUE)</f>
        <v>4.1305145559121358E-3</v>
      </c>
      <c r="H46">
        <f t="shared" si="0"/>
        <v>4.4655018670279947E-5</v>
      </c>
      <c r="I46">
        <f t="shared" si="1"/>
        <v>4.4655018670279947E-5</v>
      </c>
      <c r="J46">
        <f t="shared" si="2"/>
        <v>4.1751695745824158E-3</v>
      </c>
    </row>
    <row r="47" spans="1:10" x14ac:dyDescent="0.2">
      <c r="A47" s="3">
        <f>Data!A47</f>
        <v>39386</v>
      </c>
      <c r="B47">
        <f>Data!B47 - Factors!AB49</f>
        <v>7.0930245773785927E-3</v>
      </c>
      <c r="C47">
        <f>Factors!D49</f>
        <v>8.9828840648855657E-3</v>
      </c>
      <c r="D47">
        <f>Factors!L49</f>
        <v>2.3838231600100457E-2</v>
      </c>
      <c r="E47">
        <f>Factors!N49 - Factors!D49</f>
        <v>-2.9284122209400909E-3</v>
      </c>
      <c r="G47" cm="1">
        <f t="array" ref="G47">TREND(B11:B46, C11:E46, C47:E47, TRUE)</f>
        <v>5.6302717305212746E-3</v>
      </c>
      <c r="H47">
        <f t="shared" si="0"/>
        <v>1.4627528468573181E-3</v>
      </c>
      <c r="I47">
        <f t="shared" si="1"/>
        <v>1.4627528468573181E-3</v>
      </c>
      <c r="J47">
        <f t="shared" si="2"/>
        <v>7.0930245773785927E-3</v>
      </c>
    </row>
    <row r="48" spans="1:10" x14ac:dyDescent="0.2">
      <c r="A48" s="3">
        <f>Data!A48</f>
        <v>39416</v>
      </c>
      <c r="B48">
        <f>Data!B48 - Factors!AB50</f>
        <v>1.3575159317060326E-2</v>
      </c>
      <c r="C48">
        <f>Factors!D50</f>
        <v>1.7983139882821408E-2</v>
      </c>
      <c r="D48">
        <f>Factors!L50</f>
        <v>-3.7047032557225856E-3</v>
      </c>
      <c r="E48">
        <f>Factors!N50 - Factors!D50</f>
        <v>-3.8446789715949392E-2</v>
      </c>
      <c r="G48" cm="1">
        <f t="array" ref="G48">TREND(B12:B47, C12:E47, C48:E48, TRUE)</f>
        <v>9.5747709862247857E-3</v>
      </c>
      <c r="H48">
        <f t="shared" si="0"/>
        <v>4.0003883308355401E-3</v>
      </c>
      <c r="I48">
        <f t="shared" si="1"/>
        <v>4.0003883308355401E-3</v>
      </c>
      <c r="J48">
        <f t="shared" si="2"/>
        <v>1.3575159317060326E-2</v>
      </c>
    </row>
    <row r="49" spans="1:10" x14ac:dyDescent="0.2">
      <c r="A49" s="3">
        <f>Data!A49</f>
        <v>39447</v>
      </c>
      <c r="B49">
        <f>Data!B49 - Factors!AB51</f>
        <v>5.9352799370859799E-5</v>
      </c>
      <c r="C49">
        <f>Factors!D51</f>
        <v>2.8087645065066891E-3</v>
      </c>
      <c r="D49">
        <f>Factors!L51</f>
        <v>6.2302994483847129E-3</v>
      </c>
      <c r="E49">
        <f>Factors!N51 - Factors!D51</f>
        <v>1.2305996429651245E-4</v>
      </c>
      <c r="G49" cm="1">
        <f t="array" ref="G49">TREND(B13:B48, C13:E48, C49:E49, TRUE)</f>
        <v>-1.238265103985039E-4</v>
      </c>
      <c r="H49">
        <f t="shared" si="0"/>
        <v>1.831793097693637E-4</v>
      </c>
      <c r="I49">
        <f t="shared" si="1"/>
        <v>1.831793097693637E-4</v>
      </c>
      <c r="J49">
        <f t="shared" si="2"/>
        <v>5.9352799370859799E-5</v>
      </c>
    </row>
    <row r="50" spans="1:10" x14ac:dyDescent="0.2">
      <c r="A50" s="3">
        <f>Data!A50</f>
        <v>39478</v>
      </c>
      <c r="B50">
        <f>Data!B50 - Factors!AB52</f>
        <v>1.4678038656049885E-2</v>
      </c>
      <c r="C50">
        <f>Factors!D52</f>
        <v>1.6798147209958758E-2</v>
      </c>
      <c r="D50">
        <f>Factors!L52</f>
        <v>8.4432588531850872E-3</v>
      </c>
      <c r="E50">
        <f>Factors!N52 - Factors!D52</f>
        <v>-3.0385269319711861E-2</v>
      </c>
      <c r="G50" cm="1">
        <f t="array" ref="G50">TREND(B14:B49, C14:E49, C50:E50, TRUE)</f>
        <v>1.0937192834845132E-2</v>
      </c>
      <c r="H50">
        <f t="shared" si="0"/>
        <v>3.7408458212047531E-3</v>
      </c>
      <c r="I50" t="str">
        <f t="shared" si="1"/>
        <v/>
      </c>
      <c r="J50" t="str">
        <f t="shared" si="2"/>
        <v/>
      </c>
    </row>
    <row r="51" spans="1:10" x14ac:dyDescent="0.2">
      <c r="A51" s="3">
        <f>Data!A51</f>
        <v>39507</v>
      </c>
      <c r="B51">
        <f>Data!B51 - Factors!AB53</f>
        <v>-1.1606830682744373E-3</v>
      </c>
      <c r="C51">
        <f>Factors!D53</f>
        <v>1.3879892662163051E-3</v>
      </c>
      <c r="D51">
        <f>Factors!L53</f>
        <v>-1.6745134203757228E-3</v>
      </c>
      <c r="E51">
        <f>Factors!N53 - Factors!D53</f>
        <v>-1.3260944017200127E-2</v>
      </c>
      <c r="G51" cm="1">
        <f t="array" ref="G51">TREND(B15:B50, C15:E50, C51:E51, TRUE)</f>
        <v>-9.3760054543787024E-4</v>
      </c>
      <c r="H51">
        <f t="shared" si="0"/>
        <v>-2.2308252283656711E-4</v>
      </c>
      <c r="I51" t="str">
        <f t="shared" si="1"/>
        <v/>
      </c>
      <c r="J51" t="str">
        <f t="shared" si="2"/>
        <v/>
      </c>
    </row>
    <row r="52" spans="1:10" x14ac:dyDescent="0.2">
      <c r="A52" s="3">
        <f>Data!A52</f>
        <v>39538</v>
      </c>
      <c r="B52">
        <f>Data!B52 - Factors!AB54</f>
        <v>3.5004346205771419E-3</v>
      </c>
      <c r="C52">
        <f>Factors!D54</f>
        <v>3.4118533471703127E-3</v>
      </c>
      <c r="D52">
        <f>Factors!L54</f>
        <v>-4.1325327564001313E-4</v>
      </c>
      <c r="E52">
        <f>Factors!N54 - Factors!D54</f>
        <v>-8.6043220100139317E-3</v>
      </c>
      <c r="G52" cm="1">
        <f t="array" ref="G52">TREND(B16:B51, C16:E51, C52:E52, TRUE)</f>
        <v>2.7144248793231195E-4</v>
      </c>
      <c r="H52">
        <f t="shared" si="0"/>
        <v>3.22899213264483E-3</v>
      </c>
      <c r="I52" t="str">
        <f t="shared" si="1"/>
        <v/>
      </c>
      <c r="J52" t="str">
        <f t="shared" si="2"/>
        <v/>
      </c>
    </row>
    <row r="53" spans="1:10" x14ac:dyDescent="0.2">
      <c r="A53" s="3">
        <f>Data!A53</f>
        <v>39568</v>
      </c>
      <c r="B53">
        <f>Data!B53 - Factors!AB55</f>
        <v>-2.062515875540516E-4</v>
      </c>
      <c r="C53">
        <f>Factors!D55</f>
        <v>-2.0897383222588939E-3</v>
      </c>
      <c r="D53">
        <f>Factors!L55</f>
        <v>1.0116731517509692E-2</v>
      </c>
      <c r="E53">
        <f>Factors!N55 - Factors!D55</f>
        <v>4.3746803771141929E-2</v>
      </c>
      <c r="G53" cm="1">
        <f t="array" ref="G53">TREND(B17:B52, C17:E52, C53:E53, TRUE)</f>
        <v>-5.3358108027477102E-3</v>
      </c>
      <c r="H53">
        <f t="shared" si="0"/>
        <v>5.1295592151936586E-3</v>
      </c>
      <c r="I53" t="str">
        <f t="shared" si="1"/>
        <v/>
      </c>
      <c r="J53" t="str">
        <f t="shared" si="2"/>
        <v/>
      </c>
    </row>
    <row r="54" spans="1:10" x14ac:dyDescent="0.2">
      <c r="A54" s="3">
        <f>Data!A54</f>
        <v>39598</v>
      </c>
      <c r="B54">
        <f>Data!B54 - Factors!AB56</f>
        <v>-5.882583930907348E-3</v>
      </c>
      <c r="C54">
        <f>Factors!D56</f>
        <v>-7.332950003904215E-3</v>
      </c>
      <c r="D54">
        <f>Factors!L56</f>
        <v>1.2278505392910866E-3</v>
      </c>
      <c r="E54">
        <f>Factors!N56 - Factors!D56</f>
        <v>1.1616459330927476E-2</v>
      </c>
      <c r="G54" cm="1">
        <f t="array" ref="G54">TREND(B18:B53, C18:E53, C54:E54, TRUE)</f>
        <v>-8.0463716226763689E-3</v>
      </c>
      <c r="H54">
        <f t="shared" si="0"/>
        <v>2.1637876917690209E-3</v>
      </c>
      <c r="I54" t="str">
        <f t="shared" si="1"/>
        <v/>
      </c>
      <c r="J54" t="str">
        <f t="shared" si="2"/>
        <v/>
      </c>
    </row>
    <row r="55" spans="1:10" x14ac:dyDescent="0.2">
      <c r="A55" s="3">
        <f>Data!A55</f>
        <v>39629</v>
      </c>
      <c r="B55">
        <f>Data!B55 - Factors!AB57</f>
        <v>-2.3100761752820054E-3</v>
      </c>
      <c r="C55">
        <f>Factors!D57</f>
        <v>-8.0807791873460655E-4</v>
      </c>
      <c r="D55">
        <f>Factors!L57</f>
        <v>-1.9260826700651656E-2</v>
      </c>
      <c r="E55">
        <f>Factors!N57 - Factors!D57</f>
        <v>-2.5986501422890051E-2</v>
      </c>
      <c r="G55" cm="1">
        <f t="array" ref="G55">TREND(B19:B54, C19:E54, C55:E55, TRUE)</f>
        <v>-4.2133938368002985E-3</v>
      </c>
      <c r="H55">
        <f t="shared" si="0"/>
        <v>1.9033176615182931E-3</v>
      </c>
      <c r="I55" t="str">
        <f t="shared" si="1"/>
        <v/>
      </c>
      <c r="J55" t="str">
        <f t="shared" si="2"/>
        <v/>
      </c>
    </row>
    <row r="56" spans="1:10" x14ac:dyDescent="0.2">
      <c r="A56" s="3">
        <f>Data!A56</f>
        <v>39660</v>
      </c>
      <c r="B56">
        <f>Data!B56 - Factors!AB58</f>
        <v>-3.078397299605018E-3</v>
      </c>
      <c r="C56">
        <f>Factors!D58</f>
        <v>-8.1588835212031974E-4</v>
      </c>
      <c r="D56">
        <f>Factors!L58</f>
        <v>1.1131270534006754E-2</v>
      </c>
      <c r="E56">
        <f>Factors!N58 - Factors!D58</f>
        <v>-1.5211038668520693E-2</v>
      </c>
      <c r="G56" cm="1">
        <f t="array" ref="G56">TREND(B20:B55, C20:E55, C56:E56, TRUE)</f>
        <v>-1.6810331072608696E-3</v>
      </c>
      <c r="H56">
        <f t="shared" si="0"/>
        <v>-1.3973641923441483E-3</v>
      </c>
      <c r="I56" t="str">
        <f t="shared" si="1"/>
        <v/>
      </c>
      <c r="J56" t="str">
        <f t="shared" si="2"/>
        <v/>
      </c>
    </row>
    <row r="57" spans="1:10" x14ac:dyDescent="0.2">
      <c r="A57" s="3">
        <f>Data!A57</f>
        <v>39689</v>
      </c>
      <c r="B57">
        <f>Data!B57 - Factors!AB59</f>
        <v>1.1143114197958992E-2</v>
      </c>
      <c r="C57">
        <f>Factors!D59</f>
        <v>9.4906561803869138E-3</v>
      </c>
      <c r="D57">
        <f>Factors!L59</f>
        <v>8.0746847720660764E-3</v>
      </c>
      <c r="E57">
        <f>Factors!N59 - Factors!D59</f>
        <v>-6.2633825818201316E-3</v>
      </c>
      <c r="G57" cm="1">
        <f t="array" ref="G57">TREND(B21:B56, C21:E56, C57:E57, TRUE)</f>
        <v>5.3222695999688794E-3</v>
      </c>
      <c r="H57">
        <f t="shared" si="0"/>
        <v>5.8208445979901127E-3</v>
      </c>
      <c r="I57" t="str">
        <f t="shared" si="1"/>
        <v/>
      </c>
      <c r="J57" t="str">
        <f t="shared" si="2"/>
        <v/>
      </c>
    </row>
    <row r="58" spans="1:10" x14ac:dyDescent="0.2">
      <c r="A58" s="3">
        <f>Data!A58</f>
        <v>39721</v>
      </c>
      <c r="B58">
        <f>Data!B58 - Factors!AB60</f>
        <v>5.5794493136238632E-3</v>
      </c>
      <c r="C58">
        <f>Factors!D60</f>
        <v>-1.3431628540614082E-2</v>
      </c>
      <c r="D58">
        <f>Factors!L60</f>
        <v>-6.8433839270680585E-2</v>
      </c>
      <c r="E58">
        <f>Factors!N60 - Factors!D60</f>
        <v>-6.9542294139341654E-2</v>
      </c>
      <c r="G58" cm="1">
        <f t="array" ref="G58">TREND(B22:B57, C22:E57, C58:E58, TRUE)</f>
        <v>-1.6559140950164981E-2</v>
      </c>
      <c r="H58">
        <f t="shared" si="0"/>
        <v>2.2138590263788845E-2</v>
      </c>
      <c r="I58" t="str">
        <f t="shared" si="1"/>
        <v/>
      </c>
      <c r="J58" t="str">
        <f t="shared" si="2"/>
        <v/>
      </c>
    </row>
    <row r="59" spans="1:10" x14ac:dyDescent="0.2">
      <c r="A59" s="3">
        <f>Data!A59</f>
        <v>39752</v>
      </c>
      <c r="B59">
        <f>Data!B59 - Factors!AB61</f>
        <v>-1.3771356405024804E-2</v>
      </c>
      <c r="C59">
        <f>Factors!D61</f>
        <v>-2.3604208769948953E-2</v>
      </c>
      <c r="D59">
        <f>Factors!L61</f>
        <v>-0.1489103491014252</v>
      </c>
      <c r="E59">
        <f>Factors!N61 - Factors!D61</f>
        <v>-0.13937960384583081</v>
      </c>
      <c r="G59" cm="1">
        <f t="array" ref="G59">TREND(B23:B58, C23:E58, C59:E59, TRUE)</f>
        <v>-5.2878963401608199E-3</v>
      </c>
      <c r="H59">
        <f t="shared" si="0"/>
        <v>-8.4834600648639839E-3</v>
      </c>
      <c r="I59" t="str">
        <f t="shared" si="1"/>
        <v/>
      </c>
      <c r="J59" t="str">
        <f t="shared" si="2"/>
        <v/>
      </c>
    </row>
    <row r="60" spans="1:10" x14ac:dyDescent="0.2">
      <c r="A60" s="3">
        <f>Data!A60</f>
        <v>39780</v>
      </c>
      <c r="B60">
        <f>Data!B60 - Factors!AB62</f>
        <v>3.8656080754520872E-2</v>
      </c>
      <c r="C60">
        <f>Factors!D62</f>
        <v>3.254984863105026E-2</v>
      </c>
      <c r="D60">
        <f>Factors!L62</f>
        <v>2.4786869330420735E-2</v>
      </c>
      <c r="E60">
        <f>Factors!N62 - Factors!D62</f>
        <v>-0.11687285675965975</v>
      </c>
      <c r="G60" cm="1">
        <f t="array" ref="G60">TREND(B24:B59, C24:E59, C60:E60, TRUE)</f>
        <v>3.1545085978273511E-2</v>
      </c>
      <c r="H60">
        <f t="shared" si="0"/>
        <v>7.1109947762473605E-3</v>
      </c>
      <c r="I60" t="str">
        <f t="shared" si="1"/>
        <v/>
      </c>
      <c r="J60" t="str">
        <f t="shared" si="2"/>
        <v/>
      </c>
    </row>
    <row r="61" spans="1:10" x14ac:dyDescent="0.2">
      <c r="A61" s="3">
        <f>Data!A61</f>
        <v>39813</v>
      </c>
      <c r="B61">
        <f>Data!B61 - Factors!AB63</f>
        <v>1.6644461271256628E-2</v>
      </c>
      <c r="C61">
        <f>Factors!D63</f>
        <v>3.7309173919246597E-2</v>
      </c>
      <c r="D61">
        <f>Factors!L63</f>
        <v>7.7683699449345722E-2</v>
      </c>
      <c r="E61">
        <f>Factors!N63 - Factors!D63</f>
        <v>3.7434915801340285E-2</v>
      </c>
      <c r="G61" cm="1">
        <f t="array" ref="G61">TREND(B25:B60, C25:E60, C61:E61, TRUE)</f>
        <v>2.3380627469728878E-2</v>
      </c>
      <c r="H61">
        <f t="shared" si="0"/>
        <v>-6.7361661984722508E-3</v>
      </c>
      <c r="I61" t="str">
        <f t="shared" si="1"/>
        <v/>
      </c>
      <c r="J61" t="str">
        <f t="shared" si="2"/>
        <v/>
      </c>
    </row>
    <row r="62" spans="1:10" x14ac:dyDescent="0.2">
      <c r="A62" s="3">
        <f>Data!A62</f>
        <v>39843</v>
      </c>
      <c r="B62">
        <f>Data!B62 - Factors!AB64</f>
        <v>1.9444739209383277E-3</v>
      </c>
      <c r="C62">
        <f>Factors!D64</f>
        <v>-8.8233271439377425E-3</v>
      </c>
      <c r="D62">
        <f>Factors!L64</f>
        <v>8.5160156035384293E-3</v>
      </c>
      <c r="E62">
        <f>Factors!N64 - Factors!D64</f>
        <v>6.1902581555519864E-2</v>
      </c>
      <c r="G62" cm="1">
        <f t="array" ref="G62">TREND(B26:B61, C26:E61, C62:E62, TRUE)</f>
        <v>-1.434407495146571E-2</v>
      </c>
      <c r="H62">
        <f t="shared" si="0"/>
        <v>1.6288548872404038E-2</v>
      </c>
      <c r="I62" t="str">
        <f t="shared" si="1"/>
        <v/>
      </c>
      <c r="J62" t="str">
        <f t="shared" si="2"/>
        <v/>
      </c>
    </row>
    <row r="63" spans="1:10" x14ac:dyDescent="0.2">
      <c r="A63" s="3">
        <f>Data!A63</f>
        <v>39871</v>
      </c>
      <c r="B63">
        <f>Data!B63 - Factors!AB65</f>
        <v>5.5533058396206592E-3</v>
      </c>
      <c r="C63">
        <f>Factors!D65</f>
        <v>-3.7744489235188583E-3</v>
      </c>
      <c r="D63">
        <f>Factors!L65</f>
        <v>-1.1930703857049418E-2</v>
      </c>
      <c r="E63">
        <f>Factors!N65 - Factors!D65</f>
        <v>-3.0892258503532832E-2</v>
      </c>
      <c r="G63" cm="1">
        <f t="array" ref="G63">TREND(B27:B62, C27:E62, C63:E63, TRUE)</f>
        <v>-1.040141211467989E-5</v>
      </c>
      <c r="H63">
        <f t="shared" si="0"/>
        <v>5.5637072517353394E-3</v>
      </c>
      <c r="I63" t="str">
        <f t="shared" si="1"/>
        <v/>
      </c>
      <c r="J63" t="str">
        <f t="shared" si="2"/>
        <v/>
      </c>
    </row>
    <row r="64" spans="1:10" x14ac:dyDescent="0.2">
      <c r="A64" s="3">
        <f>Data!A64</f>
        <v>39903</v>
      </c>
      <c r="B64">
        <f>Data!B64 - Factors!AB66</f>
        <v>1.3967156271081471E-2</v>
      </c>
      <c r="C64">
        <f>Factors!D66</f>
        <v>1.3901367153493105E-2</v>
      </c>
      <c r="D64">
        <f>Factors!L66</f>
        <v>3.7382146992336107E-2</v>
      </c>
      <c r="E64">
        <f>Factors!N66 - Factors!D66</f>
        <v>1.9135266073148971E-2</v>
      </c>
      <c r="G64" cm="1">
        <f t="array" ref="G64">TREND(B28:B63, C28:E63, C64:E64, TRUE)</f>
        <v>7.8216895756786156E-3</v>
      </c>
      <c r="H64">
        <f t="shared" si="0"/>
        <v>6.1454666954028556E-3</v>
      </c>
      <c r="I64" t="str">
        <f t="shared" si="1"/>
        <v/>
      </c>
      <c r="J64" t="str">
        <f t="shared" si="2"/>
        <v/>
      </c>
    </row>
    <row r="65" spans="1:10" x14ac:dyDescent="0.2">
      <c r="A65" s="3">
        <f>Data!A65</f>
        <v>39933</v>
      </c>
      <c r="B65">
        <f>Data!B65 - Factors!AB67</f>
        <v>2.5822725637949517E-3</v>
      </c>
      <c r="C65">
        <f>Factors!D67</f>
        <v>4.7809093344506337E-3</v>
      </c>
      <c r="D65">
        <f>Factors!L67</f>
        <v>5.3866595801222328E-2</v>
      </c>
      <c r="E65">
        <f>Factors!N67 - Factors!D67</f>
        <v>0.10987892556449608</v>
      </c>
      <c r="G65" cm="1">
        <f t="array" ref="G65">TREND(B29:B64, C29:E64, C65:E65, TRUE)</f>
        <v>-5.8110934255682384E-3</v>
      </c>
      <c r="H65">
        <f t="shared" si="0"/>
        <v>8.3933659893631902E-3</v>
      </c>
      <c r="I65" t="str">
        <f t="shared" si="1"/>
        <v/>
      </c>
      <c r="J65" t="str">
        <f t="shared" si="2"/>
        <v/>
      </c>
    </row>
    <row r="66" spans="1:10" x14ac:dyDescent="0.2">
      <c r="A66" s="3">
        <f>Data!A66</f>
        <v>39962</v>
      </c>
      <c r="B66">
        <f>Data!B66 - Factors!AB68</f>
        <v>2.8715477967204972E-3</v>
      </c>
      <c r="C66">
        <f>Factors!D68</f>
        <v>7.253460946846646E-3</v>
      </c>
      <c r="D66">
        <f>Factors!L68</f>
        <v>3.7849559976800951E-2</v>
      </c>
      <c r="E66">
        <f>Factors!N68 - Factors!D68</f>
        <v>6.3876517405155431E-2</v>
      </c>
      <c r="G66" cm="1">
        <f t="array" ref="G66">TREND(B30:B65, C30:E65, C66:E66, TRUE)</f>
        <v>8.1453145620603786E-4</v>
      </c>
      <c r="H66">
        <f t="shared" si="0"/>
        <v>2.0570163405144596E-3</v>
      </c>
      <c r="I66" t="str">
        <f t="shared" si="1"/>
        <v/>
      </c>
      <c r="J66" t="str">
        <f t="shared" si="2"/>
        <v/>
      </c>
    </row>
    <row r="67" spans="1:10" x14ac:dyDescent="0.2">
      <c r="A67" s="3">
        <f>Data!A67</f>
        <v>39994</v>
      </c>
      <c r="B67">
        <f>Data!B67 - Factors!AB69</f>
        <v>1.1457857814767269E-3</v>
      </c>
      <c r="C67">
        <f>Factors!D69</f>
        <v>5.6876798609981627E-3</v>
      </c>
      <c r="D67">
        <f>Factors!L69</f>
        <v>1.3193060887312313E-2</v>
      </c>
      <c r="E67">
        <f>Factors!N69 - Factors!D69</f>
        <v>2.6109819694262182E-2</v>
      </c>
      <c r="G67" cm="1">
        <f t="array" ref="G67">TREND(B31:B66, C31:E66, C67:E67, TRUE)</f>
        <v>1.8316230543413683E-3</v>
      </c>
      <c r="H67">
        <f t="shared" si="0"/>
        <v>-6.8583727286464138E-4</v>
      </c>
      <c r="I67" t="str">
        <f t="shared" si="1"/>
        <v/>
      </c>
      <c r="J67" t="str">
        <f t="shared" si="2"/>
        <v/>
      </c>
    </row>
    <row r="68" spans="1:10" x14ac:dyDescent="0.2">
      <c r="A68" s="3">
        <f>Data!A68</f>
        <v>40025</v>
      </c>
      <c r="B68">
        <f>Data!B68 - Factors!AB70</f>
        <v>8.0259665405626457E-3</v>
      </c>
      <c r="C68">
        <f>Factors!D70</f>
        <v>1.6129685369903113E-2</v>
      </c>
      <c r="D68">
        <f>Factors!L70</f>
        <v>3.0862569242943838E-2</v>
      </c>
      <c r="E68">
        <f>Factors!N70 - Factors!D70</f>
        <v>4.5700990366542404E-2</v>
      </c>
      <c r="G68" cm="1">
        <f t="array" ref="G68">TREND(B32:B67, C32:E67, C68:E68, TRUE)</f>
        <v>6.6900584318420097E-3</v>
      </c>
      <c r="H68">
        <f t="shared" si="0"/>
        <v>1.335908108720636E-3</v>
      </c>
      <c r="I68" t="str">
        <f t="shared" si="1"/>
        <v/>
      </c>
      <c r="J68" t="str">
        <f t="shared" si="2"/>
        <v/>
      </c>
    </row>
    <row r="69" spans="1:10" x14ac:dyDescent="0.2">
      <c r="A69" s="3">
        <f>Data!A69</f>
        <v>40056</v>
      </c>
      <c r="B69">
        <f>Data!B69 - Factors!AB71</f>
        <v>6.4695476676701613E-3</v>
      </c>
      <c r="C69">
        <f>Factors!D71</f>
        <v>1.0354400786376505E-2</v>
      </c>
      <c r="D69">
        <f>Factors!L71</f>
        <v>1.9005303805713192E-2</v>
      </c>
      <c r="E69">
        <f>Factors!N71 - Factors!D71</f>
        <v>9.9841737055359481E-3</v>
      </c>
      <c r="G69" cm="1">
        <f t="array" ref="G69">TREND(B33:B68, C33:E68, C69:E69, TRUE)</f>
        <v>6.4271838889149013E-3</v>
      </c>
      <c r="H69">
        <f t="shared" si="0"/>
        <v>4.2363778755260054E-5</v>
      </c>
      <c r="I69" t="str">
        <f t="shared" si="1"/>
        <v/>
      </c>
      <c r="J69" t="str">
        <f t="shared" si="2"/>
        <v/>
      </c>
    </row>
    <row r="70" spans="1:10" x14ac:dyDescent="0.2">
      <c r="A70" s="3">
        <f>Data!A70</f>
        <v>40086</v>
      </c>
      <c r="B70">
        <f>Data!B70 - Factors!AB72</f>
        <v>7.8810332197978283E-3</v>
      </c>
      <c r="C70">
        <f>Factors!D72</f>
        <v>1.0504657415381091E-2</v>
      </c>
      <c r="D70">
        <f>Factors!L72</f>
        <v>4.9172468896244714E-2</v>
      </c>
      <c r="E70">
        <f>Factors!N72 - Factors!D72</f>
        <v>4.9255455588423258E-2</v>
      </c>
      <c r="G70" cm="1">
        <f t="array" ref="G70">TREND(B34:B69, C34:E69, C70:E70, TRUE)</f>
        <v>5.4788844274000726E-3</v>
      </c>
      <c r="H70">
        <f t="shared" ref="H70:H101" si="3">B70 - G70</f>
        <v>2.4021487923977557E-3</v>
      </c>
      <c r="I70" t="str">
        <f t="shared" ref="I70:I101" si="4">IF(OR(YEAR(A70)=2008, YEAR(A70)=2009), "", H70)</f>
        <v/>
      </c>
      <c r="J70" t="str">
        <f t="shared" ref="J70:J101" si="5">IF(OR(YEAR(A70)=2008, YEAR(A70)=2009), "", B70)</f>
        <v/>
      </c>
    </row>
    <row r="71" spans="1:10" x14ac:dyDescent="0.2">
      <c r="A71" s="3">
        <f>Data!A71</f>
        <v>40116</v>
      </c>
      <c r="B71">
        <f>Data!B71 - Factors!AB73</f>
        <v>7.0411622465191837E-3</v>
      </c>
      <c r="C71">
        <f>Factors!D73</f>
        <v>4.9375166698109041E-3</v>
      </c>
      <c r="D71">
        <f>Factors!L73</f>
        <v>1.4795796253181948E-3</v>
      </c>
      <c r="E71">
        <f>Factors!N73 - Factors!D73</f>
        <v>1.2925735559806029E-2</v>
      </c>
      <c r="G71" cm="1">
        <f t="array" ref="G71">TREND(B35:B70, C35:E70, C71:E71, TRUE)</f>
        <v>1.9781629872987669E-3</v>
      </c>
      <c r="H71">
        <f t="shared" si="3"/>
        <v>5.0629992592204163E-3</v>
      </c>
      <c r="I71" t="str">
        <f t="shared" si="4"/>
        <v/>
      </c>
      <c r="J71" t="str">
        <f t="shared" si="5"/>
        <v/>
      </c>
    </row>
    <row r="72" spans="1:10" x14ac:dyDescent="0.2">
      <c r="A72" s="3">
        <f>Data!A72</f>
        <v>40147</v>
      </c>
      <c r="B72">
        <f>Data!B72 - Factors!AB74</f>
        <v>1.2773443899890768E-2</v>
      </c>
      <c r="C72">
        <f>Factors!D74</f>
        <v>1.2946659761781554E-2</v>
      </c>
      <c r="D72">
        <f>Factors!L74</f>
        <v>1.0472114193842641E-2</v>
      </c>
      <c r="E72">
        <f>Factors!N74 - Factors!D74</f>
        <v>-2.8143711907961944E-3</v>
      </c>
      <c r="G72" cm="1">
        <f t="array" ref="G72">TREND(B36:B71, C36:E71, C72:E72, TRUE)</f>
        <v>8.6167566559980282E-3</v>
      </c>
      <c r="H72">
        <f t="shared" si="3"/>
        <v>4.1566872438927403E-3</v>
      </c>
      <c r="I72" t="str">
        <f t="shared" si="4"/>
        <v/>
      </c>
      <c r="J72" t="str">
        <f t="shared" si="5"/>
        <v/>
      </c>
    </row>
    <row r="73" spans="1:10" x14ac:dyDescent="0.2">
      <c r="A73" s="3">
        <f>Data!A73</f>
        <v>40178</v>
      </c>
      <c r="B73">
        <f>Data!B73 - Factors!AB75</f>
        <v>-1.4076292180772887E-2</v>
      </c>
      <c r="C73">
        <f>Factors!D75</f>
        <v>-1.5631390593047079E-2</v>
      </c>
      <c r="D73">
        <f>Factors!L75</f>
        <v>3.2036810079769662E-3</v>
      </c>
      <c r="E73">
        <f>Factors!N75 - Factors!D75</f>
        <v>4.6977564128499183E-2</v>
      </c>
      <c r="G73" cm="1">
        <f t="array" ref="G73">TREND(B37:B72, C37:E72, C73:E73, TRUE)</f>
        <v>-1.1554732957864779E-2</v>
      </c>
      <c r="H73">
        <f t="shared" si="3"/>
        <v>-2.5215592229081082E-3</v>
      </c>
      <c r="I73" t="str">
        <f t="shared" si="4"/>
        <v/>
      </c>
      <c r="J73" t="str">
        <f t="shared" si="5"/>
        <v/>
      </c>
    </row>
    <row r="74" spans="1:10" x14ac:dyDescent="0.2">
      <c r="A74" s="3">
        <f>Data!A74</f>
        <v>40207</v>
      </c>
      <c r="B74">
        <f>Data!B74 - Factors!AB76</f>
        <v>1.3160425629171524E-2</v>
      </c>
      <c r="C74">
        <f>Factors!D76</f>
        <v>1.5275848189360675E-2</v>
      </c>
      <c r="D74">
        <f>Factors!L76</f>
        <v>3.6863989026534316E-3</v>
      </c>
      <c r="E74">
        <f>Factors!N76 - Factors!D76</f>
        <v>-1.2072755133019086E-4</v>
      </c>
      <c r="G74" cm="1">
        <f t="array" ref="G74">TREND(B38:B73, C38:E73, C74:E74, TRUE)</f>
        <v>9.4048839386588201E-3</v>
      </c>
      <c r="H74">
        <f t="shared" si="3"/>
        <v>3.7555416905127037E-3</v>
      </c>
      <c r="I74">
        <f t="shared" si="4"/>
        <v>3.7555416905127037E-3</v>
      </c>
      <c r="J74">
        <f t="shared" si="5"/>
        <v>1.3160425629171524E-2</v>
      </c>
    </row>
    <row r="75" spans="1:10" x14ac:dyDescent="0.2">
      <c r="A75" s="3">
        <f>Data!A75</f>
        <v>40235</v>
      </c>
      <c r="B75">
        <f>Data!B75 - Factors!AB77</f>
        <v>1.7755895559219415E-3</v>
      </c>
      <c r="C75">
        <f>Factors!D77</f>
        <v>3.734325743188549E-3</v>
      </c>
      <c r="D75">
        <f>Factors!L77</f>
        <v>1.4157591287636162E-2</v>
      </c>
      <c r="E75">
        <f>Factors!N77 - Factors!D77</f>
        <v>-2.1854966407328646E-3</v>
      </c>
      <c r="G75" cm="1">
        <f t="array" ref="G75">TREND(B39:B74, C39:E74, C75:E75, TRUE)</f>
        <v>4.0763770024089332E-3</v>
      </c>
      <c r="H75">
        <f t="shared" si="3"/>
        <v>-2.3007874464869918E-3</v>
      </c>
      <c r="I75">
        <f t="shared" si="4"/>
        <v>-2.3007874464869918E-3</v>
      </c>
      <c r="J75">
        <f t="shared" si="5"/>
        <v>1.7755895559219415E-3</v>
      </c>
    </row>
    <row r="76" spans="1:10" x14ac:dyDescent="0.2">
      <c r="A76" s="3">
        <f>Data!A76</f>
        <v>40268</v>
      </c>
      <c r="B76">
        <f>Data!B76 - Factors!AB78</f>
        <v>2.7824149949329247E-4</v>
      </c>
      <c r="C76">
        <f>Factors!D78</f>
        <v>-1.2295264730428634E-3</v>
      </c>
      <c r="D76">
        <f>Factors!L78</f>
        <v>2.3329753858463365E-2</v>
      </c>
      <c r="E76">
        <f>Factors!N78 - Factors!D78</f>
        <v>3.218692272053536E-2</v>
      </c>
      <c r="G76" cm="1">
        <f t="array" ref="G76">TREND(B40:B75, C40:E75, C76:E76, TRUE)</f>
        <v>-1.1356414066604203E-3</v>
      </c>
      <c r="H76">
        <f t="shared" si="3"/>
        <v>1.4138829061537128E-3</v>
      </c>
      <c r="I76">
        <f t="shared" si="4"/>
        <v>1.4138829061537128E-3</v>
      </c>
      <c r="J76">
        <f t="shared" si="5"/>
        <v>2.7824149949329247E-4</v>
      </c>
    </row>
    <row r="77" spans="1:10" x14ac:dyDescent="0.2">
      <c r="A77" s="3">
        <f>Data!A77</f>
        <v>40298</v>
      </c>
      <c r="B77">
        <f>Data!B77 - Factors!AB79</f>
        <v>5.9198911968121326E-3</v>
      </c>
      <c r="C77">
        <f>Factors!D79</f>
        <v>1.0409623799257472E-2</v>
      </c>
      <c r="D77">
        <f>Factors!L79</f>
        <v>7.6130120779407395E-3</v>
      </c>
      <c r="E77">
        <f>Factors!N79 - Factors!D79</f>
        <v>1.1980317161827569E-2</v>
      </c>
      <c r="G77" cm="1">
        <f t="array" ref="G77">TREND(B41:B76, C41:E76, C77:E77, TRUE)</f>
        <v>6.5618015165902046E-3</v>
      </c>
      <c r="H77">
        <f t="shared" si="3"/>
        <v>-6.4191031977807195E-4</v>
      </c>
      <c r="I77">
        <f t="shared" si="4"/>
        <v>-6.4191031977807195E-4</v>
      </c>
      <c r="J77">
        <f t="shared" si="5"/>
        <v>5.9198911968121326E-3</v>
      </c>
    </row>
    <row r="78" spans="1:10" x14ac:dyDescent="0.2">
      <c r="A78" s="3">
        <f>Data!A78</f>
        <v>40329</v>
      </c>
      <c r="B78">
        <f>Data!B78 - Factors!AB80</f>
        <v>1.1043717267077646E-2</v>
      </c>
      <c r="C78">
        <f>Factors!D80</f>
        <v>8.4148727984345584E-3</v>
      </c>
      <c r="D78">
        <f>Factors!L80</f>
        <v>-1.5784852259500437E-2</v>
      </c>
      <c r="E78">
        <f>Factors!N80 - Factors!D80</f>
        <v>-4.3620988778093395E-2</v>
      </c>
      <c r="G78" cm="1">
        <f t="array" ref="G78">TREND(B42:B77, C42:E77, C78:E78, TRUE)</f>
        <v>8.466099042525134E-3</v>
      </c>
      <c r="H78">
        <f t="shared" si="3"/>
        <v>2.5776182245525123E-3</v>
      </c>
      <c r="I78">
        <f t="shared" si="4"/>
        <v>2.5776182245525123E-3</v>
      </c>
      <c r="J78">
        <f t="shared" si="5"/>
        <v>1.1043717267077646E-2</v>
      </c>
    </row>
    <row r="79" spans="1:10" x14ac:dyDescent="0.2">
      <c r="A79" s="3">
        <f>Data!A79</f>
        <v>40359</v>
      </c>
      <c r="B79">
        <f>Data!B79 - Factors!AB81</f>
        <v>1.111948627119741E-2</v>
      </c>
      <c r="C79">
        <f>Factors!D81</f>
        <v>1.56814383102859E-2</v>
      </c>
      <c r="D79">
        <f>Factors!L81</f>
        <v>2.0063073156562528E-2</v>
      </c>
      <c r="E79">
        <f>Factors!N81 - Factors!D81</f>
        <v>-2.6433562101859653E-3</v>
      </c>
      <c r="G79" cm="1">
        <f t="array" ref="G79">TREND(B43:B78, C43:E78, C79:E79, TRUE)</f>
        <v>1.1659514130793519E-2</v>
      </c>
      <c r="H79">
        <f t="shared" si="3"/>
        <v>-5.4002785959610979E-4</v>
      </c>
      <c r="I79">
        <f t="shared" si="4"/>
        <v>-5.4002785959610979E-4</v>
      </c>
      <c r="J79">
        <f t="shared" si="5"/>
        <v>1.111948627119741E-2</v>
      </c>
    </row>
    <row r="80" spans="1:10" x14ac:dyDescent="0.2">
      <c r="A80" s="3">
        <f>Data!A80</f>
        <v>40389</v>
      </c>
      <c r="B80">
        <f>Data!B80 - Factors!AB82</f>
        <v>8.3682320597420201E-3</v>
      </c>
      <c r="C80">
        <f>Factors!D82</f>
        <v>1.0668852620679514E-2</v>
      </c>
      <c r="D80">
        <f>Factors!L82</f>
        <v>4.1167497203295156E-2</v>
      </c>
      <c r="E80">
        <f>Factors!N82 - Factors!D82</f>
        <v>2.3982218439034808E-2</v>
      </c>
      <c r="G80" cm="1">
        <f t="array" ref="G80">TREND(B44:B79, C44:E79, C80:E80, TRUE)</f>
        <v>8.1634510034456886E-3</v>
      </c>
      <c r="H80">
        <f t="shared" si="3"/>
        <v>2.0478105629633155E-4</v>
      </c>
      <c r="I80">
        <f t="shared" si="4"/>
        <v>2.0478105629633155E-4</v>
      </c>
      <c r="J80">
        <f t="shared" si="5"/>
        <v>8.3682320597420201E-3</v>
      </c>
    </row>
    <row r="81" spans="1:10" x14ac:dyDescent="0.2">
      <c r="A81" s="3">
        <f>Data!A81</f>
        <v>40421</v>
      </c>
      <c r="B81">
        <f>Data!B81 - Factors!AB83</f>
        <v>1.4297262605764693E-3</v>
      </c>
      <c r="C81">
        <f>Factors!D83</f>
        <v>1.2867501326389474E-2</v>
      </c>
      <c r="D81">
        <f>Factors!L83</f>
        <v>2.3266717458829023E-2</v>
      </c>
      <c r="E81">
        <f>Factors!N83 - Factors!D83</f>
        <v>-1.1303502662725951E-2</v>
      </c>
      <c r="G81" cm="1">
        <f t="array" ref="G81">TREND(B45:B80, C45:E80, C81:E81, TRUE)</f>
        <v>1.1355958606062411E-2</v>
      </c>
      <c r="H81">
        <f t="shared" si="3"/>
        <v>-9.926232345485942E-3</v>
      </c>
      <c r="I81">
        <f t="shared" si="4"/>
        <v>-9.926232345485942E-3</v>
      </c>
      <c r="J81">
        <f t="shared" si="5"/>
        <v>1.4297262605764693E-3</v>
      </c>
    </row>
    <row r="82" spans="1:10" x14ac:dyDescent="0.2">
      <c r="A82" s="3">
        <f>Data!A82</f>
        <v>40451</v>
      </c>
      <c r="B82">
        <f>Data!B82 - Factors!AB84</f>
        <v>-3.9134679025312202E-3</v>
      </c>
      <c r="C82">
        <f>Factors!D84</f>
        <v>1.065693694344505E-3</v>
      </c>
      <c r="D82">
        <f>Factors!L84</f>
        <v>1.6762122947690195E-2</v>
      </c>
      <c r="E82">
        <f>Factors!N84 - Factors!D84</f>
        <v>2.8624052892356699E-2</v>
      </c>
      <c r="G82" cm="1">
        <f t="array" ref="G82">TREND(B46:B81, C46:E81, C82:E82, TRUE)</f>
        <v>9.0904794719032711E-4</v>
      </c>
      <c r="H82">
        <f t="shared" si="3"/>
        <v>-4.8225158497215478E-3</v>
      </c>
      <c r="I82">
        <f t="shared" si="4"/>
        <v>-4.8225158497215478E-3</v>
      </c>
      <c r="J82">
        <f t="shared" si="5"/>
        <v>-3.9134679025312202E-3</v>
      </c>
    </row>
    <row r="83" spans="1:10" x14ac:dyDescent="0.2">
      <c r="A83" s="3">
        <f>Data!A83</f>
        <v>40480</v>
      </c>
      <c r="B83">
        <f>Data!B83 - Factors!AB85</f>
        <v>9.6898537032477083E-3</v>
      </c>
      <c r="C83">
        <f>Factors!D85</f>
        <v>3.5605595852428173E-3</v>
      </c>
      <c r="D83">
        <f>Factors!L85</f>
        <v>1.7199294002778753E-2</v>
      </c>
      <c r="E83">
        <f>Factors!N85 - Factors!D85</f>
        <v>2.0692179901905972E-2</v>
      </c>
      <c r="G83" cm="1">
        <f t="array" ref="G83">TREND(B47:B82, C47:E82, C83:E83, TRUE)</f>
        <v>2.8024151879656369E-3</v>
      </c>
      <c r="H83">
        <f t="shared" si="3"/>
        <v>6.8874385152820714E-3</v>
      </c>
      <c r="I83">
        <f t="shared" si="4"/>
        <v>6.8874385152820714E-3</v>
      </c>
      <c r="J83">
        <f t="shared" si="5"/>
        <v>9.6898537032477083E-3</v>
      </c>
    </row>
    <row r="84" spans="1:10" x14ac:dyDescent="0.2">
      <c r="A84" s="3">
        <f>Data!A84</f>
        <v>40512</v>
      </c>
      <c r="B84">
        <f>Data!B84 - Factors!AB86</f>
        <v>-1.9028184915167445E-3</v>
      </c>
      <c r="C84">
        <f>Factors!D86</f>
        <v>-5.7474019825239919E-3</v>
      </c>
      <c r="D84">
        <f>Factors!L86</f>
        <v>-3.184184295049286E-2</v>
      </c>
      <c r="E84">
        <f>Factors!N86 - Factors!D86</f>
        <v>-5.408911383882109E-3</v>
      </c>
      <c r="G84" cm="1">
        <f t="array" ref="G84">TREND(B48:B83, C48:E83, C84:E84, TRUE)</f>
        <v>-2.6194395201400169E-3</v>
      </c>
      <c r="H84">
        <f t="shared" si="3"/>
        <v>7.1662102862327234E-4</v>
      </c>
      <c r="I84">
        <f t="shared" si="4"/>
        <v>7.1662102862327234E-4</v>
      </c>
      <c r="J84">
        <f t="shared" si="5"/>
        <v>-1.9028184915167445E-3</v>
      </c>
    </row>
    <row r="85" spans="1:10" x14ac:dyDescent="0.2">
      <c r="A85" s="3">
        <f>Data!A85</f>
        <v>40543</v>
      </c>
      <c r="B85">
        <f>Data!B85 - Factors!AB87</f>
        <v>-5.7059263682106565E-3</v>
      </c>
      <c r="C85">
        <f>Factors!D87</f>
        <v>-1.0783669582095201E-2</v>
      </c>
      <c r="D85">
        <f>Factors!L87</f>
        <v>-3.317508436767147E-3</v>
      </c>
      <c r="E85">
        <f>Factors!N87 - Factors!D87</f>
        <v>2.8391764688765142E-2</v>
      </c>
      <c r="G85" cm="1">
        <f t="array" ref="G85">TREND(B49:B84, C49:E84, C85:E85, TRUE)</f>
        <v>-6.6672339033084782E-3</v>
      </c>
      <c r="H85">
        <f t="shared" si="3"/>
        <v>9.6130753509782174E-4</v>
      </c>
      <c r="I85">
        <f t="shared" si="4"/>
        <v>9.6130753509782174E-4</v>
      </c>
      <c r="J85">
        <f t="shared" si="5"/>
        <v>-5.7059263682106565E-3</v>
      </c>
    </row>
    <row r="86" spans="1:10" x14ac:dyDescent="0.2">
      <c r="A86" s="3">
        <f>Data!A86</f>
        <v>40574</v>
      </c>
      <c r="B86">
        <f>Data!B86 - Factors!AB88</f>
        <v>4.6299615563727414E-4</v>
      </c>
      <c r="C86">
        <f>Factors!D88</f>
        <v>1.1638535128877248E-3</v>
      </c>
      <c r="D86">
        <f>Factors!L88</f>
        <v>-5.432807269249218E-3</v>
      </c>
      <c r="E86">
        <f>Factors!N88 - Factors!D88</f>
        <v>1.9860562387547631E-2</v>
      </c>
      <c r="G86" cm="1">
        <f t="array" ref="G86">TREND(B50:B85, C50:E85, C86:E86, TRUE)</f>
        <v>8.5762731217432797E-4</v>
      </c>
      <c r="H86">
        <f t="shared" si="3"/>
        <v>-3.9463115653705382E-4</v>
      </c>
      <c r="I86">
        <f t="shared" si="4"/>
        <v>-3.9463115653705382E-4</v>
      </c>
      <c r="J86">
        <f t="shared" si="5"/>
        <v>4.6299615563727414E-4</v>
      </c>
    </row>
    <row r="87" spans="1:10" x14ac:dyDescent="0.2">
      <c r="A87" s="3">
        <f>Data!A87</f>
        <v>40602</v>
      </c>
      <c r="B87">
        <f>Data!B87 - Factors!AB89</f>
        <v>2.3543230027542883E-3</v>
      </c>
      <c r="C87">
        <f>Factors!D89</f>
        <v>2.5015063815800875E-3</v>
      </c>
      <c r="D87">
        <f>Factors!L89</f>
        <v>2.9428170260239472E-3</v>
      </c>
      <c r="E87">
        <f>Factors!N89 - Factors!D89</f>
        <v>1.08682542015206E-2</v>
      </c>
      <c r="G87" cm="1">
        <f t="array" ref="G87">TREND(B51:B86, C51:E86, C87:E87, TRUE)</f>
        <v>2.6822459797274118E-3</v>
      </c>
      <c r="H87">
        <f t="shared" si="3"/>
        <v>-3.2792297697312352E-4</v>
      </c>
      <c r="I87">
        <f t="shared" si="4"/>
        <v>-3.2792297697312352E-4</v>
      </c>
      <c r="J87">
        <f t="shared" si="5"/>
        <v>2.3543230027542883E-3</v>
      </c>
    </row>
    <row r="88" spans="1:10" x14ac:dyDescent="0.2">
      <c r="A88" s="3">
        <f>Data!A88</f>
        <v>40633</v>
      </c>
      <c r="B88">
        <f>Data!B88 - Factors!AB90</f>
        <v>2.6308223402204955E-3</v>
      </c>
      <c r="C88">
        <f>Factors!D90</f>
        <v>5.5247947933367847E-4</v>
      </c>
      <c r="D88">
        <f>Factors!L90</f>
        <v>1.2695612150966262E-2</v>
      </c>
      <c r="E88">
        <f>Factors!N90 - Factors!D90</f>
        <v>3.6489181284420358E-3</v>
      </c>
      <c r="G88" cm="1">
        <f t="array" ref="G88">TREND(B52:B87, C52:E87, C88:E88, TRUE)</f>
        <v>2.8668291317428514E-3</v>
      </c>
      <c r="H88">
        <f t="shared" si="3"/>
        <v>-2.3600679152235588E-4</v>
      </c>
      <c r="I88">
        <f t="shared" si="4"/>
        <v>-2.3600679152235588E-4</v>
      </c>
      <c r="J88">
        <f t="shared" si="5"/>
        <v>2.6308223402204955E-3</v>
      </c>
    </row>
    <row r="89" spans="1:10" x14ac:dyDescent="0.2">
      <c r="A89" s="3">
        <f>Data!A89</f>
        <v>40662</v>
      </c>
      <c r="B89">
        <f>Data!B89 - Factors!AB91</f>
        <v>1.0869827904158358E-2</v>
      </c>
      <c r="C89">
        <f>Factors!D91</f>
        <v>1.2693943678209862E-2</v>
      </c>
      <c r="D89">
        <f>Factors!L91</f>
        <v>1.3918872855357423E-2</v>
      </c>
      <c r="E89">
        <f>Factors!N91 - Factors!D91</f>
        <v>2.5056415991357994E-3</v>
      </c>
      <c r="G89" cm="1">
        <f t="array" ref="G89">TREND(B53:B88, C53:E88, C89:E89, TRUE)</f>
        <v>9.6821122807407151E-3</v>
      </c>
      <c r="H89">
        <f t="shared" si="3"/>
        <v>1.1877156234176428E-3</v>
      </c>
      <c r="I89">
        <f t="shared" si="4"/>
        <v>1.1877156234176428E-3</v>
      </c>
      <c r="J89">
        <f t="shared" si="5"/>
        <v>1.0869827904158358E-2</v>
      </c>
    </row>
    <row r="90" spans="1:10" x14ac:dyDescent="0.2">
      <c r="A90" s="3">
        <f>Data!A90</f>
        <v>40694</v>
      </c>
      <c r="B90">
        <f>Data!B90 - Factors!AB92</f>
        <v>1.0688996163327635E-2</v>
      </c>
      <c r="C90">
        <f>Factors!D92</f>
        <v>1.3050121333772813E-2</v>
      </c>
      <c r="D90">
        <f>Factors!L92</f>
        <v>1.4661661156870398E-2</v>
      </c>
      <c r="E90">
        <f>Factors!N92 - Factors!D92</f>
        <v>-8.1599753983612189E-3</v>
      </c>
      <c r="G90" cm="1">
        <f t="array" ref="G90">TREND(B54:B89, C54:E89, C90:E90, TRUE)</f>
        <v>1.0826256873078189E-2</v>
      </c>
      <c r="H90">
        <f t="shared" si="3"/>
        <v>-1.3726070975055363E-4</v>
      </c>
      <c r="I90">
        <f t="shared" si="4"/>
        <v>-1.3726070975055363E-4</v>
      </c>
      <c r="J90">
        <f t="shared" si="5"/>
        <v>1.0688996163327635E-2</v>
      </c>
    </row>
    <row r="91" spans="1:10" x14ac:dyDescent="0.2">
      <c r="A91" s="3">
        <f>Data!A91</f>
        <v>40724</v>
      </c>
      <c r="B91">
        <f>Data!B91 - Factors!AB93</f>
        <v>8.8273705300445648E-4</v>
      </c>
      <c r="C91">
        <f>Factors!D93</f>
        <v>-2.9277294423118994E-3</v>
      </c>
      <c r="D91">
        <f>Factors!L93</f>
        <v>1.1210101976953935E-2</v>
      </c>
      <c r="E91">
        <f>Factors!N93 - Factors!D93</f>
        <v>-7.1170361838089891E-3</v>
      </c>
      <c r="G91" cm="1">
        <f t="array" ref="G91">TREND(B55:B90, C55:E90, C91:E91, TRUE)</f>
        <v>2.0948547286647112E-3</v>
      </c>
      <c r="H91">
        <f t="shared" si="3"/>
        <v>-1.2121176756602547E-3</v>
      </c>
      <c r="I91">
        <f t="shared" si="4"/>
        <v>-1.2121176756602547E-3</v>
      </c>
      <c r="J91">
        <f t="shared" si="5"/>
        <v>8.8273705300445648E-4</v>
      </c>
    </row>
    <row r="92" spans="1:10" x14ac:dyDescent="0.2">
      <c r="A92" s="3">
        <f>Data!A92</f>
        <v>40753</v>
      </c>
      <c r="B92">
        <f>Data!B92 - Factors!AB94</f>
        <v>9.3469597600953636E-3</v>
      </c>
      <c r="C92">
        <f>Factors!D94</f>
        <v>1.5868025483752435E-2</v>
      </c>
      <c r="D92">
        <f>Factors!L94</f>
        <v>1.9459361063074443E-2</v>
      </c>
      <c r="E92">
        <f>Factors!N94 - Factors!D94</f>
        <v>-3.5134893072694684E-3</v>
      </c>
      <c r="G92" cm="1">
        <f t="array" ref="G92">TREND(B56:B91, C56:E91, C92:E92, TRUE)</f>
        <v>1.2334737045876776E-2</v>
      </c>
      <c r="H92">
        <f t="shared" si="3"/>
        <v>-2.9877772857814129E-3</v>
      </c>
      <c r="I92">
        <f t="shared" si="4"/>
        <v>-2.9877772857814129E-3</v>
      </c>
      <c r="J92">
        <f t="shared" si="5"/>
        <v>9.3469597600953636E-3</v>
      </c>
    </row>
    <row r="93" spans="1:10" x14ac:dyDescent="0.2">
      <c r="A93" s="3">
        <f>Data!A93</f>
        <v>40786</v>
      </c>
      <c r="B93">
        <f>Data!B93 - Factors!AB95</f>
        <v>1.2349418442985982E-2</v>
      </c>
      <c r="C93">
        <f>Factors!D95</f>
        <v>1.4609963037143903E-2</v>
      </c>
      <c r="D93">
        <f>Factors!L95</f>
        <v>5.3210484965360294E-3</v>
      </c>
      <c r="E93">
        <f>Factors!N95 - Factors!D95</f>
        <v>-5.4681116864943036E-2</v>
      </c>
      <c r="G93" cm="1">
        <f t="array" ref="G93">TREND(B57:B92, C57:E92, C93:E93, TRUE)</f>
        <v>1.5610339824872144E-2</v>
      </c>
      <c r="H93">
        <f t="shared" si="3"/>
        <v>-3.2609213818861615E-3</v>
      </c>
      <c r="I93">
        <f t="shared" si="4"/>
        <v>-3.2609213818861615E-3</v>
      </c>
      <c r="J93">
        <f t="shared" si="5"/>
        <v>1.2349418442985982E-2</v>
      </c>
    </row>
    <row r="94" spans="1:10" x14ac:dyDescent="0.2">
      <c r="A94" s="3">
        <f>Data!A94</f>
        <v>40816</v>
      </c>
      <c r="B94">
        <f>Data!B94 - Factors!AB96</f>
        <v>1.7068698759490353E-3</v>
      </c>
      <c r="C94">
        <f>Factors!D96</f>
        <v>7.274610802566972E-3</v>
      </c>
      <c r="D94">
        <f>Factors!L96</f>
        <v>-4.200561258925084E-2</v>
      </c>
      <c r="E94">
        <f>Factors!N96 - Factors!D96</f>
        <v>-4.3221799270831252E-2</v>
      </c>
      <c r="G94" cm="1">
        <f t="array" ref="G94">TREND(B58:B93, C58:E93, C94:E94, TRUE)</f>
        <v>6.4299765361895272E-3</v>
      </c>
      <c r="H94">
        <f t="shared" si="3"/>
        <v>-4.723106660240492E-3</v>
      </c>
      <c r="I94">
        <f t="shared" si="4"/>
        <v>-4.723106660240492E-3</v>
      </c>
      <c r="J94">
        <f t="shared" si="5"/>
        <v>1.7068698759490353E-3</v>
      </c>
    </row>
    <row r="95" spans="1:10" x14ac:dyDescent="0.2">
      <c r="A95" s="3">
        <f>Data!A95</f>
        <v>40847</v>
      </c>
      <c r="B95">
        <f>Data!B95 - Factors!AB97</f>
        <v>-7.9599154734211197E-5</v>
      </c>
      <c r="C95">
        <f>Factors!D97</f>
        <v>1.0741690902129619E-3</v>
      </c>
      <c r="D95">
        <f>Factors!L97</f>
        <v>4.5089641618925924E-2</v>
      </c>
      <c r="E95">
        <f>Factors!N97 - Factors!D97</f>
        <v>5.8483067583956938E-2</v>
      </c>
      <c r="G95" cm="1">
        <f t="array" ref="G95">TREND(B59:B94, C59:E94, C95:E95, TRUE)</f>
        <v>1.8608765338693888E-3</v>
      </c>
      <c r="H95">
        <f t="shared" si="3"/>
        <v>-1.9404756886036E-3</v>
      </c>
      <c r="I95">
        <f t="shared" si="4"/>
        <v>-1.9404756886036E-3</v>
      </c>
      <c r="J95">
        <f t="shared" si="5"/>
        <v>-7.9599154734211197E-5</v>
      </c>
    </row>
    <row r="96" spans="1:10" x14ac:dyDescent="0.2">
      <c r="A96" s="3">
        <f>Data!A96</f>
        <v>40877</v>
      </c>
      <c r="B96">
        <f>Data!B96 - Factors!AB98</f>
        <v>1.8194410852883092E-3</v>
      </c>
      <c r="C96">
        <f>Factors!D98</f>
        <v>-8.6754524647991715E-4</v>
      </c>
      <c r="D96">
        <f>Factors!L98</f>
        <v>-5.8542816086857297E-3</v>
      </c>
      <c r="E96">
        <f>Factors!N98 - Factors!D98</f>
        <v>-2.1247847558473532E-2</v>
      </c>
      <c r="G96" cm="1">
        <f t="array" ref="G96">TREND(B60:B95, C60:E95, C96:E96, TRUE)</f>
        <v>3.6880577912705935E-3</v>
      </c>
      <c r="H96">
        <f t="shared" si="3"/>
        <v>-1.8686167059822844E-3</v>
      </c>
      <c r="I96">
        <f t="shared" si="4"/>
        <v>-1.8686167059822844E-3</v>
      </c>
      <c r="J96">
        <f t="shared" si="5"/>
        <v>1.8194410852883092E-3</v>
      </c>
    </row>
    <row r="97" spans="1:10" x14ac:dyDescent="0.2">
      <c r="A97" s="3">
        <f>Data!A97</f>
        <v>40907</v>
      </c>
      <c r="B97">
        <f>Data!B97 - Factors!AB99</f>
        <v>7.0121533016926918E-3</v>
      </c>
      <c r="C97">
        <f>Factors!D99</f>
        <v>1.0990831452971861E-2</v>
      </c>
      <c r="D97">
        <f>Factors!L99</f>
        <v>1.1795356805082147E-2</v>
      </c>
      <c r="E97">
        <f>Factors!N99 - Factors!D99</f>
        <v>1.3795934670993049E-2</v>
      </c>
      <c r="G97" cm="1">
        <f t="array" ref="G97">TREND(B61:B96, C61:E96, C97:E97, TRUE)</f>
        <v>7.3017776025825643E-3</v>
      </c>
      <c r="H97">
        <f t="shared" si="3"/>
        <v>-2.8962430088987252E-4</v>
      </c>
      <c r="I97">
        <f t="shared" si="4"/>
        <v>-2.8962430088987252E-4</v>
      </c>
      <c r="J97">
        <f t="shared" si="5"/>
        <v>7.0121533016926918E-3</v>
      </c>
    </row>
    <row r="98" spans="1:10" x14ac:dyDescent="0.2">
      <c r="A98" s="3">
        <f>Data!A98</f>
        <v>40939</v>
      </c>
      <c r="B98">
        <f>Data!B98 - Factors!AB100</f>
        <v>4.0755613431917581E-3</v>
      </c>
      <c r="C98">
        <f>Factors!D100</f>
        <v>8.7807027952468975E-3</v>
      </c>
      <c r="D98">
        <f>Factors!L100</f>
        <v>1.7619047619047645E-2</v>
      </c>
      <c r="E98">
        <f>Factors!N100 - Factors!D100</f>
        <v>2.0248602123550175E-2</v>
      </c>
      <c r="G98" cm="1">
        <f t="array" ref="G98">TREND(B62:B97, C62:E97, C98:E98, TRUE)</f>
        <v>6.3214122133707987E-3</v>
      </c>
      <c r="H98">
        <f t="shared" si="3"/>
        <v>-2.2458508701790406E-3</v>
      </c>
      <c r="I98">
        <f t="shared" si="4"/>
        <v>-2.2458508701790406E-3</v>
      </c>
      <c r="J98">
        <f t="shared" si="5"/>
        <v>4.0755613431917581E-3</v>
      </c>
    </row>
    <row r="99" spans="1:10" x14ac:dyDescent="0.2">
      <c r="A99" s="3">
        <f>Data!A99</f>
        <v>40968</v>
      </c>
      <c r="B99">
        <f>Data!B99 - Factors!AB101</f>
        <v>9.225042191001176E-4</v>
      </c>
      <c r="C99">
        <f>Factors!D101</f>
        <v>-2.2964942055525572E-4</v>
      </c>
      <c r="D99">
        <f>Factors!L101</f>
        <v>2.951524289849039E-2</v>
      </c>
      <c r="E99">
        <f>Factors!N101 - Factors!D101</f>
        <v>2.3014817999653325E-2</v>
      </c>
      <c r="G99" cm="1">
        <f t="array" ref="G99">TREND(B63:B98, C63:E98, C99:E99, TRUE)</f>
        <v>1.2521452855525496E-3</v>
      </c>
      <c r="H99">
        <f t="shared" si="3"/>
        <v>-3.2964106645243197E-4</v>
      </c>
      <c r="I99">
        <f t="shared" si="4"/>
        <v>-3.2964106645243197E-4</v>
      </c>
      <c r="J99">
        <f t="shared" si="5"/>
        <v>9.225042191001176E-4</v>
      </c>
    </row>
    <row r="100" spans="1:10" x14ac:dyDescent="0.2">
      <c r="A100" s="3">
        <f>Data!A100</f>
        <v>40998</v>
      </c>
      <c r="B100">
        <f>Data!B100 - Factors!AB102</f>
        <v>5.4635290694315941E-4</v>
      </c>
      <c r="C100">
        <f>Factors!D102</f>
        <v>-5.4792371646907867E-3</v>
      </c>
      <c r="D100">
        <f>Factors!L102</f>
        <v>9.4272920103710689E-4</v>
      </c>
      <c r="E100">
        <f>Factors!N102 - Factors!D102</f>
        <v>4.5436507331165776E-3</v>
      </c>
      <c r="G100" cm="1">
        <f t="array" ref="G100">TREND(B64:B99, C64:E99, C100:E100, TRUE)</f>
        <v>-2.6575422127728854E-3</v>
      </c>
      <c r="H100">
        <f t="shared" si="3"/>
        <v>3.2038951197160448E-3</v>
      </c>
      <c r="I100">
        <f t="shared" si="4"/>
        <v>3.2038951197160448E-3</v>
      </c>
      <c r="J100">
        <f t="shared" si="5"/>
        <v>5.4635290694315941E-4</v>
      </c>
    </row>
    <row r="101" spans="1:10" x14ac:dyDescent="0.2">
      <c r="A101" s="3">
        <f>Data!A101</f>
        <v>41029</v>
      </c>
      <c r="B101">
        <f>Data!B101 - Factors!AB103</f>
        <v>6.4332014175692009E-3</v>
      </c>
      <c r="C101">
        <f>Factors!D103</f>
        <v>1.1086449519474462E-2</v>
      </c>
      <c r="D101">
        <f>Factors!L103</f>
        <v>1.7558612802314189E-2</v>
      </c>
      <c r="E101">
        <f>Factors!N103 - Factors!D103</f>
        <v>-8.6388088692923581E-4</v>
      </c>
      <c r="G101" cm="1">
        <f t="array" ref="G101">TREND(B65:B100, C65:E100, C101:E101, TRUE)</f>
        <v>8.1712563865588041E-3</v>
      </c>
      <c r="H101">
        <f t="shared" si="3"/>
        <v>-1.7380549689896031E-3</v>
      </c>
      <c r="I101">
        <f t="shared" si="4"/>
        <v>-1.7380549689896031E-3</v>
      </c>
      <c r="J101">
        <f t="shared" si="5"/>
        <v>6.4332014175692009E-3</v>
      </c>
    </row>
    <row r="102" spans="1:10" x14ac:dyDescent="0.2">
      <c r="A102" s="3">
        <f>Data!A102</f>
        <v>41060</v>
      </c>
      <c r="B102">
        <f>Data!B102 - Factors!AB104</f>
        <v>3.061028274291111E-3</v>
      </c>
      <c r="C102">
        <f>Factors!D104</f>
        <v>9.048261106963329E-3</v>
      </c>
      <c r="D102">
        <f>Factors!L104</f>
        <v>-2.7718091963901959E-2</v>
      </c>
      <c r="E102">
        <f>Factors!N104 - Factors!D104</f>
        <v>-2.1120801506882003E-2</v>
      </c>
      <c r="G102" cm="1">
        <f t="array" ref="G102">TREND(B66:B101, C66:E101, C102:E102, TRUE)</f>
        <v>6.6651010896618731E-3</v>
      </c>
      <c r="H102">
        <f t="shared" ref="H102:H121" si="6">B102 - G102</f>
        <v>-3.6040728153707621E-3</v>
      </c>
      <c r="I102">
        <f t="shared" ref="I102:I121" si="7">IF(OR(YEAR(A102)=2008, YEAR(A102)=2009), "", H102)</f>
        <v>-3.6040728153707621E-3</v>
      </c>
      <c r="J102">
        <f t="shared" ref="J102:J121" si="8">IF(OR(YEAR(A102)=2008, YEAR(A102)=2009), "", B102)</f>
        <v>3.061028274291111E-3</v>
      </c>
    </row>
    <row r="103" spans="1:10" x14ac:dyDescent="0.2">
      <c r="A103" s="3">
        <f>Data!A103</f>
        <v>41089</v>
      </c>
      <c r="B103">
        <f>Data!B103 - Factors!AB105</f>
        <v>1.1069722694583284E-3</v>
      </c>
      <c r="C103">
        <f>Factors!D105</f>
        <v>3.9203560345879573E-4</v>
      </c>
      <c r="D103">
        <f>Factors!L105</f>
        <v>3.5682107947301311E-2</v>
      </c>
      <c r="E103">
        <f>Factors!N105 - Factors!D105</f>
        <v>1.9945433562910786E-2</v>
      </c>
      <c r="G103" cm="1">
        <f t="array" ref="G103">TREND(B67:B102, C67:E102, C103:E103, TRUE)</f>
        <v>1.7830005202507521E-3</v>
      </c>
      <c r="H103">
        <f t="shared" si="6"/>
        <v>-6.7602825079242368E-4</v>
      </c>
      <c r="I103">
        <f t="shared" si="7"/>
        <v>-6.7602825079242368E-4</v>
      </c>
      <c r="J103">
        <f t="shared" si="8"/>
        <v>1.1069722694583284E-3</v>
      </c>
    </row>
    <row r="104" spans="1:10" x14ac:dyDescent="0.2">
      <c r="A104" s="3">
        <f>Data!A104</f>
        <v>41121</v>
      </c>
      <c r="B104">
        <f>Data!B104 - Factors!AB106</f>
        <v>7.9823348472947142E-3</v>
      </c>
      <c r="C104">
        <f>Factors!D106</f>
        <v>1.3793141513547491E-2</v>
      </c>
      <c r="D104">
        <f>Factors!L106</f>
        <v>4.0033484341146286E-2</v>
      </c>
      <c r="E104">
        <f>Factors!N106 - Factors!D106</f>
        <v>5.3701592913111273E-3</v>
      </c>
      <c r="G104" cm="1">
        <f t="array" ref="G104">TREND(B68:B103, C68:E103, C104:E104, TRUE)</f>
        <v>1.0200250460833142E-2</v>
      </c>
      <c r="H104">
        <f t="shared" si="6"/>
        <v>-2.2179156135384275E-3</v>
      </c>
      <c r="I104">
        <f t="shared" si="7"/>
        <v>-2.2179156135384275E-3</v>
      </c>
      <c r="J104">
        <f t="shared" si="8"/>
        <v>7.9823348472947142E-3</v>
      </c>
    </row>
    <row r="105" spans="1:10" x14ac:dyDescent="0.2">
      <c r="A105" s="3">
        <f>Data!A105</f>
        <v>41152</v>
      </c>
      <c r="B105">
        <f>Data!B105 - Factors!AB107</f>
        <v>1.0751396775179334E-3</v>
      </c>
      <c r="C105">
        <f>Factors!D107</f>
        <v>6.5332433197595741E-4</v>
      </c>
      <c r="D105">
        <f>Factors!L107</f>
        <v>1.1599829553524899E-2</v>
      </c>
      <c r="E105">
        <f>Factors!N107 - Factors!D107</f>
        <v>1.1405056120052048E-2</v>
      </c>
      <c r="G105" cm="1">
        <f t="array" ref="G105">TREND(B69:B104, C69:E104, C105:E105, TRUE)</f>
        <v>1.2516577248860216E-3</v>
      </c>
      <c r="H105">
        <f t="shared" si="6"/>
        <v>-1.7651804736808826E-4</v>
      </c>
      <c r="I105">
        <f t="shared" si="7"/>
        <v>-1.7651804736808826E-4</v>
      </c>
      <c r="J105">
        <f t="shared" si="8"/>
        <v>1.0751396775179334E-3</v>
      </c>
    </row>
    <row r="106" spans="1:10" x14ac:dyDescent="0.2">
      <c r="A106" s="3">
        <f>Data!A106</f>
        <v>41180</v>
      </c>
      <c r="B106">
        <f>Data!B106 - Factors!AB108</f>
        <v>1.9724782509262795E-3</v>
      </c>
      <c r="C106">
        <f>Factors!D108</f>
        <v>1.3765261485561009E-3</v>
      </c>
      <c r="D106">
        <f>Factors!L108</f>
        <v>1.4727448594339831E-2</v>
      </c>
      <c r="E106">
        <f>Factors!N108 - Factors!D108</f>
        <v>1.2866596344935699E-2</v>
      </c>
      <c r="G106" cm="1">
        <f t="array" ref="G106">TREND(B70:B105, C70:E105, C106:E106, TRUE)</f>
        <v>1.7104367426235348E-3</v>
      </c>
      <c r="H106">
        <f t="shared" si="6"/>
        <v>2.620415083027447E-4</v>
      </c>
      <c r="I106">
        <f t="shared" si="7"/>
        <v>2.620415083027447E-4</v>
      </c>
      <c r="J106">
        <f t="shared" si="8"/>
        <v>1.9724782509262795E-3</v>
      </c>
    </row>
    <row r="107" spans="1:10" x14ac:dyDescent="0.2">
      <c r="A107" s="3">
        <f>Data!A107</f>
        <v>41213</v>
      </c>
      <c r="B107">
        <f>Data!B107 - Factors!AB109</f>
        <v>-1.7269326068826141E-3</v>
      </c>
      <c r="C107">
        <f>Factors!D109</f>
        <v>1.9668675189759011E-3</v>
      </c>
      <c r="D107">
        <f>Factors!L109</f>
        <v>8.1639555979213796E-3</v>
      </c>
      <c r="E107">
        <f>Factors!N109 - Factors!D109</f>
        <v>6.2805842146256285E-3</v>
      </c>
      <c r="G107" cm="1">
        <f t="array" ref="G107">TREND(B71:B106, C71:E106, C107:E107, TRUE)</f>
        <v>2.128251018007136E-3</v>
      </c>
      <c r="H107">
        <f t="shared" si="6"/>
        <v>-3.8551836248897501E-3</v>
      </c>
      <c r="I107">
        <f t="shared" si="7"/>
        <v>-3.8551836248897501E-3</v>
      </c>
      <c r="J107">
        <f t="shared" si="8"/>
        <v>-1.7269326068826141E-3</v>
      </c>
    </row>
    <row r="108" spans="1:10" x14ac:dyDescent="0.2">
      <c r="A108" s="3">
        <f>Data!A108</f>
        <v>41243</v>
      </c>
      <c r="B108">
        <f>Data!B108 - Factors!AB110</f>
        <v>-1.8242953577762844E-3</v>
      </c>
      <c r="C108">
        <f>Factors!D110</f>
        <v>1.5779969741502864E-3</v>
      </c>
      <c r="D108">
        <f>Factors!L110</f>
        <v>1.5524682415018365E-2</v>
      </c>
      <c r="E108">
        <f>Factors!N110 - Factors!D110</f>
        <v>5.8451617760928443E-3</v>
      </c>
      <c r="G108" cm="1">
        <f t="array" ref="G108">TREND(B72:B107, C72:E107, C108:E108, TRUE)</f>
        <v>1.974025044101521E-3</v>
      </c>
      <c r="H108">
        <f t="shared" si="6"/>
        <v>-3.7983204018778053E-3</v>
      </c>
      <c r="I108">
        <f t="shared" si="7"/>
        <v>-3.7983204018778053E-3</v>
      </c>
      <c r="J108">
        <f t="shared" si="8"/>
        <v>-1.8242953577762844E-3</v>
      </c>
    </row>
    <row r="109" spans="1:10" x14ac:dyDescent="0.2">
      <c r="A109" s="3">
        <f>Data!A109</f>
        <v>41274</v>
      </c>
      <c r="B109">
        <f>Data!B109 - Factors!AB111</f>
        <v>1.262618276944627E-3</v>
      </c>
      <c r="C109">
        <f>Factors!D111</f>
        <v>-1.4239152797478338E-3</v>
      </c>
      <c r="D109">
        <f>Factors!L111</f>
        <v>9.2955504497604924E-3</v>
      </c>
      <c r="E109">
        <f>Factors!N111 - Factors!D111</f>
        <v>1.7282381060420682E-2</v>
      </c>
      <c r="G109" cm="1">
        <f t="array" ref="G109">TREND(B73:B108, C73:E108, C109:E109, TRUE)</f>
        <v>-6.7702958689844824E-4</v>
      </c>
      <c r="H109">
        <f t="shared" si="6"/>
        <v>1.9396478638430753E-3</v>
      </c>
      <c r="I109">
        <f t="shared" si="7"/>
        <v>1.9396478638430753E-3</v>
      </c>
      <c r="J109">
        <f t="shared" si="8"/>
        <v>1.262618276944627E-3</v>
      </c>
    </row>
    <row r="110" spans="1:10" x14ac:dyDescent="0.2">
      <c r="A110" s="3">
        <f>Data!A110</f>
        <v>41305</v>
      </c>
      <c r="B110">
        <f>Data!B110 - Factors!AB112</f>
        <v>-5.0028944559219468E-3</v>
      </c>
      <c r="C110">
        <f>Factors!D112</f>
        <v>-6.9941823583949958E-3</v>
      </c>
      <c r="D110">
        <f>Factors!L112</f>
        <v>-1.4224073798541959E-2</v>
      </c>
      <c r="E110">
        <f>Factors!N112 - Factors!D112</f>
        <v>2.0752070007389767E-2</v>
      </c>
      <c r="G110" cm="1">
        <f t="array" ref="G110">TREND(B74:B109, C74:E109, C110:E110, TRUE)</f>
        <v>-3.8280206587306791E-3</v>
      </c>
      <c r="H110">
        <f t="shared" si="6"/>
        <v>-1.1748737971912677E-3</v>
      </c>
      <c r="I110">
        <f t="shared" si="7"/>
        <v>-1.1748737971912677E-3</v>
      </c>
      <c r="J110">
        <f t="shared" si="8"/>
        <v>-5.0028944559219468E-3</v>
      </c>
    </row>
    <row r="111" spans="1:10" x14ac:dyDescent="0.2">
      <c r="A111" s="3">
        <f>Data!A111</f>
        <v>41333</v>
      </c>
      <c r="B111">
        <f>Data!B111 - Factors!AB113</f>
        <v>3.3893962604549799E-3</v>
      </c>
      <c r="C111">
        <f>Factors!D113</f>
        <v>5.0123123795380309E-3</v>
      </c>
      <c r="D111">
        <f>Factors!L113</f>
        <v>-1.4187822622029334E-3</v>
      </c>
      <c r="E111">
        <f>Factors!N113 - Factors!D113</f>
        <v>-3.8462083704327021E-4</v>
      </c>
      <c r="G111" cm="1">
        <f t="array" ref="G111">TREND(B75:B110, C75:E110, C111:E111, TRUE)</f>
        <v>3.3437955944061815E-3</v>
      </c>
      <c r="H111">
        <f t="shared" si="6"/>
        <v>4.5600666048798387E-5</v>
      </c>
      <c r="I111">
        <f t="shared" si="7"/>
        <v>4.5600666048798387E-5</v>
      </c>
      <c r="J111">
        <f t="shared" si="8"/>
        <v>3.3893962604549799E-3</v>
      </c>
    </row>
    <row r="112" spans="1:10" x14ac:dyDescent="0.2">
      <c r="A112" s="3">
        <f>Data!A112</f>
        <v>41362</v>
      </c>
      <c r="B112">
        <f>Data!B112 - Factors!AB114</f>
        <v>1.0087753106446939E-3</v>
      </c>
      <c r="C112">
        <f>Factors!D114</f>
        <v>7.9862224081450606E-4</v>
      </c>
      <c r="D112">
        <f>Factors!L114</f>
        <v>-7.5272067714631241E-3</v>
      </c>
      <c r="E112">
        <f>Factors!N114 - Factors!D114</f>
        <v>9.5074448476391016E-3</v>
      </c>
      <c r="G112" cm="1">
        <f t="array" ref="G112">TREND(B76:B111, C76:E111, C112:E112, TRUE)</f>
        <v>5.4128417716947153E-4</v>
      </c>
      <c r="H112">
        <f t="shared" si="6"/>
        <v>4.6749113347522241E-4</v>
      </c>
      <c r="I112">
        <f t="shared" si="7"/>
        <v>4.6749113347522241E-4</v>
      </c>
      <c r="J112">
        <f t="shared" si="8"/>
        <v>1.0087753106446939E-3</v>
      </c>
    </row>
    <row r="113" spans="1:10" x14ac:dyDescent="0.2">
      <c r="A113" s="3">
        <f>Data!A113</f>
        <v>41394</v>
      </c>
      <c r="B113">
        <f>Data!B113 - Factors!AB115</f>
        <v>5.2666606422180351E-3</v>
      </c>
      <c r="C113">
        <f>Factors!D115</f>
        <v>1.0118666333720494E-2</v>
      </c>
      <c r="D113">
        <f>Factors!L115</f>
        <v>2.8342115683348101E-2</v>
      </c>
      <c r="E113">
        <f>Factors!N115 - Factors!D115</f>
        <v>8.4516917403525404E-3</v>
      </c>
      <c r="G113" cm="1">
        <f t="array" ref="G113">TREND(B77:B112, C77:E112, C113:E113, TRUE)</f>
        <v>6.6766944604312716E-3</v>
      </c>
      <c r="H113">
        <f t="shared" si="6"/>
        <v>-1.4100338182132365E-3</v>
      </c>
      <c r="I113">
        <f t="shared" si="7"/>
        <v>-1.4100338182132365E-3</v>
      </c>
      <c r="J113">
        <f t="shared" si="8"/>
        <v>5.2666606422180351E-3</v>
      </c>
    </row>
    <row r="114" spans="1:10" x14ac:dyDescent="0.2">
      <c r="A114" s="3">
        <f>Data!A114</f>
        <v>41425</v>
      </c>
      <c r="B114">
        <f>Data!B114 - Factors!AB116</f>
        <v>-1.5384718455849433E-2</v>
      </c>
      <c r="C114">
        <f>Factors!D116</f>
        <v>-1.7841980244843625E-2</v>
      </c>
      <c r="D114">
        <f>Factors!L116</f>
        <v>-3.8105534410497244E-2</v>
      </c>
      <c r="E114">
        <f>Factors!N116 - Factors!D116</f>
        <v>1.2532811630379226E-2</v>
      </c>
      <c r="G114" cm="1">
        <f t="array" ref="G114">TREND(B78:B113, C78:E113, C114:E114, TRUE)</f>
        <v>-9.7214821772806138E-3</v>
      </c>
      <c r="H114">
        <f t="shared" si="6"/>
        <v>-5.6632362785688194E-3</v>
      </c>
      <c r="I114">
        <f t="shared" si="7"/>
        <v>-5.6632362785688194E-3</v>
      </c>
      <c r="J114">
        <f t="shared" si="8"/>
        <v>-1.5384718455849433E-2</v>
      </c>
    </row>
    <row r="115" spans="1:10" x14ac:dyDescent="0.2">
      <c r="A115" s="3">
        <f>Data!A115</f>
        <v>41453</v>
      </c>
      <c r="B115">
        <f>Data!B115 - Factors!AB117</f>
        <v>-9.6187393654423303E-3</v>
      </c>
      <c r="C115">
        <f>Factors!D117</f>
        <v>-1.546854310071244E-2</v>
      </c>
      <c r="D115">
        <f>Factors!L117</f>
        <v>-5.0315627405696617E-2</v>
      </c>
      <c r="E115">
        <f>Factors!N117 - Factors!D117</f>
        <v>-1.0891503291356908E-2</v>
      </c>
      <c r="G115" cm="1">
        <f t="array" ref="G115">TREND(B79:B114, C79:E114, C115:E115, TRUE)</f>
        <v>-9.8878892370142975E-3</v>
      </c>
      <c r="H115">
        <f t="shared" si="6"/>
        <v>2.6914987157196715E-4</v>
      </c>
      <c r="I115">
        <f t="shared" si="7"/>
        <v>2.6914987157196715E-4</v>
      </c>
      <c r="J115">
        <f t="shared" si="8"/>
        <v>-9.6187393654423303E-3</v>
      </c>
    </row>
    <row r="116" spans="1:10" x14ac:dyDescent="0.2">
      <c r="A116" s="3">
        <f>Data!A116</f>
        <v>41486</v>
      </c>
      <c r="B116">
        <f>Data!B116 - Factors!AB118</f>
        <v>-9.5173428881822897E-4</v>
      </c>
      <c r="C116">
        <f>Factors!D118</f>
        <v>1.3671907564567487E-3</v>
      </c>
      <c r="D116">
        <f>Factors!L118</f>
        <v>9.5003404558864357E-3</v>
      </c>
      <c r="E116">
        <f>Factors!N118 - Factors!D118</f>
        <v>1.7438481889677782E-2</v>
      </c>
      <c r="G116" cm="1">
        <f t="array" ref="G116">TREND(B80:B115, C80:E115, C116:E116, TRUE)</f>
        <v>8.898477769563643E-4</v>
      </c>
      <c r="H116">
        <f t="shared" si="6"/>
        <v>-1.8415820657745933E-3</v>
      </c>
      <c r="I116">
        <f t="shared" si="7"/>
        <v>-1.8415820657745933E-3</v>
      </c>
      <c r="J116">
        <f t="shared" si="8"/>
        <v>-9.5173428881822897E-4</v>
      </c>
    </row>
    <row r="117" spans="1:10" x14ac:dyDescent="0.2">
      <c r="A117" s="3">
        <f>Data!A117</f>
        <v>41516</v>
      </c>
      <c r="B117">
        <f>Data!B117 - Factors!AB119</f>
        <v>-2.9108264612999202E-3</v>
      </c>
      <c r="C117">
        <f>Factors!D119</f>
        <v>-5.1116402204499645E-3</v>
      </c>
      <c r="D117">
        <f>Factors!L119</f>
        <v>-2.6803494571850606E-2</v>
      </c>
      <c r="E117">
        <f>Factors!N119 - Factors!D119</f>
        <v>-1.0889526147366269E-3</v>
      </c>
      <c r="G117" cm="1">
        <f t="array" ref="G117">TREND(B81:B116, C81:E116, C117:E117, TRUE)</f>
        <v>-3.6085035225364337E-3</v>
      </c>
      <c r="H117">
        <f t="shared" si="6"/>
        <v>6.9767706123651354E-4</v>
      </c>
      <c r="I117">
        <f t="shared" si="7"/>
        <v>6.9767706123651354E-4</v>
      </c>
      <c r="J117">
        <f t="shared" si="8"/>
        <v>-2.9108264612999202E-3</v>
      </c>
    </row>
    <row r="118" spans="1:10" x14ac:dyDescent="0.2">
      <c r="A118" s="3">
        <f>Data!A118</f>
        <v>41547</v>
      </c>
      <c r="B118">
        <f>Data!B118 - Factors!AB120</f>
        <v>1.4079143500636437E-2</v>
      </c>
      <c r="C118">
        <f>Factors!D120</f>
        <v>9.4669076627840187E-3</v>
      </c>
      <c r="D118">
        <f>Factors!L120</f>
        <v>2.6700110562880575E-2</v>
      </c>
      <c r="E118">
        <f>Factors!N120 - Factors!D120</f>
        <v>4.4704669561479449E-4</v>
      </c>
      <c r="G118" cm="1">
        <f t="array" ref="G118">TREND(B82:B117, C82:E117, C118:E118, TRUE)</f>
        <v>7.140661401385702E-3</v>
      </c>
      <c r="H118">
        <f t="shared" si="6"/>
        <v>6.9384820992507354E-3</v>
      </c>
      <c r="I118">
        <f t="shared" si="7"/>
        <v>6.9384820992507354E-3</v>
      </c>
      <c r="J118">
        <f t="shared" si="8"/>
        <v>1.4079143500636437E-2</v>
      </c>
    </row>
    <row r="119" spans="1:10" x14ac:dyDescent="0.2">
      <c r="A119" s="3">
        <f>Data!A119</f>
        <v>41578</v>
      </c>
      <c r="B119">
        <f>Data!B119 - Factors!AB121</f>
        <v>6.8130854157055776E-3</v>
      </c>
      <c r="C119">
        <f>Factors!D121</f>
        <v>8.0849723408842333E-3</v>
      </c>
      <c r="D119">
        <f>Factors!L121</f>
        <v>2.6696883488435574E-2</v>
      </c>
      <c r="E119">
        <f>Factors!N121 - Factors!D121</f>
        <v>1.6497600631038223E-2</v>
      </c>
      <c r="G119" cm="1">
        <f t="array" ref="G119">TREND(B83:B118, C83:E118, C119:E119, TRUE)</f>
        <v>6.035919153834713E-3</v>
      </c>
      <c r="H119">
        <f t="shared" si="6"/>
        <v>7.7716626187086454E-4</v>
      </c>
      <c r="I119">
        <f t="shared" si="7"/>
        <v>7.7716626187086454E-4</v>
      </c>
      <c r="J119">
        <f t="shared" si="8"/>
        <v>6.8130854157055776E-3</v>
      </c>
    </row>
    <row r="120" spans="1:10" x14ac:dyDescent="0.2">
      <c r="A120" s="3">
        <f>Data!A120</f>
        <v>41607</v>
      </c>
      <c r="B120">
        <f>Data!B120 - Factors!AB122</f>
        <v>-6.2755450602751672E-3</v>
      </c>
      <c r="C120">
        <f>Factors!D122</f>
        <v>-3.7441891062188759E-3</v>
      </c>
      <c r="D120">
        <f>Factors!L122</f>
        <v>-2.2793450014089278E-2</v>
      </c>
      <c r="E120">
        <f>Factors!N122 - Factors!D122</f>
        <v>8.394961353713537E-3</v>
      </c>
      <c r="G120" cm="1">
        <f t="array" ref="G120">TREND(B84:B119, C84:E119, C120:E120, TRUE)</f>
        <v>-3.5131798237988919E-3</v>
      </c>
      <c r="H120">
        <f t="shared" si="6"/>
        <v>-2.7623652364762753E-3</v>
      </c>
      <c r="I120">
        <f t="shared" si="7"/>
        <v>-2.7623652364762753E-3</v>
      </c>
      <c r="J120">
        <f t="shared" si="8"/>
        <v>-6.2755450602751672E-3</v>
      </c>
    </row>
    <row r="121" spans="1:10" x14ac:dyDescent="0.2">
      <c r="A121" s="3">
        <f>Data!A121</f>
        <v>41639</v>
      </c>
      <c r="B121">
        <f>Data!B121 - Factors!AB123</f>
        <v>-4.7703470676940807E-3</v>
      </c>
      <c r="C121">
        <f>Factors!D123</f>
        <v>-5.6511475626330743E-3</v>
      </c>
      <c r="D121">
        <f>Factors!L123</f>
        <v>5.831277434237947E-3</v>
      </c>
      <c r="E121">
        <f>Factors!N123 - Factors!D123</f>
        <v>1.1130920190908222E-2</v>
      </c>
      <c r="G121" cm="1">
        <f t="array" ref="G121">TREND(B85:B120, C85:E120, C121:E121, TRUE)</f>
        <v>-2.4758450282559457E-3</v>
      </c>
      <c r="H121">
        <f t="shared" si="6"/>
        <v>-2.294502039438135E-3</v>
      </c>
      <c r="I121">
        <f t="shared" si="7"/>
        <v>-2.294502039438135E-3</v>
      </c>
      <c r="J121">
        <f t="shared" si="8"/>
        <v>-4.7703470676940807E-3</v>
      </c>
    </row>
    <row r="122" spans="1:10" x14ac:dyDescent="0.2">
      <c r="A122" s="3"/>
    </row>
    <row r="123" spans="1:10" x14ac:dyDescent="0.2">
      <c r="A123" s="3"/>
    </row>
    <row r="124" spans="1:10" x14ac:dyDescent="0.2">
      <c r="A124" s="3"/>
    </row>
  </sheetData>
  <mergeCells count="2">
    <mergeCell ref="G37:J37"/>
    <mergeCell ref="N8:O8"/>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EB986-8E78-4C6C-83CC-EBB74A25F6C2}">
  <sheetPr>
    <tabColor theme="9" tint="0.59999389629810485"/>
  </sheetPr>
  <dimension ref="A1:E121"/>
  <sheetViews>
    <sheetView workbookViewId="0"/>
  </sheetViews>
  <sheetFormatPr baseColWidth="10" defaultColWidth="8.83203125" defaultRowHeight="15" x14ac:dyDescent="0.2"/>
  <cols>
    <col min="2" max="2" width="13.1640625" bestFit="1" customWidth="1"/>
    <col min="3" max="3" width="12.83203125" bestFit="1" customWidth="1"/>
    <col min="4" max="5" width="13.1640625" bestFit="1" customWidth="1"/>
  </cols>
  <sheetData>
    <row r="1" spans="1:5" x14ac:dyDescent="0.2">
      <c r="A1" t="s">
        <v>65</v>
      </c>
      <c r="B1" t="s">
        <v>140</v>
      </c>
      <c r="C1" t="s">
        <v>141</v>
      </c>
      <c r="D1" t="s">
        <v>142</v>
      </c>
      <c r="E1" t="s">
        <v>143</v>
      </c>
    </row>
    <row r="38" spans="1:5" x14ac:dyDescent="0.2">
      <c r="A38" s="3">
        <f>'A1'!A38</f>
        <v>39113</v>
      </c>
      <c r="B38">
        <f>INDEX(LINEST('A1'!B2:B37, 'A1'!C2:E37, TRUE, FALSE), 1, 3)</f>
        <v>0.6853260187516903</v>
      </c>
      <c r="C38">
        <f>INDEX(LINEST('A1'!B2:B37, 'A1'!C2:E37, TRUE, FALSE), 1, 2)</f>
        <v>3.8243691566900981E-2</v>
      </c>
      <c r="D38">
        <f>INDEX(LINEST('A1'!B2:B37, 'A1'!C2:E37, TRUE, FALSE), 1, 1)</f>
        <v>-6.9555604298111272E-3</v>
      </c>
      <c r="E38">
        <f>INDEX(LINEST('A1'!B2:B37, 'A1'!C2:E37, TRUE, FALSE), 1, 4)</f>
        <v>-1.4442260035204238E-3</v>
      </c>
    </row>
    <row r="39" spans="1:5" x14ac:dyDescent="0.2">
      <c r="A39" s="3">
        <f>'A1'!A39</f>
        <v>39141</v>
      </c>
      <c r="B39">
        <f>INDEX(LINEST('A1'!B3:B38, 'A1'!C3:E38, TRUE, FALSE), 1, 3)</f>
        <v>0.66227709283580694</v>
      </c>
      <c r="C39">
        <f>INDEX(LINEST('A1'!B3:B38, 'A1'!C3:E38, TRUE, FALSE), 1, 2)</f>
        <v>4.8587032135177427E-2</v>
      </c>
      <c r="D39">
        <f>INDEX(LINEST('A1'!B3:B38, 'A1'!C3:E38, TRUE, FALSE), 1, 1)</f>
        <v>-1.77785072140196E-2</v>
      </c>
      <c r="E39">
        <f>INDEX(LINEST('A1'!B3:B38, 'A1'!C3:E38, TRUE, FALSE), 1, 4)</f>
        <v>-1.50598806098003E-3</v>
      </c>
    </row>
    <row r="40" spans="1:5" x14ac:dyDescent="0.2">
      <c r="A40" s="3">
        <f>'A1'!A40</f>
        <v>39171</v>
      </c>
      <c r="B40">
        <f>INDEX(LINEST('A1'!B4:B39, 'A1'!C4:E39, TRUE, FALSE), 1, 3)</f>
        <v>0.63974459559047836</v>
      </c>
      <c r="C40">
        <f>INDEX(LINEST('A1'!B4:B39, 'A1'!C4:E39, TRUE, FALSE), 1, 2)</f>
        <v>5.7800696276147034E-2</v>
      </c>
      <c r="D40">
        <f>INDEX(LINEST('A1'!B4:B39, 'A1'!C4:E39, TRUE, FALSE), 1, 1)</f>
        <v>-1.6907032343771857E-2</v>
      </c>
      <c r="E40">
        <f>INDEX(LINEST('A1'!B4:B39, 'A1'!C4:E39, TRUE, FALSE), 1, 4)</f>
        <v>-1.5986792946810617E-3</v>
      </c>
    </row>
    <row r="41" spans="1:5" x14ac:dyDescent="0.2">
      <c r="A41" s="3">
        <f>'A1'!A41</f>
        <v>39202</v>
      </c>
      <c r="B41">
        <f>INDEX(LINEST('A1'!B5:B40, 'A1'!C5:E40, TRUE, FALSE), 1, 3)</f>
        <v>0.63918839620634482</v>
      </c>
      <c r="C41">
        <f>INDEX(LINEST('A1'!B5:B40, 'A1'!C5:E40, TRUE, FALSE), 1, 2)</f>
        <v>5.9304309018066624E-2</v>
      </c>
      <c r="D41">
        <f>INDEX(LINEST('A1'!B5:B40, 'A1'!C5:E40, TRUE, FALSE), 1, 1)</f>
        <v>-1.7769361998465245E-2</v>
      </c>
      <c r="E41">
        <f>INDEX(LINEST('A1'!B5:B40, 'A1'!C5:E40, TRUE, FALSE), 1, 4)</f>
        <v>-1.5988953776121502E-3</v>
      </c>
    </row>
    <row r="42" spans="1:5" x14ac:dyDescent="0.2">
      <c r="A42" s="3">
        <f>'A1'!A42</f>
        <v>39233</v>
      </c>
      <c r="B42">
        <f>INDEX(LINEST('A1'!B6:B41, 'A1'!C6:E41, TRUE, FALSE), 1, 3)</f>
        <v>0.62988822040152304</v>
      </c>
      <c r="C42">
        <f>INDEX(LINEST('A1'!B6:B41, 'A1'!C6:E41, TRUE, FALSE), 1, 2)</f>
        <v>8.8573026283157025E-2</v>
      </c>
      <c r="D42">
        <f>INDEX(LINEST('A1'!B6:B41, 'A1'!C6:E41, TRUE, FALSE), 1, 1)</f>
        <v>-3.6582578151167354E-2</v>
      </c>
      <c r="E42">
        <f>INDEX(LINEST('A1'!B6:B41, 'A1'!C6:E41, TRUE, FALSE), 1, 4)</f>
        <v>-1.9245950540707009E-3</v>
      </c>
    </row>
    <row r="43" spans="1:5" x14ac:dyDescent="0.2">
      <c r="A43" s="3">
        <f>'A1'!A43</f>
        <v>39262</v>
      </c>
      <c r="B43">
        <f>INDEX(LINEST('A1'!B7:B42, 'A1'!C7:E42, TRUE, FALSE), 1, 3)</f>
        <v>0.64672943826867335</v>
      </c>
      <c r="C43">
        <f>INDEX(LINEST('A1'!B7:B42, 'A1'!C7:E42, TRUE, FALSE), 1, 2)</f>
        <v>9.4060067739989456E-2</v>
      </c>
      <c r="D43">
        <f>INDEX(LINEST('A1'!B7:B42, 'A1'!C7:E42, TRUE, FALSE), 1, 1)</f>
        <v>-2.6764632909668878E-2</v>
      </c>
      <c r="E43">
        <f>INDEX(LINEST('A1'!B7:B42, 'A1'!C7:E42, TRUE, FALSE), 1, 4)</f>
        <v>-2.2187332577366554E-3</v>
      </c>
    </row>
    <row r="44" spans="1:5" x14ac:dyDescent="0.2">
      <c r="A44" s="3">
        <f>'A1'!A44</f>
        <v>39294</v>
      </c>
      <c r="B44">
        <f>INDEX(LINEST('A1'!B8:B43, 'A1'!C8:E43, TRUE, FALSE), 1, 3)</f>
        <v>0.63476133323402095</v>
      </c>
      <c r="C44">
        <f>INDEX(LINEST('A1'!B8:B43, 'A1'!C8:E43, TRUE, FALSE), 1, 2)</f>
        <v>0.10398269891780983</v>
      </c>
      <c r="D44">
        <f>INDEX(LINEST('A1'!B8:B43, 'A1'!C8:E43, TRUE, FALSE), 1, 1)</f>
        <v>-2.611742850201328E-2</v>
      </c>
      <c r="E44">
        <f>INDEX(LINEST('A1'!B8:B43, 'A1'!C8:E43, TRUE, FALSE), 1, 4)</f>
        <v>-2.5062531740753244E-3</v>
      </c>
    </row>
    <row r="45" spans="1:5" x14ac:dyDescent="0.2">
      <c r="A45" s="3">
        <f>'A1'!A45</f>
        <v>39325</v>
      </c>
      <c r="B45">
        <f>INDEX(LINEST('A1'!B9:B44, 'A1'!C9:E44, TRUE, FALSE), 1, 3)</f>
        <v>0.63709574516209233</v>
      </c>
      <c r="C45">
        <f>INDEX(LINEST('A1'!B9:B44, 'A1'!C9:E44, TRUE, FALSE), 1, 2)</f>
        <v>9.9955625064614584E-2</v>
      </c>
      <c r="D45">
        <f>INDEX(LINEST('A1'!B9:B44, 'A1'!C9:E44, TRUE, FALSE), 1, 1)</f>
        <v>-2.5565891278364099E-2</v>
      </c>
      <c r="E45">
        <f>INDEX(LINEST('A1'!B9:B44, 'A1'!C9:E44, TRUE, FALSE), 1, 4)</f>
        <v>-2.5125613958378451E-3</v>
      </c>
    </row>
    <row r="46" spans="1:5" x14ac:dyDescent="0.2">
      <c r="A46" s="3">
        <f>'A1'!A46</f>
        <v>39353</v>
      </c>
      <c r="B46">
        <f>INDEX(LINEST('A1'!B10:B45, 'A1'!C10:E45, TRUE, FALSE), 1, 3)</f>
        <v>0.63836422903573198</v>
      </c>
      <c r="C46">
        <f>INDEX(LINEST('A1'!B10:B45, 'A1'!C10:E45, TRUE, FALSE), 1, 2)</f>
        <v>9.7155286608391511E-2</v>
      </c>
      <c r="D46">
        <f>INDEX(LINEST('A1'!B10:B45, 'A1'!C10:E45, TRUE, FALSE), 1, 1)</f>
        <v>-2.4605143396446934E-2</v>
      </c>
      <c r="E46">
        <f>INDEX(LINEST('A1'!B10:B45, 'A1'!C10:E45, TRUE, FALSE), 1, 4)</f>
        <v>-2.5040313969724396E-3</v>
      </c>
    </row>
    <row r="47" spans="1:5" x14ac:dyDescent="0.2">
      <c r="A47" s="3">
        <f>'A1'!A47</f>
        <v>39386</v>
      </c>
      <c r="B47">
        <f>INDEX(LINEST('A1'!B11:B46, 'A1'!C11:E46, TRUE, FALSE), 1, 3)</f>
        <v>0.63803677181919971</v>
      </c>
      <c r="C47">
        <f>INDEX(LINEST('A1'!B11:B46, 'A1'!C11:E46, TRUE, FALSE), 1, 2)</f>
        <v>9.759953264449106E-2</v>
      </c>
      <c r="D47">
        <f>INDEX(LINEST('A1'!B11:B46, 'A1'!C11:E46, TRUE, FALSE), 1, 1)</f>
        <v>-2.4321618477110202E-2</v>
      </c>
      <c r="E47">
        <f>INDEX(LINEST('A1'!B11:B46, 'A1'!C11:E46, TRUE, FALSE), 1, 4)</f>
        <v>-2.4989626078867986E-3</v>
      </c>
    </row>
    <row r="48" spans="1:5" x14ac:dyDescent="0.2">
      <c r="A48" s="3">
        <f>'A1'!A48</f>
        <v>39416</v>
      </c>
      <c r="B48">
        <f>INDEX(LINEST('A1'!B12:B47, 'A1'!C12:E47, TRUE, FALSE), 1, 3)</f>
        <v>0.61776749262396013</v>
      </c>
      <c r="C48">
        <f>INDEX(LINEST('A1'!B12:B47, 'A1'!C12:E47, TRUE, FALSE), 1, 2)</f>
        <v>0.10641114122905646</v>
      </c>
      <c r="D48">
        <f>INDEX(LINEST('A1'!B12:B47, 'A1'!C12:E47, TRUE, FALSE), 1, 1)</f>
        <v>-3.564051791661775E-2</v>
      </c>
      <c r="E48">
        <f>INDEX(LINEST('A1'!B12:B47, 'A1'!C12:E47, TRUE, FALSE), 1, 4)</f>
        <v>-2.5106700450430201E-3</v>
      </c>
    </row>
    <row r="49" spans="1:5" x14ac:dyDescent="0.2">
      <c r="A49" s="3">
        <f>'A1'!A49</f>
        <v>39447</v>
      </c>
      <c r="B49">
        <f>INDEX(LINEST('A1'!B13:B48, 'A1'!C13:E48, TRUE, FALSE), 1, 3)</f>
        <v>0.67459243502901878</v>
      </c>
      <c r="C49">
        <f>INDEX(LINEST('A1'!B13:B48, 'A1'!C13:E48, TRUE, FALSE), 1, 2)</f>
        <v>8.5149788913415445E-2</v>
      </c>
      <c r="D49">
        <f>INDEX(LINEST('A1'!B13:B48, 'A1'!C13:E48, TRUE, FALSE), 1, 1)</f>
        <v>-4.656043709084641E-2</v>
      </c>
      <c r="E49">
        <f>INDEX(LINEST('A1'!B13:B48, 'A1'!C13:E48, TRUE, FALSE), 1, 4)</f>
        <v>-2.5433767554372288E-3</v>
      </c>
    </row>
    <row r="50" spans="1:5" x14ac:dyDescent="0.2">
      <c r="A50" s="3">
        <f>'A1'!A50</f>
        <v>39478</v>
      </c>
      <c r="B50">
        <f>INDEX(LINEST('A1'!B14:B49, 'A1'!C14:E49, TRUE, FALSE), 1, 3)</f>
        <v>0.67457594545872013</v>
      </c>
      <c r="C50">
        <f>INDEX(LINEST('A1'!B14:B49, 'A1'!C14:E49, TRUE, FALSE), 1, 2)</f>
        <v>8.6059121470488151E-2</v>
      </c>
      <c r="D50">
        <f>INDEX(LINEST('A1'!B14:B49, 'A1'!C14:E49, TRUE, FALSE), 1, 1)</f>
        <v>-4.6485597919316085E-2</v>
      </c>
      <c r="E50">
        <f>INDEX(LINEST('A1'!B14:B49, 'A1'!C14:E49, TRUE, FALSE), 1, 4)</f>
        <v>-2.5335300527868435E-3</v>
      </c>
    </row>
    <row r="51" spans="1:5" x14ac:dyDescent="0.2">
      <c r="A51" s="3">
        <f>'A1'!A51</f>
        <v>39507</v>
      </c>
      <c r="B51">
        <f>INDEX(LINEST('A1'!B15:B50, 'A1'!C15:E50, TRUE, FALSE), 1, 3)</f>
        <v>0.68471458838711652</v>
      </c>
      <c r="C51">
        <f>INDEX(LINEST('A1'!B15:B50, 'A1'!C15:E50, TRUE, FALSE), 1, 2)</f>
        <v>8.5403424641389294E-2</v>
      </c>
      <c r="D51">
        <f>INDEX(LINEST('A1'!B15:B50, 'A1'!C15:E50, TRUE, FALSE), 1, 1)</f>
        <v>-5.6464823316884981E-2</v>
      </c>
      <c r="E51">
        <f>INDEX(LINEST('A1'!B15:B50, 'A1'!C15:E50, TRUE, FALSE), 1, 4)</f>
        <v>-2.4937447247791586E-3</v>
      </c>
    </row>
    <row r="52" spans="1:5" x14ac:dyDescent="0.2">
      <c r="A52" s="3">
        <f>'A1'!A52</f>
        <v>39538</v>
      </c>
      <c r="B52">
        <f>INDEX(LINEST('A1'!B16:B51, 'A1'!C16:E51, TRUE, FALSE), 1, 3)</f>
        <v>0.68931568651235642</v>
      </c>
      <c r="C52">
        <f>INDEX(LINEST('A1'!B16:B51, 'A1'!C16:E51, TRUE, FALSE), 1, 2)</f>
        <v>8.4339261785187317E-2</v>
      </c>
      <c r="D52">
        <f>INDEX(LINEST('A1'!B16:B51, 'A1'!C16:E51, TRUE, FALSE), 1, 1)</f>
        <v>-5.6991696889738611E-2</v>
      </c>
      <c r="E52">
        <f>INDEX(LINEST('A1'!B16:B51, 'A1'!C16:E51, TRUE, FALSE), 1, 4)</f>
        <v>-2.5359229800905048E-3</v>
      </c>
    </row>
    <row r="53" spans="1:5" x14ac:dyDescent="0.2">
      <c r="A53" s="3">
        <f>'A1'!A53</f>
        <v>39568</v>
      </c>
      <c r="B53">
        <f>INDEX(LINEST('A1'!B17:B52, 'A1'!C17:E52, TRUE, FALSE), 1, 3)</f>
        <v>0.70306156064055714</v>
      </c>
      <c r="C53">
        <f>INDEX(LINEST('A1'!B17:B52, 'A1'!C17:E52, TRUE, FALSE), 1, 2)</f>
        <v>8.874883435689751E-2</v>
      </c>
      <c r="D53">
        <f>INDEX(LINEST('A1'!B17:B52, 'A1'!C17:E52, TRUE, FALSE), 1, 1)</f>
        <v>-4.9077572625179998E-2</v>
      </c>
      <c r="E53">
        <f>INDEX(LINEST('A1'!B17:B52, 'A1'!C17:E52, TRUE, FALSE), 1, 4)</f>
        <v>-2.6174573070529492E-3</v>
      </c>
    </row>
    <row r="54" spans="1:5" x14ac:dyDescent="0.2">
      <c r="A54" s="3">
        <f>'A1'!A54</f>
        <v>39598</v>
      </c>
      <c r="B54">
        <f>INDEX(LINEST('A1'!B18:B53, 'A1'!C18:E53, TRUE, FALSE), 1, 3)</f>
        <v>0.73869051212643988</v>
      </c>
      <c r="C54">
        <f>INDEX(LINEST('A1'!B18:B53, 'A1'!C18:E53, TRUE, FALSE), 1, 2)</f>
        <v>7.4024371495114358E-2</v>
      </c>
      <c r="D54">
        <f>INDEX(LINEST('A1'!B18:B53, 'A1'!C18:E53, TRUE, FALSE), 1, 1)</f>
        <v>-1.564755831272575E-2</v>
      </c>
      <c r="E54">
        <f>INDEX(LINEST('A1'!B18:B53, 'A1'!C18:E53, TRUE, FALSE), 1, 4)</f>
        <v>-2.5387126685876508E-3</v>
      </c>
    </row>
    <row r="55" spans="1:5" x14ac:dyDescent="0.2">
      <c r="A55" s="3">
        <f>'A1'!A55</f>
        <v>39629</v>
      </c>
      <c r="B55">
        <f>INDEX(LINEST('A1'!B19:B54, 'A1'!C19:E54, TRUE, FALSE), 1, 3)</f>
        <v>0.72452610583019961</v>
      </c>
      <c r="C55">
        <f>INDEX(LINEST('A1'!B19:B54, 'A1'!C19:E54, TRUE, FALSE), 1, 2)</f>
        <v>8.4517240896803542E-2</v>
      </c>
      <c r="D55">
        <f>INDEX(LINEST('A1'!B19:B54, 'A1'!C19:E54, TRUE, FALSE), 1, 1)</f>
        <v>-1.6951961681014743E-2</v>
      </c>
      <c r="E55">
        <f>INDEX(LINEST('A1'!B19:B54, 'A1'!C19:E54, TRUE, FALSE), 1, 4)</f>
        <v>-2.4405705353460474E-3</v>
      </c>
    </row>
    <row r="56" spans="1:5" x14ac:dyDescent="0.2">
      <c r="A56" s="3">
        <f>'A1'!A56</f>
        <v>39660</v>
      </c>
      <c r="B56">
        <f>INDEX(LINEST('A1'!B20:B55, 'A1'!C20:E55, TRUE, FALSE), 1, 3)</f>
        <v>0.72101628046499877</v>
      </c>
      <c r="C56">
        <f>INDEX(LINEST('A1'!B20:B55, 'A1'!C20:E55, TRUE, FALSE), 1, 2)</f>
        <v>8.194511262465734E-2</v>
      </c>
      <c r="D56">
        <f>INDEX(LINEST('A1'!B20:B55, 'A1'!C20:E55, TRUE, FALSE), 1, 1)</f>
        <v>-2.0685450120892759E-2</v>
      </c>
      <c r="E56">
        <f>INDEX(LINEST('A1'!B20:B55, 'A1'!C20:E55, TRUE, FALSE), 1, 4)</f>
        <v>-2.3195647215697285E-3</v>
      </c>
    </row>
    <row r="57" spans="1:5" x14ac:dyDescent="0.2">
      <c r="A57" s="3">
        <f>'A1'!A57</f>
        <v>39689</v>
      </c>
      <c r="B57">
        <f>INDEX(LINEST('A1'!B21:B56, 'A1'!C21:E56, TRUE, FALSE), 1, 3)</f>
        <v>0.74207678096178309</v>
      </c>
      <c r="C57">
        <f>INDEX(LINEST('A1'!B21:B56, 'A1'!C21:E56, TRUE, FALSE), 1, 2)</f>
        <v>7.711920008183562E-2</v>
      </c>
      <c r="D57">
        <f>INDEX(LINEST('A1'!B21:B56, 'A1'!C21:E56, TRUE, FALSE), 1, 1)</f>
        <v>-1.9119612355920346E-2</v>
      </c>
      <c r="E57">
        <f>INDEX(LINEST('A1'!B21:B56, 'A1'!C21:E56, TRUE, FALSE), 1, 4)</f>
        <v>-2.4629926651236326E-3</v>
      </c>
    </row>
    <row r="58" spans="1:5" x14ac:dyDescent="0.2">
      <c r="A58" s="3">
        <f>'A1'!A58</f>
        <v>39721</v>
      </c>
      <c r="B58">
        <f>INDEX(LINEST('A1'!B22:B57, 'A1'!C22:E57, TRUE, FALSE), 1, 3)</f>
        <v>0.76984524039669255</v>
      </c>
      <c r="C58">
        <f>INDEX(LINEST('A1'!B22:B57, 'A1'!C22:E57, TRUE, FALSE), 1, 2)</f>
        <v>7.6838439996362223E-2</v>
      </c>
      <c r="D58">
        <f>INDEX(LINEST('A1'!B22:B57, 'A1'!C22:E57, TRUE, FALSE), 1, 1)</f>
        <v>-1.960629266510509E-2</v>
      </c>
      <c r="E58">
        <f>INDEX(LINEST('A1'!B22:B57, 'A1'!C22:E57, TRUE, FALSE), 1, 4)</f>
        <v>-2.323982766374728E-3</v>
      </c>
    </row>
    <row r="59" spans="1:5" x14ac:dyDescent="0.2">
      <c r="A59" s="3">
        <f>'A1'!A59</f>
        <v>39752</v>
      </c>
      <c r="B59">
        <f>INDEX(LINEST('A1'!B23:B58, 'A1'!C23:E58, TRUE, FALSE), 1, 3)</f>
        <v>0.6708298559455127</v>
      </c>
      <c r="C59">
        <f>INDEX(LINEST('A1'!B23:B58, 'A1'!C23:E58, TRUE, FALSE), 1, 2)</f>
        <v>1.5671331873247114E-2</v>
      </c>
      <c r="D59">
        <f>INDEX(LINEST('A1'!B23:B58, 'A1'!C23:E58, TRUE, FALSE), 1, 1)</f>
        <v>-0.10231061451965776</v>
      </c>
      <c r="E59">
        <f>INDEX(LINEST('A1'!B23:B58, 'A1'!C23:E58, TRUE, FALSE), 1, 4)</f>
        <v>-1.3798777921520439E-3</v>
      </c>
    </row>
    <row r="60" spans="1:5" x14ac:dyDescent="0.2">
      <c r="A60" s="3">
        <f>'A1'!A60</f>
        <v>39780</v>
      </c>
      <c r="B60">
        <f>INDEX(LINEST('A1'!B24:B59, 'A1'!C24:E59, TRUE, FALSE), 1, 3)</f>
        <v>0.65040928013238641</v>
      </c>
      <c r="C60">
        <f>INDEX(LINEST('A1'!B24:B59, 'A1'!C24:E59, TRUE, FALSE), 1, 2)</f>
        <v>4.663761673958966E-2</v>
      </c>
      <c r="D60">
        <f>INDEX(LINEST('A1'!B24:B59, 'A1'!C24:E59, TRUE, FALSE), 1, 1)</f>
        <v>-9.0868656292314304E-2</v>
      </c>
      <c r="E60">
        <f>INDEX(LINEST('A1'!B24:B59, 'A1'!C24:E59, TRUE, FALSE), 1, 4)</f>
        <v>-1.4017176010668901E-3</v>
      </c>
    </row>
    <row r="61" spans="1:5" x14ac:dyDescent="0.2">
      <c r="A61" s="3">
        <f>'A1'!A61</f>
        <v>39813</v>
      </c>
      <c r="B61">
        <f>INDEX(LINEST('A1'!B25:B60, 'A1'!C25:E60, TRUE, FALSE), 1, 3)</f>
        <v>0.60269548645062387</v>
      </c>
      <c r="C61">
        <f>INDEX(LINEST('A1'!B25:B60, 'A1'!C25:E60, TRUE, FALSE), 1, 2)</f>
        <v>9.432818539710891E-2</v>
      </c>
      <c r="D61">
        <f>INDEX(LINEST('A1'!B25:B60, 'A1'!C25:E60, TRUE, FALSE), 1, 1)</f>
        <v>-0.1346458043485059</v>
      </c>
      <c r="E61">
        <f>INDEX(LINEST('A1'!B25:B60, 'A1'!C25:E60, TRUE, FALSE), 1, 4)</f>
        <v>-1.3927513098034932E-3</v>
      </c>
    </row>
    <row r="62" spans="1:5" x14ac:dyDescent="0.2">
      <c r="A62" s="3">
        <f>'A1'!A62</f>
        <v>39843</v>
      </c>
      <c r="B62">
        <f>INDEX(LINEST('A1'!B26:B61, 'A1'!C26:E61, TRUE, FALSE), 1, 3)</f>
        <v>0.50743458921862394</v>
      </c>
      <c r="C62">
        <f>INDEX(LINEST('A1'!B26:B61, 'A1'!C26:E61, TRUE, FALSE), 1, 2)</f>
        <v>0.11900178652554901</v>
      </c>
      <c r="D62">
        <f>INDEX(LINEST('A1'!B26:B61, 'A1'!C26:E61, TRUE, FALSE), 1, 1)</f>
        <v>-0.15372836599181897</v>
      </c>
      <c r="E62">
        <f>INDEX(LINEST('A1'!B26:B61, 'A1'!C26:E61, TRUE, FALSE), 1, 4)</f>
        <v>-1.3640519243352739E-3</v>
      </c>
    </row>
    <row r="63" spans="1:5" x14ac:dyDescent="0.2">
      <c r="A63" s="3">
        <f>'A1'!A63</f>
        <v>39871</v>
      </c>
      <c r="B63">
        <f>INDEX(LINEST('A1'!B27:B62, 'A1'!C27:E62, TRUE, FALSE), 1, 3)</f>
        <v>0.50083646844993146</v>
      </c>
      <c r="C63">
        <f>INDEX(LINEST('A1'!B27:B62, 'A1'!C27:E62, TRUE, FALSE), 1, 2)</f>
        <v>0.10070981322643963</v>
      </c>
      <c r="D63">
        <f>INDEX(LINEST('A1'!B27:B62, 'A1'!C27:E62, TRUE, FALSE), 1, 1)</f>
        <v>-0.12203689315653977</v>
      </c>
      <c r="E63">
        <f>INDEX(LINEST('A1'!B27:B62, 'A1'!C27:E62, TRUE, FALSE), 1, 4)</f>
        <v>-6.8847603617128302E-4</v>
      </c>
    </row>
    <row r="64" spans="1:5" x14ac:dyDescent="0.2">
      <c r="A64" s="3">
        <f>'A1'!A64</f>
        <v>39903</v>
      </c>
      <c r="B64">
        <f>INDEX(LINEST('A1'!B28:B63, 'A1'!C28:E63, TRUE, FALSE), 1, 3)</f>
        <v>0.4380712715719785</v>
      </c>
      <c r="C64">
        <f>INDEX(LINEST('A1'!B28:B63, 'A1'!C28:E63, TRUE, FALSE), 1, 2)</f>
        <v>0.12750999840711741</v>
      </c>
      <c r="D64">
        <f>INDEX(LINEST('A1'!B28:B63, 'A1'!C28:E63, TRUE, FALSE), 1, 1)</f>
        <v>-0.13827505201975093</v>
      </c>
      <c r="E64">
        <f>INDEX(LINEST('A1'!B28:B63, 'A1'!C28:E63, TRUE, FALSE), 1, 4)</f>
        <v>-3.8876760161199941E-4</v>
      </c>
    </row>
    <row r="65" spans="1:5" x14ac:dyDescent="0.2">
      <c r="A65" s="3">
        <f>'A1'!A65</f>
        <v>39933</v>
      </c>
      <c r="B65">
        <f>INDEX(LINEST('A1'!B29:B64, 'A1'!C29:E64, TRUE, FALSE), 1, 3)</f>
        <v>0.43956785402177379</v>
      </c>
      <c r="C65">
        <f>INDEX(LINEST('A1'!B29:B64, 'A1'!C29:E64, TRUE, FALSE), 1, 2)</f>
        <v>0.12745024551462963</v>
      </c>
      <c r="D65">
        <f>INDEX(LINEST('A1'!B29:B64, 'A1'!C29:E64, TRUE, FALSE), 1, 1)</f>
        <v>-0.13354913057543255</v>
      </c>
      <c r="E65">
        <f>INDEX(LINEST('A1'!B29:B64, 'A1'!C29:E64, TRUE, FALSE), 1, 4)</f>
        <v>-1.0370336418735228E-4</v>
      </c>
    </row>
    <row r="66" spans="1:5" x14ac:dyDescent="0.2">
      <c r="A66" s="3">
        <f>'A1'!A66</f>
        <v>39962</v>
      </c>
      <c r="B66">
        <f>INDEX(LINEST('A1'!B30:B65, 'A1'!C30:E65, TRUE, FALSE), 1, 3)</f>
        <v>0.46560954509974706</v>
      </c>
      <c r="C66">
        <f>INDEX(LINEST('A1'!B30:B65, 'A1'!C30:E65, TRUE, FALSE), 1, 2)</f>
        <v>0.11103726108774338</v>
      </c>
      <c r="D66">
        <f>INDEX(LINEST('A1'!B30:B65, 'A1'!C30:E65, TRUE, FALSE), 1, 1)</f>
        <v>-0.10957330912021583</v>
      </c>
      <c r="E66">
        <f>INDEX(LINEST('A1'!B30:B65, 'A1'!C30:E65, TRUE, FALSE), 1, 4)</f>
        <v>2.3370071830368399E-4</v>
      </c>
    </row>
    <row r="67" spans="1:5" x14ac:dyDescent="0.2">
      <c r="A67" s="3">
        <f>'A1'!A67</f>
        <v>39994</v>
      </c>
      <c r="B67">
        <f>INDEX(LINEST('A1'!B31:B66, 'A1'!C31:E66, TRUE, FALSE), 1, 3)</f>
        <v>0.4931723174850462</v>
      </c>
      <c r="C67">
        <f>INDEX(LINEST('A1'!B31:B66, 'A1'!C31:E66, TRUE, FALSE), 1, 2)</f>
        <v>9.5115495481322532E-2</v>
      </c>
      <c r="D67">
        <f>INDEX(LINEST('A1'!B31:B66, 'A1'!C31:E66, TRUE, FALSE), 1, 1)</f>
        <v>-9.9192719370401833E-2</v>
      </c>
      <c r="E67">
        <f>INDEX(LINEST('A1'!B31:B66, 'A1'!C31:E66, TRUE, FALSE), 1, 4)</f>
        <v>3.6165629071265146E-4</v>
      </c>
    </row>
    <row r="68" spans="1:5" x14ac:dyDescent="0.2">
      <c r="A68" s="3">
        <f>'A1'!A68</f>
        <v>40025</v>
      </c>
      <c r="B68">
        <f>INDEX(LINEST('A1'!B32:B67, 'A1'!C32:E67, TRUE, FALSE), 1, 3)</f>
        <v>0.48360905067857984</v>
      </c>
      <c r="C68">
        <f>INDEX(LINEST('A1'!B32:B67, 'A1'!C32:E67, TRUE, FALSE), 1, 2)</f>
        <v>9.8614778257944499E-2</v>
      </c>
      <c r="D68">
        <f>INDEX(LINEST('A1'!B32:B67, 'A1'!C32:E67, TRUE, FALSE), 1, 1)</f>
        <v>-0.10136936418500488</v>
      </c>
      <c r="E68">
        <f>INDEX(LINEST('A1'!B32:B67, 'A1'!C32:E67, TRUE, FALSE), 1, 4)</f>
        <v>4.7877151607705919E-4</v>
      </c>
    </row>
    <row r="69" spans="1:5" x14ac:dyDescent="0.2">
      <c r="A69" s="3">
        <f>'A1'!A69</f>
        <v>40056</v>
      </c>
      <c r="B69">
        <f>INDEX(LINEST('A1'!B33:B68, 'A1'!C33:E68, TRUE, FALSE), 1, 3)</f>
        <v>0.4966486675795615</v>
      </c>
      <c r="C69">
        <f>INDEX(LINEST('A1'!B33:B68, 'A1'!C33:E68, TRUE, FALSE), 1, 2)</f>
        <v>9.3485648819087261E-2</v>
      </c>
      <c r="D69">
        <f>INDEX(LINEST('A1'!B33:B68, 'A1'!C33:E68, TRUE, FALSE), 1, 1)</f>
        <v>-9.8066630500915158E-2</v>
      </c>
      <c r="E69">
        <f>INDEX(LINEST('A1'!B33:B68, 'A1'!C33:E68, TRUE, FALSE), 1, 4)</f>
        <v>4.8707565113302728E-4</v>
      </c>
    </row>
    <row r="70" spans="1:5" x14ac:dyDescent="0.2">
      <c r="A70" s="3">
        <f>'A1'!A70</f>
        <v>40086</v>
      </c>
      <c r="B70">
        <f>INDEX(LINEST('A1'!B34:B69, 'A1'!C34:E69, TRUE, FALSE), 1, 3)</f>
        <v>0.49709800379340563</v>
      </c>
      <c r="C70">
        <f>INDEX(LINEST('A1'!B34:B69, 'A1'!C34:E69, TRUE, FALSE), 1, 2)</f>
        <v>9.3470806973740189E-2</v>
      </c>
      <c r="D70">
        <f>INDEX(LINEST('A1'!B34:B69, 'A1'!C34:E69, TRUE, FALSE), 1, 1)</f>
        <v>-9.8060532711050072E-2</v>
      </c>
      <c r="E70">
        <f>INDEX(LINEST('A1'!B34:B69, 'A1'!C34:E69, TRUE, FALSE), 1, 4)</f>
        <v>4.9086606098365602E-4</v>
      </c>
    </row>
    <row r="71" spans="1:5" x14ac:dyDescent="0.2">
      <c r="A71" s="3">
        <f>'A1'!A71</f>
        <v>40116</v>
      </c>
      <c r="B71">
        <f>INDEX(LINEST('A1'!B35:B70, 'A1'!C35:E70, TRUE, FALSE), 1, 3)</f>
        <v>0.50274110502511171</v>
      </c>
      <c r="C71">
        <f>INDEX(LINEST('A1'!B35:B70, 'A1'!C35:E70, TRUE, FALSE), 1, 2)</f>
        <v>9.2414505940231068E-2</v>
      </c>
      <c r="D71">
        <f>INDEX(LINEST('A1'!B35:B70, 'A1'!C35:E70, TRUE, FALSE), 1, 1)</f>
        <v>-9.593414454092454E-2</v>
      </c>
      <c r="E71">
        <f>INDEX(LINEST('A1'!B35:B70, 'A1'!C35:E70, TRUE, FALSE), 1, 4)</f>
        <v>5.9915516405730982E-4</v>
      </c>
    </row>
    <row r="72" spans="1:5" x14ac:dyDescent="0.2">
      <c r="A72" s="3">
        <f>'A1'!A72</f>
        <v>40147</v>
      </c>
      <c r="B72">
        <f>INDEX(LINEST('A1'!B36:B71, 'A1'!C36:E71, TRUE, FALSE), 1, 3)</f>
        <v>0.52220375468429625</v>
      </c>
      <c r="C72">
        <f>INDEX(LINEST('A1'!B36:B71, 'A1'!C36:E71, TRUE, FALSE), 1, 2)</f>
        <v>8.2236721770365728E-2</v>
      </c>
      <c r="D72">
        <f>INDEX(LINEST('A1'!B36:B71, 'A1'!C36:E71, TRUE, FALSE), 1, 1)</f>
        <v>-8.9868083949038197E-2</v>
      </c>
      <c r="E72">
        <f>INDEX(LINEST('A1'!B36:B71, 'A1'!C36:E71, TRUE, FALSE), 1, 4)</f>
        <v>7.4184783003084355E-4</v>
      </c>
    </row>
    <row r="73" spans="1:5" x14ac:dyDescent="0.2">
      <c r="A73" s="3">
        <f>'A1'!A73</f>
        <v>40178</v>
      </c>
      <c r="B73">
        <f>INDEX(LINEST('A1'!B37:B72, 'A1'!C37:E72, TRUE, FALSE), 1, 3)</f>
        <v>0.54681360657230316</v>
      </c>
      <c r="C73">
        <f>INDEX(LINEST('A1'!B37:B72, 'A1'!C37:E72, TRUE, FALSE), 1, 2)</f>
        <v>7.3215252160347022E-2</v>
      </c>
      <c r="D73">
        <f>INDEX(LINEST('A1'!B37:B72, 'A1'!C37:E72, TRUE, FALSE), 1, 1)</f>
        <v>-8.5764718259841041E-2</v>
      </c>
      <c r="E73">
        <f>INDEX(LINEST('A1'!B37:B72, 'A1'!C37:E72, TRUE, FALSE), 1, 4)</f>
        <v>7.8718334723366576E-4</v>
      </c>
    </row>
    <row r="74" spans="1:5" x14ac:dyDescent="0.2">
      <c r="A74" s="3">
        <f>'A1'!A74</f>
        <v>40207</v>
      </c>
      <c r="B74">
        <f>INDEX(LINEST('A1'!B38:B73, 'A1'!C38:E73, TRUE, FALSE), 1, 3)</f>
        <v>0.54260203233626458</v>
      </c>
      <c r="C74">
        <f>INDEX(LINEST('A1'!B38:B73, 'A1'!C38:E73, TRUE, FALSE), 1, 2)</f>
        <v>7.6765021170432338E-2</v>
      </c>
      <c r="D74">
        <f>INDEX(LINEST('A1'!B38:B73, 'A1'!C38:E73, TRUE, FALSE), 1, 1)</f>
        <v>-8.8346993309228378E-2</v>
      </c>
      <c r="E74">
        <f>INDEX(LINEST('A1'!B38:B73, 'A1'!C38:E73, TRUE, FALSE), 1, 4)</f>
        <v>8.225252594770148E-4</v>
      </c>
    </row>
    <row r="75" spans="1:5" x14ac:dyDescent="0.2">
      <c r="A75" s="3">
        <f>'A1'!A75</f>
        <v>40235</v>
      </c>
      <c r="B75">
        <f>INDEX(LINEST('A1'!B39:B74, 'A1'!C39:E74, TRUE, FALSE), 1, 3)</f>
        <v>0.5806994582091588</v>
      </c>
      <c r="C75">
        <f>INDEX(LINEST('A1'!B39:B74, 'A1'!C39:E74, TRUE, FALSE), 1, 2)</f>
        <v>5.8409380356506675E-2</v>
      </c>
      <c r="D75">
        <f>INDEX(LINEST('A1'!B39:B74, 'A1'!C39:E74, TRUE, FALSE), 1, 1)</f>
        <v>-7.8808932238996321E-2</v>
      </c>
      <c r="E75">
        <f>INDEX(LINEST('A1'!B39:B74, 'A1'!C39:E74, TRUE, FALSE), 1, 4)</f>
        <v>9.0868327544325206E-4</v>
      </c>
    </row>
    <row r="76" spans="1:5" x14ac:dyDescent="0.2">
      <c r="A76" s="3">
        <f>'A1'!A76</f>
        <v>40268</v>
      </c>
      <c r="B76">
        <f>INDEX(LINEST('A1'!B40:B75, 'A1'!C40:E75, TRUE, FALSE), 1, 3)</f>
        <v>0.60365219703282325</v>
      </c>
      <c r="C76">
        <f>INDEX(LINEST('A1'!B40:B75, 'A1'!C40:E75, TRUE, FALSE), 1, 2)</f>
        <v>4.916393313319313E-2</v>
      </c>
      <c r="D76">
        <f>INDEX(LINEST('A1'!B40:B75, 'A1'!C40:E75, TRUE, FALSE), 1, 1)</f>
        <v>-7.4252023544746873E-2</v>
      </c>
      <c r="E76">
        <f>INDEX(LINEST('A1'!B40:B75, 'A1'!C40:E75, TRUE, FALSE), 1, 4)</f>
        <v>8.4952663506871471E-4</v>
      </c>
    </row>
    <row r="77" spans="1:5" x14ac:dyDescent="0.2">
      <c r="A77" s="3">
        <f>'A1'!A77</f>
        <v>40298</v>
      </c>
      <c r="B77">
        <f>INDEX(LINEST('A1'!B41:B76, 'A1'!C41:E76, TRUE, FALSE), 1, 3)</f>
        <v>0.57776214304124229</v>
      </c>
      <c r="C77">
        <f>INDEX(LINEST('A1'!B41:B76, 'A1'!C41:E76, TRUE, FALSE), 1, 2)</f>
        <v>6.0370726141149869E-2</v>
      </c>
      <c r="D77">
        <f>INDEX(LINEST('A1'!B41:B76, 'A1'!C41:E76, TRUE, FALSE), 1, 1)</f>
        <v>-7.927026402849402E-2</v>
      </c>
      <c r="E77">
        <f>INDEX(LINEST('A1'!B41:B76, 'A1'!C41:E76, TRUE, FALSE), 1, 4)</f>
        <v>1.0375947993746316E-3</v>
      </c>
    </row>
    <row r="78" spans="1:5" x14ac:dyDescent="0.2">
      <c r="A78" s="3">
        <f>'A1'!A78</f>
        <v>40329</v>
      </c>
      <c r="B78">
        <f>INDEX(LINEST('A1'!B42:B77, 'A1'!C42:E77, TRUE, FALSE), 1, 3)</f>
        <v>0.57568797286380013</v>
      </c>
      <c r="C78">
        <f>INDEX(LINEST('A1'!B42:B77, 'A1'!C42:E77, TRUE, FALSE), 1, 2)</f>
        <v>6.1176705610790687E-2</v>
      </c>
      <c r="D78">
        <f>INDEX(LINEST('A1'!B42:B77, 'A1'!C42:E77, TRUE, FALSE), 1, 1)</f>
        <v>-7.9477854965879335E-2</v>
      </c>
      <c r="E78">
        <f>INDEX(LINEST('A1'!B42:B77, 'A1'!C42:E77, TRUE, FALSE), 1, 4)</f>
        <v>1.1205206195033356E-3</v>
      </c>
    </row>
    <row r="79" spans="1:5" x14ac:dyDescent="0.2">
      <c r="A79" s="3">
        <f>'A1'!A79</f>
        <v>40359</v>
      </c>
      <c r="B79">
        <f>INDEX(LINEST('A1'!B43:B78, 'A1'!C43:E78, TRUE, FALSE), 1, 3)</f>
        <v>0.55361544116051276</v>
      </c>
      <c r="C79">
        <f>INDEX(LINEST('A1'!B43:B78, 'A1'!C43:E78, TRUE, FALSE), 1, 2)</f>
        <v>6.6158051129427853E-2</v>
      </c>
      <c r="D79">
        <f>INDEX(LINEST('A1'!B43:B78, 'A1'!C43:E78, TRUE, FALSE), 1, 1)</f>
        <v>-8.2198085592533041E-2</v>
      </c>
      <c r="E79">
        <f>INDEX(LINEST('A1'!B43:B78, 'A1'!C43:E78, TRUE, FALSE), 1, 4)</f>
        <v>1.4334151028914902E-3</v>
      </c>
    </row>
    <row r="80" spans="1:5" x14ac:dyDescent="0.2">
      <c r="A80" s="3">
        <f>'A1'!A80</f>
        <v>40389</v>
      </c>
      <c r="B80">
        <f>INDEX(LINEST('A1'!B44:B79, 'A1'!C44:E79, TRUE, FALSE), 1, 3)</f>
        <v>0.54344762533348789</v>
      </c>
      <c r="C80">
        <f>INDEX(LINEST('A1'!B44:B79, 'A1'!C44:E79, TRUE, FALSE), 1, 2)</f>
        <v>6.3427845031442456E-2</v>
      </c>
      <c r="D80">
        <f>INDEX(LINEST('A1'!B44:B79, 'A1'!C44:E79, TRUE, FALSE), 1, 1)</f>
        <v>-8.1941637831741257E-2</v>
      </c>
      <c r="E80">
        <f>INDEX(LINEST('A1'!B44:B79, 'A1'!C44:E79, TRUE, FALSE), 1, 4)</f>
        <v>1.7194650064945986E-3</v>
      </c>
    </row>
    <row r="81" spans="1:5" x14ac:dyDescent="0.2">
      <c r="A81" s="3">
        <f>'A1'!A81</f>
        <v>40421</v>
      </c>
      <c r="B81">
        <f>INDEX(LINEST('A1'!B45:B80, 'A1'!C45:E80, TRUE, FALSE), 1, 3)</f>
        <v>0.54675905733889651</v>
      </c>
      <c r="C81">
        <f>INDEX(LINEST('A1'!B45:B80, 'A1'!C45:E80, TRUE, FALSE), 1, 2)</f>
        <v>6.3662456943759022E-2</v>
      </c>
      <c r="D81">
        <f>INDEX(LINEST('A1'!B45:B80, 'A1'!C45:E80, TRUE, FALSE), 1, 1)</f>
        <v>-8.5287299075894968E-2</v>
      </c>
      <c r="E81">
        <f>INDEX(LINEST('A1'!B45:B80, 'A1'!C45:E80, TRUE, FALSE), 1, 4)</f>
        <v>1.8752740998923092E-3</v>
      </c>
    </row>
    <row r="82" spans="1:5" x14ac:dyDescent="0.2">
      <c r="A82" s="3">
        <f>'A1'!A82</f>
        <v>40451</v>
      </c>
      <c r="B82">
        <f>INDEX(LINEST('A1'!B46:B81, 'A1'!C46:E81, TRUE, FALSE), 1, 3)</f>
        <v>0.57225158397790399</v>
      </c>
      <c r="C82">
        <f>INDEX(LINEST('A1'!B46:B81, 'A1'!C46:E81, TRUE, FALSE), 1, 2)</f>
        <v>4.4551242860086701E-2</v>
      </c>
      <c r="D82">
        <f>INDEX(LINEST('A1'!B46:B81, 'A1'!C46:E81, TRUE, FALSE), 1, 1)</f>
        <v>-7.3768076416903403E-2</v>
      </c>
      <c r="E82">
        <f>INDEX(LINEST('A1'!B46:B81, 'A1'!C46:E81, TRUE, FALSE), 1, 4)</f>
        <v>1.6639709533980956E-3</v>
      </c>
    </row>
    <row r="83" spans="1:5" x14ac:dyDescent="0.2">
      <c r="A83" s="3">
        <f>'A1'!A83</f>
        <v>40480</v>
      </c>
      <c r="B83">
        <f>INDEX(LINEST('A1'!B47:B82, 'A1'!C47:E82, TRUE, FALSE), 1, 3)</f>
        <v>0.58248464359633467</v>
      </c>
      <c r="C83">
        <f>INDEX(LINEST('A1'!B47:B82, 'A1'!C47:E82, TRUE, FALSE), 1, 2)</f>
        <v>4.2138545087778659E-2</v>
      </c>
      <c r="D83">
        <f>INDEX(LINEST('A1'!B47:B82, 'A1'!C47:E82, TRUE, FALSE), 1, 1)</f>
        <v>-7.3961845149774746E-2</v>
      </c>
      <c r="E83">
        <f>INDEX(LINEST('A1'!B47:B82, 'A1'!C47:E82, TRUE, FALSE), 1, 4)</f>
        <v>1.5341224868539579E-3</v>
      </c>
    </row>
    <row r="84" spans="1:5" x14ac:dyDescent="0.2">
      <c r="A84" s="3">
        <f>'A1'!A84</f>
        <v>40512</v>
      </c>
      <c r="B84">
        <f>INDEX(LINEST('A1'!B48:B83, 'A1'!C48:E83, TRUE, FALSE), 1, 3)</f>
        <v>0.56596448869951366</v>
      </c>
      <c r="C84">
        <f>INDEX(LINEST('A1'!B48:B83, 'A1'!C48:E83, TRUE, FALSE), 1, 2)</f>
        <v>4.9305915772762644E-2</v>
      </c>
      <c r="D84">
        <f>INDEX(LINEST('A1'!B48:B83, 'A1'!C48:E83, TRUE, FALSE), 1, 1)</f>
        <v>-7.6080529628621565E-2</v>
      </c>
      <c r="E84">
        <f>INDEX(LINEST('A1'!B48:B83, 'A1'!C48:E83, TRUE, FALSE), 1, 4)</f>
        <v>1.7918642880162508E-3</v>
      </c>
    </row>
    <row r="85" spans="1:5" x14ac:dyDescent="0.2">
      <c r="A85" s="3">
        <f>'A1'!A85</f>
        <v>40543</v>
      </c>
      <c r="B85">
        <f>INDEX(LINEST('A1'!B49:B84, 'A1'!C49:E84, TRUE, FALSE), 1, 3)</f>
        <v>0.57774908024499527</v>
      </c>
      <c r="C85">
        <f>INDEX(LINEST('A1'!B49:B84, 'A1'!C49:E84, TRUE, FALSE), 1, 2)</f>
        <v>4.4081548627629717E-2</v>
      </c>
      <c r="D85">
        <f>INDEX(LINEST('A1'!B49:B84, 'A1'!C49:E84, TRUE, FALSE), 1, 1)</f>
        <v>-7.4186709843252055E-2</v>
      </c>
      <c r="E85">
        <f>INDEX(LINEST('A1'!B49:B84, 'A1'!C49:E84, TRUE, FALSE), 1, 4)</f>
        <v>1.8155537977941894E-3</v>
      </c>
    </row>
    <row r="86" spans="1:5" x14ac:dyDescent="0.2">
      <c r="A86" s="3">
        <f>'A1'!A86</f>
        <v>40574</v>
      </c>
      <c r="B86">
        <f>INDEX(LINEST('A1'!B50:B85, 'A1'!C50:E85, TRUE, FALSE), 1, 3)</f>
        <v>0.56433961203266658</v>
      </c>
      <c r="C86">
        <f>INDEX(LINEST('A1'!B50:B85, 'A1'!C50:E85, TRUE, FALSE), 1, 2)</f>
        <v>4.8775164226168947E-2</v>
      </c>
      <c r="D86">
        <f>INDEX(LINEST('A1'!B50:B85, 'A1'!C50:E85, TRUE, FALSE), 1, 1)</f>
        <v>-7.6393092042513475E-2</v>
      </c>
      <c r="E86">
        <f>INDEX(LINEST('A1'!B50:B85, 'A1'!C50:E85, TRUE, FALSE), 1, 4)</f>
        <v>1.9830145095031757E-3</v>
      </c>
    </row>
    <row r="87" spans="1:5" x14ac:dyDescent="0.2">
      <c r="A87" s="3">
        <f>'A1'!A87</f>
        <v>40602</v>
      </c>
      <c r="B87">
        <f>INDEX(LINEST('A1'!B51:B86, 'A1'!C51:E86, TRUE, FALSE), 1, 3)</f>
        <v>0.56063740536032625</v>
      </c>
      <c r="C87">
        <f>INDEX(LINEST('A1'!B51:B86, 'A1'!C51:E86, TRUE, FALSE), 1, 2)</f>
        <v>5.0169642091696373E-2</v>
      </c>
      <c r="D87">
        <f>INDEX(LINEST('A1'!B51:B86, 'A1'!C51:E86, TRUE, FALSE), 1, 1)</f>
        <v>-7.6914490198845123E-2</v>
      </c>
      <c r="E87">
        <f>INDEX(LINEST('A1'!B51:B86, 'A1'!C51:E86, TRUE, FALSE), 1, 4)</f>
        <v>1.968094086790495E-3</v>
      </c>
    </row>
    <row r="88" spans="1:5" x14ac:dyDescent="0.2">
      <c r="A88" s="3">
        <f>'A1'!A88</f>
        <v>40633</v>
      </c>
      <c r="B88">
        <f>INDEX(LINEST('A1'!B52:B87, 'A1'!C52:E87, TRUE, FALSE), 1, 3)</f>
        <v>0.54550835484571447</v>
      </c>
      <c r="C88">
        <f>INDEX(LINEST('A1'!B52:B87, 'A1'!C52:E87, TRUE, FALSE), 1, 2)</f>
        <v>5.6710862012830376E-2</v>
      </c>
      <c r="D88">
        <f>INDEX(LINEST('A1'!B52:B87, 'A1'!C52:E87, TRUE, FALSE), 1, 1)</f>
        <v>-8.1432513448460045E-2</v>
      </c>
      <c r="E88">
        <f>INDEX(LINEST('A1'!B52:B87, 'A1'!C52:E87, TRUE, FALSE), 1, 4)</f>
        <v>2.1426084255903449E-3</v>
      </c>
    </row>
    <row r="89" spans="1:5" x14ac:dyDescent="0.2">
      <c r="A89" s="3">
        <f>'A1'!A89</f>
        <v>40662</v>
      </c>
      <c r="B89">
        <f>INDEX(LINEST('A1'!B53:B88, 'A1'!C53:E88, TRUE, FALSE), 1, 3)</f>
        <v>0.54604984820689084</v>
      </c>
      <c r="C89">
        <f>INDEX(LINEST('A1'!B53:B88, 'A1'!C53:E88, TRUE, FALSE), 1, 2)</f>
        <v>5.644999148889375E-2</v>
      </c>
      <c r="D89">
        <f>INDEX(LINEST('A1'!B53:B88, 'A1'!C53:E88, TRUE, FALSE), 1, 1)</f>
        <v>-8.1531783932017085E-2</v>
      </c>
      <c r="E89">
        <f>INDEX(LINEST('A1'!B53:B88, 'A1'!C53:E88, TRUE, FALSE), 1, 4)</f>
        <v>2.169155437359291E-3</v>
      </c>
    </row>
    <row r="90" spans="1:5" x14ac:dyDescent="0.2">
      <c r="A90" s="3">
        <f>'A1'!A90</f>
        <v>40694</v>
      </c>
      <c r="B90">
        <f>INDEX(LINEST('A1'!B54:B89, 'A1'!C54:E89, TRUE, FALSE), 1, 3)</f>
        <v>0.55147264779698202</v>
      </c>
      <c r="C90">
        <f>INDEX(LINEST('A1'!B54:B89, 'A1'!C54:E89, TRUE, FALSE), 1, 2)</f>
        <v>5.6045596461824193E-2</v>
      </c>
      <c r="D90">
        <f>INDEX(LINEST('A1'!B54:B89, 'A1'!C54:E89, TRUE, FALSE), 1, 1)</f>
        <v>-8.2402215619378008E-2</v>
      </c>
      <c r="E90">
        <f>INDEX(LINEST('A1'!B54:B89, 'A1'!C54:E89, TRUE, FALSE), 1, 4)</f>
        <v>2.1353503101880717E-3</v>
      </c>
    </row>
    <row r="91" spans="1:5" x14ac:dyDescent="0.2">
      <c r="A91" s="3">
        <f>'A1'!A91</f>
        <v>40724</v>
      </c>
      <c r="B91">
        <f>INDEX(LINEST('A1'!B55:B90, 'A1'!C55:E90, TRUE, FALSE), 1, 3)</f>
        <v>0.5266964027891774</v>
      </c>
      <c r="C91">
        <f>INDEX(LINEST('A1'!B55:B90, 'A1'!C55:E90, TRUE, FALSE), 1, 2)</f>
        <v>6.4511449406864596E-2</v>
      </c>
      <c r="D91">
        <f>INDEX(LINEST('A1'!B55:B90, 'A1'!C55:E90, TRUE, FALSE), 1, 1)</f>
        <v>-8.6170010716715234E-2</v>
      </c>
      <c r="E91">
        <f>INDEX(LINEST('A1'!B55:B90, 'A1'!C55:E90, TRUE, FALSE), 1, 4)</f>
        <v>2.3004242835082257E-3</v>
      </c>
    </row>
    <row r="92" spans="1:5" x14ac:dyDescent="0.2">
      <c r="A92" s="3">
        <f>'A1'!A92</f>
        <v>40753</v>
      </c>
      <c r="B92">
        <f>INDEX(LINEST('A1'!B56:B91, 'A1'!C56:E91, TRUE, FALSE), 1, 3)</f>
        <v>0.5336879936209149</v>
      </c>
      <c r="C92">
        <f>INDEX(LINEST('A1'!B56:B91, 'A1'!C56:E91, TRUE, FALSE), 1, 2)</f>
        <v>5.8995134573372215E-2</v>
      </c>
      <c r="D92">
        <f>INDEX(LINEST('A1'!B56:B91, 'A1'!C56:E91, TRUE, FALSE), 1, 1)</f>
        <v>-8.531566345789357E-2</v>
      </c>
      <c r="E92">
        <f>INDEX(LINEST('A1'!B56:B91, 'A1'!C56:E91, TRUE, FALSE), 1, 4)</f>
        <v>2.4183990667975648E-3</v>
      </c>
    </row>
    <row r="93" spans="1:5" x14ac:dyDescent="0.2">
      <c r="A93" s="3">
        <f>'A1'!A93</f>
        <v>40786</v>
      </c>
      <c r="B93">
        <f>INDEX(LINEST('A1'!B57:B92, 'A1'!C57:E92, TRUE, FALSE), 1, 3)</f>
        <v>0.45028750628547803</v>
      </c>
      <c r="C93">
        <f>INDEX(LINEST('A1'!B57:B92, 'A1'!C57:E92, TRUE, FALSE), 1, 2)</f>
        <v>9.4624854652720497E-2</v>
      </c>
      <c r="D93">
        <f>INDEX(LINEST('A1'!B57:B92, 'A1'!C57:E92, TRUE, FALSE), 1, 1)</f>
        <v>-0.10477468665370906</v>
      </c>
      <c r="E93">
        <f>INDEX(LINEST('A1'!B57:B92, 'A1'!C57:E92, TRUE, FALSE), 1, 4)</f>
        <v>2.798955675969556E-3</v>
      </c>
    </row>
    <row r="94" spans="1:5" x14ac:dyDescent="0.2">
      <c r="A94" s="3">
        <f>'A1'!A94</f>
        <v>40816</v>
      </c>
      <c r="B94">
        <f>INDEX(LINEST('A1'!B58:B93, 'A1'!C58:E93, TRUE, FALSE), 1, 3)</f>
        <v>0.45018277691662056</v>
      </c>
      <c r="C94">
        <f>INDEX(LINEST('A1'!B58:B93, 'A1'!C58:E93, TRUE, FALSE), 1, 2)</f>
        <v>9.0568524548303636E-2</v>
      </c>
      <c r="D94">
        <f>INDEX(LINEST('A1'!B58:B93, 'A1'!C58:E93, TRUE, FALSE), 1, 1)</f>
        <v>-9.9729360091472291E-2</v>
      </c>
      <c r="E94">
        <f>INDEX(LINEST('A1'!B58:B93, 'A1'!C58:E93, TRUE, FALSE), 1, 4)</f>
        <v>2.6489760157763142E-3</v>
      </c>
    </row>
    <row r="95" spans="1:5" x14ac:dyDescent="0.2">
      <c r="A95" s="3">
        <f>'A1'!A95</f>
        <v>40847</v>
      </c>
      <c r="B95">
        <f>INDEX(LINEST('A1'!B59:B94, 'A1'!C59:E94, TRUE, FALSE), 1, 3)</f>
        <v>0.44117800230407406</v>
      </c>
      <c r="C95">
        <f>INDEX(LINEST('A1'!B59:B94, 'A1'!C59:E94, TRUE, FALSE), 1, 2)</f>
        <v>0.11287737292907424</v>
      </c>
      <c r="D95">
        <f>INDEX(LINEST('A1'!B59:B94, 'A1'!C59:E94, TRUE, FALSE), 1, 1)</f>
        <v>-9.967197825271043E-2</v>
      </c>
      <c r="E95">
        <f>INDEX(LINEST('A1'!B59:B94, 'A1'!C59:E94, TRUE, FALSE), 1, 4)</f>
        <v>2.1264995086345924E-3</v>
      </c>
    </row>
    <row r="96" spans="1:5" x14ac:dyDescent="0.2">
      <c r="A96" s="3">
        <f>'A1'!A96</f>
        <v>40877</v>
      </c>
      <c r="B96">
        <f>INDEX(LINEST('A1'!B60:B95, 'A1'!C60:E95, TRUE, FALSE), 1, 3)</f>
        <v>0.45766320364122415</v>
      </c>
      <c r="C96">
        <f>INDEX(LINEST('A1'!B60:B95, 'A1'!C60:E95, TRUE, FALSE), 1, 2)</f>
        <v>8.2081038390987848E-2</v>
      </c>
      <c r="D96">
        <f>INDEX(LINEST('A1'!B60:B95, 'A1'!C60:E95, TRUE, FALSE), 1, 1)</f>
        <v>-9.8170052124586182E-2</v>
      </c>
      <c r="E96">
        <f>INDEX(LINEST('A1'!B60:B95, 'A1'!C60:E95, TRUE, FALSE), 1, 4)</f>
        <v>2.4797245392018876E-3</v>
      </c>
    </row>
    <row r="97" spans="1:5" x14ac:dyDescent="0.2">
      <c r="A97" s="3">
        <f>'A1'!A97</f>
        <v>40907</v>
      </c>
      <c r="B97">
        <f>INDEX(LINEST('A1'!B61:B96, 'A1'!C61:E96, TRUE, FALSE), 1, 3)</f>
        <v>0.5099186597644384</v>
      </c>
      <c r="C97">
        <f>INDEX(LINEST('A1'!B61:B96, 'A1'!C61:E96, TRUE, FALSE), 1, 2)</f>
        <v>1.2705141210328889E-2</v>
      </c>
      <c r="D97">
        <f>INDEX(LINEST('A1'!B61:B96, 'A1'!C61:E96, TRUE, FALSE), 1, 1)</f>
        <v>-3.7564095160546151E-2</v>
      </c>
      <c r="E97">
        <f>INDEX(LINEST('A1'!B61:B96, 'A1'!C61:E96, TRUE, FALSE), 1, 4)</f>
        <v>2.0657176873613969E-3</v>
      </c>
    </row>
    <row r="98" spans="1:5" x14ac:dyDescent="0.2">
      <c r="A98" s="3">
        <f>'A1'!A98</f>
        <v>40939</v>
      </c>
      <c r="B98">
        <f>INDEX(LINEST('A1'!B62:B97, 'A1'!C62:E97, TRUE, FALSE), 1, 3)</f>
        <v>0.55568258130499137</v>
      </c>
      <c r="C98">
        <f>INDEX(LINEST('A1'!B62:B97, 'A1'!C62:E97, TRUE, FALSE), 1, 2)</f>
        <v>2.4070056615870961E-2</v>
      </c>
      <c r="D98">
        <f>INDEX(LINEST('A1'!B62:B97, 'A1'!C62:E97, TRUE, FALSE), 1, 1)</f>
        <v>-3.7005465469947166E-2</v>
      </c>
      <c r="E98">
        <f>INDEX(LINEST('A1'!B62:B97, 'A1'!C62:E97, TRUE, FALSE), 1, 4)</f>
        <v>1.767346091425581E-3</v>
      </c>
    </row>
    <row r="99" spans="1:5" x14ac:dyDescent="0.2">
      <c r="A99" s="3">
        <f>'A1'!A99</f>
        <v>40968</v>
      </c>
      <c r="B99">
        <f>INDEX(LINEST('A1'!B63:B98, 'A1'!C63:E98, TRUE, FALSE), 1, 3)</f>
        <v>0.57235407272115568</v>
      </c>
      <c r="C99">
        <f>INDEX(LINEST('A1'!B63:B98, 'A1'!C63:E98, TRUE, FALSE), 1, 2)</f>
        <v>4.3805231750497789E-2</v>
      </c>
      <c r="D99">
        <f>INDEX(LINEST('A1'!B63:B98, 'A1'!C63:E98, TRUE, FALSE), 1, 1)</f>
        <v>-5.5630169017957969E-2</v>
      </c>
      <c r="E99">
        <f>INDEX(LINEST('A1'!B63:B98, 'A1'!C63:E98, TRUE, FALSE), 1, 4)</f>
        <v>1.3709822266030538E-3</v>
      </c>
    </row>
    <row r="100" spans="1:5" x14ac:dyDescent="0.2">
      <c r="A100" s="3">
        <f>'A1'!A100</f>
        <v>40998</v>
      </c>
      <c r="B100">
        <f>INDEX(LINEST('A1'!B64:B99, 'A1'!C64:E99, TRUE, FALSE), 1, 3)</f>
        <v>0.61993479167758925</v>
      </c>
      <c r="C100">
        <f>INDEX(LINEST('A1'!B64:B99, 'A1'!C64:E99, TRUE, FALSE), 1, 2)</f>
        <v>3.2666891400799751E-2</v>
      </c>
      <c r="D100">
        <f>INDEX(LINEST('A1'!B64:B99, 'A1'!C64:E99, TRUE, FALSE), 1, 1)</f>
        <v>-4.1386885977459778E-2</v>
      </c>
      <c r="E100">
        <f>INDEX(LINEST('A1'!B64:B99, 'A1'!C64:E99, TRUE, FALSE), 1, 4)</f>
        <v>8.9647905985405741E-4</v>
      </c>
    </row>
    <row r="101" spans="1:5" x14ac:dyDescent="0.2">
      <c r="A101" s="3">
        <f>'A1'!A101</f>
        <v>41029</v>
      </c>
      <c r="B101">
        <f>INDEX(LINEST('A1'!B65:B100, 'A1'!C65:E100, TRUE, FALSE), 1, 3)</f>
        <v>0.59209869360395884</v>
      </c>
      <c r="C101">
        <f>INDEX(LINEST('A1'!B65:B100, 'A1'!C65:E100, TRUE, FALSE), 1, 2)</f>
        <v>2.5785875201177096E-2</v>
      </c>
      <c r="D101">
        <f>INDEX(LINEST('A1'!B65:B100, 'A1'!C65:E100, TRUE, FALSE), 1, 1)</f>
        <v>-4.1448396121788078E-2</v>
      </c>
      <c r="E101">
        <f>INDEX(LINEST('A1'!B65:B100, 'A1'!C65:E100, TRUE, FALSE), 1, 4)</f>
        <v>1.1184134337419902E-3</v>
      </c>
    </row>
    <row r="102" spans="1:5" x14ac:dyDescent="0.2">
      <c r="A102" s="3">
        <f>'A1'!A102</f>
        <v>41060</v>
      </c>
      <c r="B102">
        <f>INDEX(LINEST('A1'!B66:B101, 'A1'!C66:E101, TRUE, FALSE), 1, 3)</f>
        <v>0.57909157417367874</v>
      </c>
      <c r="C102">
        <f>INDEX(LINEST('A1'!B66:B101, 'A1'!C66:E101, TRUE, FALSE), 1, 2)</f>
        <v>2.8212403671874907E-2</v>
      </c>
      <c r="D102">
        <f>INDEX(LINEST('A1'!B66:B101, 'A1'!C66:E101, TRUE, FALSE), 1, 1)</f>
        <v>-5.007505789489948E-2</v>
      </c>
      <c r="E102">
        <f>INDEX(LINEST('A1'!B66:B101, 'A1'!C66:E101, TRUE, FALSE), 1, 4)</f>
        <v>1.1496979629519628E-3</v>
      </c>
    </row>
    <row r="103" spans="1:5" x14ac:dyDescent="0.2">
      <c r="A103" s="3">
        <f>'A1'!A103</f>
        <v>41089</v>
      </c>
      <c r="B103">
        <f>INDEX(LINEST('A1'!B67:B102, 'A1'!C67:E102, TRUE, FALSE), 1, 3)</f>
        <v>0.55876396253980243</v>
      </c>
      <c r="C103">
        <f>INDEX(LINEST('A1'!B67:B102, 'A1'!C67:E102, TRUE, FALSE), 1, 2)</f>
        <v>4.5328963908898276E-2</v>
      </c>
      <c r="D103">
        <f>INDEX(LINEST('A1'!B67:B102, 'A1'!C67:E102, TRUE, FALSE), 1, 1)</f>
        <v>-5.4667545657542893E-2</v>
      </c>
      <c r="E103">
        <f>INDEX(LINEST('A1'!B67:B102, 'A1'!C67:E102, TRUE, FALSE), 1, 4)</f>
        <v>1.036880069628713E-3</v>
      </c>
    </row>
    <row r="104" spans="1:5" x14ac:dyDescent="0.2">
      <c r="A104" s="3">
        <f>'A1'!A104</f>
        <v>41121</v>
      </c>
      <c r="B104">
        <f>INDEX(LINEST('A1'!B68:B103, 'A1'!C68:E103, TRUE, FALSE), 1, 3)</f>
        <v>0.56963046988310206</v>
      </c>
      <c r="C104">
        <f>INDEX(LINEST('A1'!B68:B103, 'A1'!C68:E103, TRUE, FALSE), 1, 2)</f>
        <v>3.8954782710180665E-2</v>
      </c>
      <c r="D104">
        <f>INDEX(LINEST('A1'!B68:B103, 'A1'!C68:E103, TRUE, FALSE), 1, 1)</f>
        <v>-4.8980319424005513E-2</v>
      </c>
      <c r="E104">
        <f>INDEX(LINEST('A1'!B68:B103, 'A1'!C68:E103, TRUE, FALSE), 1, 4)</f>
        <v>1.0467932131124E-3</v>
      </c>
    </row>
    <row r="105" spans="1:5" x14ac:dyDescent="0.2">
      <c r="A105" s="3">
        <f>'A1'!A105</f>
        <v>41152</v>
      </c>
      <c r="B105">
        <f>INDEX(LINEST('A1'!B69:B104, 'A1'!C69:E104, TRUE, FALSE), 1, 3)</f>
        <v>0.58528855328232132</v>
      </c>
      <c r="C105">
        <f>INDEX(LINEST('A1'!B69:B104, 'A1'!C69:E104, TRUE, FALSE), 1, 2)</f>
        <v>2.7627240829499994E-2</v>
      </c>
      <c r="D105">
        <f>INDEX(LINEST('A1'!B69:B104, 'A1'!C69:E104, TRUE, FALSE), 1, 1)</f>
        <v>-3.9215084701106559E-2</v>
      </c>
      <c r="E105">
        <f>INDEX(LINEST('A1'!B69:B104, 'A1'!C69:E104, TRUE, FALSE), 1, 4)</f>
        <v>9.9605342891200552E-4</v>
      </c>
    </row>
    <row r="106" spans="1:5" x14ac:dyDescent="0.2">
      <c r="A106" s="3">
        <f>'A1'!A106</f>
        <v>41180</v>
      </c>
      <c r="B106">
        <f>INDEX(LINEST('A1'!B70:B105, 'A1'!C70:E105, TRUE, FALSE), 1, 3)</f>
        <v>0.5882648323829669</v>
      </c>
      <c r="C106">
        <f>INDEX(LINEST('A1'!B70:B105, 'A1'!C70:E105, TRUE, FALSE), 1, 2)</f>
        <v>2.7352032811296365E-2</v>
      </c>
      <c r="D106">
        <f>INDEX(LINEST('A1'!B70:B105, 'A1'!C70:E105, TRUE, FALSE), 1, 1)</f>
        <v>-3.8615150889937971E-2</v>
      </c>
      <c r="E106">
        <f>INDEX(LINEST('A1'!B70:B105, 'A1'!C70:E105, TRUE, FALSE), 1, 4)</f>
        <v>9.9469472069296187E-4</v>
      </c>
    </row>
    <row r="107" spans="1:5" x14ac:dyDescent="0.2">
      <c r="A107" s="3">
        <f>'A1'!A107</f>
        <v>41213</v>
      </c>
      <c r="B107">
        <f>INDEX(LINEST('A1'!B71:B106, 'A1'!C71:E106, TRUE, FALSE), 1, 3)</f>
        <v>0.57939326566308313</v>
      </c>
      <c r="C107">
        <f>INDEX(LINEST('A1'!B71:B106, 'A1'!C71:E106, TRUE, FALSE), 1, 2)</f>
        <v>2.6842254802888491E-2</v>
      </c>
      <c r="D107">
        <f>INDEX(LINEST('A1'!B71:B106, 'A1'!C71:E106, TRUE, FALSE), 1, 1)</f>
        <v>-4.2571909029863665E-2</v>
      </c>
      <c r="E107">
        <f>INDEX(LINEST('A1'!B71:B106, 'A1'!C71:E106, TRUE, FALSE), 1, 4)</f>
        <v>1.0368987065416091E-3</v>
      </c>
    </row>
    <row r="108" spans="1:5" x14ac:dyDescent="0.2">
      <c r="A108" s="3">
        <f>'A1'!A108</f>
        <v>41243</v>
      </c>
      <c r="B108">
        <f>INDEX(LINEST('A1'!B72:B107, 'A1'!C72:E107, TRUE, FALSE), 1, 3)</f>
        <v>0.57208309135924462</v>
      </c>
      <c r="C108">
        <f>INDEX(LINEST('A1'!B72:B107, 'A1'!C72:E107, TRUE, FALSE), 1, 2)</f>
        <v>3.5038784097422213E-2</v>
      </c>
      <c r="D108">
        <f>INDEX(LINEST('A1'!B72:B107, 'A1'!C72:E107, TRUE, FALSE), 1, 1)</f>
        <v>-4.9188855606168043E-2</v>
      </c>
      <c r="E108">
        <f>INDEX(LINEST('A1'!B72:B107, 'A1'!C72:E107, TRUE, FALSE), 1, 4)</f>
        <v>8.1483048025213895E-4</v>
      </c>
    </row>
    <row r="109" spans="1:5" x14ac:dyDescent="0.2">
      <c r="A109" s="3">
        <f>'A1'!A109</f>
        <v>41274</v>
      </c>
      <c r="B109">
        <f>INDEX(LINEST('A1'!B73:B108, 'A1'!C73:E108, TRUE, FALSE), 1, 3)</f>
        <v>0.56422790584704585</v>
      </c>
      <c r="C109">
        <f>INDEX(LINEST('A1'!B73:B108, 'A1'!C73:E108, TRUE, FALSE), 1, 2)</f>
        <v>3.3045891310916023E-2</v>
      </c>
      <c r="D109">
        <f>INDEX(LINEST('A1'!B73:B108, 'A1'!C73:E108, TRUE, FALSE), 1, 1)</f>
        <v>-4.7901591045051616E-2</v>
      </c>
      <c r="E109">
        <f>INDEX(LINEST('A1'!B73:B108, 'A1'!C73:E108, TRUE, FALSE), 1, 4)</f>
        <v>6.4705694950037765E-4</v>
      </c>
    </row>
    <row r="110" spans="1:5" x14ac:dyDescent="0.2">
      <c r="A110" s="3">
        <f>'A1'!A110</f>
        <v>41305</v>
      </c>
      <c r="B110">
        <f>INDEX(LINEST('A1'!B74:B109, 'A1'!C74:E109, TRUE, FALSE), 1, 3)</f>
        <v>0.52584658651464933</v>
      </c>
      <c r="C110">
        <f>INDEX(LINEST('A1'!B74:B109, 'A1'!C74:E109, TRUE, FALSE), 1, 2)</f>
        <v>2.6530657185784439E-2</v>
      </c>
      <c r="D110">
        <f>INDEX(LINEST('A1'!B74:B109, 'A1'!C74:E109, TRUE, FALSE), 1, 1)</f>
        <v>-3.8453968664681877E-2</v>
      </c>
      <c r="E110">
        <f>INDEX(LINEST('A1'!B74:B109, 'A1'!C74:E109, TRUE, FALSE), 1, 4)</f>
        <v>1.0252197354181753E-3</v>
      </c>
    </row>
    <row r="111" spans="1:5" x14ac:dyDescent="0.2">
      <c r="A111" s="3">
        <f>'A1'!A111</f>
        <v>41333</v>
      </c>
      <c r="B111">
        <f>INDEX(LINEST('A1'!B75:B110, 'A1'!C75:E110, TRUE, FALSE), 1, 3)</f>
        <v>0.47835759347065732</v>
      </c>
      <c r="C111">
        <f>INDEX(LINEST('A1'!B75:B110, 'A1'!C75:E110, TRUE, FALSE), 1, 2)</f>
        <v>4.4129879226297457E-2</v>
      </c>
      <c r="D111">
        <f>INDEX(LINEST('A1'!B75:B110, 'A1'!C75:E110, TRUE, FALSE), 1, 1)</f>
        <v>-5.2773750679537025E-2</v>
      </c>
      <c r="E111">
        <f>INDEX(LINEST('A1'!B75:B110, 'A1'!C75:E110, TRUE, FALSE), 1, 4)</f>
        <v>9.8843071252633719E-4</v>
      </c>
    </row>
    <row r="112" spans="1:5" x14ac:dyDescent="0.2">
      <c r="A112" s="3">
        <f>'A1'!A112</f>
        <v>41362</v>
      </c>
      <c r="B112">
        <f>INDEX(LINEST('A1'!B76:B111, 'A1'!C76:E111, TRUE, FALSE), 1, 3)</f>
        <v>0.47128973124901952</v>
      </c>
      <c r="C112">
        <f>INDEX(LINEST('A1'!B76:B111, 'A1'!C76:E111, TRUE, FALSE), 1, 2)</f>
        <v>4.7437468887963179E-2</v>
      </c>
      <c r="D112">
        <f>INDEX(LINEST('A1'!B76:B111, 'A1'!C76:E111, TRUE, FALSE), 1, 1)</f>
        <v>-5.5998195556893053E-2</v>
      </c>
      <c r="E112">
        <f>INDEX(LINEST('A1'!B76:B111, 'A1'!C76:E111, TRUE, FALSE), 1, 4)</f>
        <v>1.0543731087855307E-3</v>
      </c>
    </row>
    <row r="113" spans="1:5" x14ac:dyDescent="0.2">
      <c r="A113" s="3">
        <f>'A1'!A113</f>
        <v>41394</v>
      </c>
      <c r="B113">
        <f>INDEX(LINEST('A1'!B77:B112, 'A1'!C77:E112, TRUE, FALSE), 1, 3)</f>
        <v>0.47356926209533279</v>
      </c>
      <c r="C113">
        <f>INDEX(LINEST('A1'!B77:B112, 'A1'!C77:E112, TRUE, FALSE), 1, 2)</f>
        <v>4.5867915224616827E-2</v>
      </c>
      <c r="D113">
        <f>INDEX(LINEST('A1'!B77:B112, 'A1'!C77:E112, TRUE, FALSE), 1, 1)</f>
        <v>-5.5651186886984665E-2</v>
      </c>
      <c r="E113">
        <f>INDEX(LINEST('A1'!B77:B112, 'A1'!C77:E112, TRUE, FALSE), 1, 4)</f>
        <v>1.0551580284858216E-3</v>
      </c>
    </row>
    <row r="114" spans="1:5" x14ac:dyDescent="0.2">
      <c r="A114" s="3">
        <f>'A1'!A114</f>
        <v>41425</v>
      </c>
      <c r="B114">
        <f>INDEX(LINEST('A1'!B78:B113, 'A1'!C78:E113, TRUE, FALSE), 1, 3)</f>
        <v>0.4680003275234339</v>
      </c>
      <c r="C114">
        <f>INDEX(LINEST('A1'!B78:B113, 'A1'!C78:E113, TRUE, FALSE), 1, 2)</f>
        <v>4.4902676976447266E-2</v>
      </c>
      <c r="D114">
        <f>INDEX(LINEST('A1'!B78:B113, 'A1'!C78:E113, TRUE, FALSE), 1, 1)</f>
        <v>-5.6354023465725274E-2</v>
      </c>
      <c r="E114">
        <f>INDEX(LINEST('A1'!B78:B113, 'A1'!C78:E113, TRUE, FALSE), 1, 4)</f>
        <v>1.0458852843321998E-3</v>
      </c>
    </row>
    <row r="115" spans="1:5" x14ac:dyDescent="0.2">
      <c r="A115" s="3">
        <f>'A1'!A115</f>
        <v>41453</v>
      </c>
      <c r="B115">
        <f>INDEX(LINEST('A1'!B79:B114, 'A1'!C79:E114, TRUE, FALSE), 1, 3)</f>
        <v>0.51854300404162434</v>
      </c>
      <c r="C115">
        <f>INDEX(LINEST('A1'!B79:B114, 'A1'!C79:E114, TRUE, FALSE), 1, 2)</f>
        <v>5.4186975881153294E-2</v>
      </c>
      <c r="D115">
        <f>INDEX(LINEST('A1'!B79:B114, 'A1'!C79:E114, TRUE, FALSE), 1, 1)</f>
        <v>-4.1212982504244912E-2</v>
      </c>
      <c r="E115">
        <f>INDEX(LINEST('A1'!B79:B114, 'A1'!C79:E114, TRUE, FALSE), 1, 4)</f>
        <v>4.1079592466243347E-4</v>
      </c>
    </row>
    <row r="116" spans="1:5" x14ac:dyDescent="0.2">
      <c r="A116" s="3">
        <f>'A1'!A116</f>
        <v>41486</v>
      </c>
      <c r="B116">
        <f>INDEX(LINEST('A1'!B80:B115, 'A1'!C80:E115, TRUE, FALSE), 1, 3)</f>
        <v>0.50658749916746182</v>
      </c>
      <c r="C116">
        <f>INDEX(LINEST('A1'!B80:B115, 'A1'!C80:E115, TRUE, FALSE), 1, 2)</f>
        <v>5.5192696195347633E-2</v>
      </c>
      <c r="D116">
        <f>INDEX(LINEST('A1'!B80:B115, 'A1'!C80:E115, TRUE, FALSE), 1, 1)</f>
        <v>-4.2605139257817608E-2</v>
      </c>
      <c r="E116">
        <f>INDEX(LINEST('A1'!B80:B115, 'A1'!C80:E115, TRUE, FALSE), 1, 4)</f>
        <v>4.1586557557861132E-4</v>
      </c>
    </row>
    <row r="117" spans="1:5" x14ac:dyDescent="0.2">
      <c r="A117" s="3">
        <f>'A1'!A117</f>
        <v>41516</v>
      </c>
      <c r="B117">
        <f>INDEX(LINEST('A1'!B81:B116, 'A1'!C81:E116, TRUE, FALSE), 1, 3)</f>
        <v>0.50116386922114275</v>
      </c>
      <c r="C117">
        <f>INDEX(LINEST('A1'!B81:B116, 'A1'!C81:E116, TRUE, FALSE), 1, 2)</f>
        <v>5.4581684906844445E-2</v>
      </c>
      <c r="D117">
        <f>INDEX(LINEST('A1'!B81:B116, 'A1'!C81:E116, TRUE, FALSE), 1, 1)</f>
        <v>-4.6196835414058286E-2</v>
      </c>
      <c r="E117">
        <f>INDEX(LINEST('A1'!B81:B116, 'A1'!C81:E116, TRUE, FALSE), 1, 4)</f>
        <v>3.659395988170545E-4</v>
      </c>
    </row>
    <row r="118" spans="1:5" x14ac:dyDescent="0.2">
      <c r="A118" s="3">
        <f>'A1'!A118</f>
        <v>41547</v>
      </c>
      <c r="B118">
        <f>INDEX(LINEST('A1'!B82:B117, 'A1'!C82:E117, TRUE, FALSE), 1, 3)</f>
        <v>0.50554599435383019</v>
      </c>
      <c r="C118">
        <f>INDEX(LINEST('A1'!B82:B117, 'A1'!C82:E117, TRUE, FALSE), 1, 2)</f>
        <v>6.6441010025504982E-2</v>
      </c>
      <c r="D118">
        <f>INDEX(LINEST('A1'!B82:B117, 'A1'!C82:E117, TRUE, FALSE), 1, 1)</f>
        <v>-6.0932982683695645E-2</v>
      </c>
      <c r="E118">
        <f>INDEX(LINEST('A1'!B82:B117, 'A1'!C82:E117, TRUE, FALSE), 1, 4)</f>
        <v>6.0796172851992057E-4</v>
      </c>
    </row>
    <row r="119" spans="1:5" x14ac:dyDescent="0.2">
      <c r="A119" s="3">
        <f>'A1'!A119</f>
        <v>41578</v>
      </c>
      <c r="B119">
        <f>INDEX(LINEST('A1'!B83:B118, 'A1'!C83:E118, TRUE, FALSE), 1, 3)</f>
        <v>0.50782611122244892</v>
      </c>
      <c r="C119">
        <f>INDEX(LINEST('A1'!B83:B118, 'A1'!C83:E118, TRUE, FALSE), 1, 2)</f>
        <v>7.7475728118257328E-2</v>
      </c>
      <c r="D119">
        <f>INDEX(LINEST('A1'!B83:B118, 'A1'!C83:E118, TRUE, FALSE), 1, 1)</f>
        <v>-6.0993553046712536E-2</v>
      </c>
      <c r="E119">
        <f>INDEX(LINEST('A1'!B83:B118, 'A1'!C83:E118, TRUE, FALSE), 1, 4)</f>
        <v>8.6804588310029386E-4</v>
      </c>
    </row>
    <row r="120" spans="1:5" x14ac:dyDescent="0.2">
      <c r="A120" s="3">
        <f>'A1'!A120</f>
        <v>41607</v>
      </c>
      <c r="B120">
        <f>INDEX(LINEST('A1'!B84:B119, 'A1'!C84:E119, TRUE, FALSE), 1, 3)</f>
        <v>0.4963467967219688</v>
      </c>
      <c r="C120">
        <f>INDEX(LINEST('A1'!B84:B119, 'A1'!C84:E119, TRUE, FALSE), 1, 2)</f>
        <v>7.9867084695397855E-2</v>
      </c>
      <c r="D120">
        <f>INDEX(LINEST('A1'!B84:B119, 'A1'!C84:E119, TRUE, FALSE), 1, 1)</f>
        <v>-7.1048957992833006E-2</v>
      </c>
      <c r="E120">
        <f>INDEX(LINEST('A1'!B84:B119, 'A1'!C84:E119, TRUE, FALSE), 1, 4)</f>
        <v>7.6213610474117348E-4</v>
      </c>
    </row>
    <row r="121" spans="1:5" x14ac:dyDescent="0.2">
      <c r="A121" s="3">
        <f>'A1'!A121</f>
        <v>41639</v>
      </c>
      <c r="B121">
        <f>INDEX(LINEST('A1'!B85:B120, 'A1'!C85:E120, TRUE, FALSE), 1, 3)</f>
        <v>0.48889754302525468</v>
      </c>
      <c r="C121">
        <f>INDEX(LINEST('A1'!B85:B120, 'A1'!C85:E120, TRUE, FALSE), 1, 2)</f>
        <v>9.2763772464915961E-2</v>
      </c>
      <c r="D121">
        <f>INDEX(LINEST('A1'!B85:B120, 'A1'!C85:E120, TRUE, FALSE), 1, 1)</f>
        <v>-7.7208357817060258E-2</v>
      </c>
      <c r="E121">
        <f>INDEX(LINEST('A1'!B85:B120, 'A1'!C85:E120, TRUE, FALSE), 1, 4)</f>
        <v>6.0545590623185602E-4</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663C5-960D-4EBF-B788-FAF85FD12C5E}">
  <sheetPr>
    <tabColor theme="9" tint="0.59999389629810485"/>
  </sheetPr>
  <dimension ref="A1:O124"/>
  <sheetViews>
    <sheetView topLeftCell="B1" zoomScale="82" workbookViewId="0">
      <selection activeCell="F25" sqref="F25"/>
    </sheetView>
  </sheetViews>
  <sheetFormatPr baseColWidth="10" defaultColWidth="8.83203125" defaultRowHeight="15" x14ac:dyDescent="0.2"/>
  <cols>
    <col min="1" max="1" width="9.33203125" bestFit="1" customWidth="1"/>
    <col min="2" max="2" width="13.33203125" bestFit="1" customWidth="1"/>
    <col min="3" max="3" width="12.83203125" bestFit="1" customWidth="1"/>
    <col min="4" max="4" width="14.1640625" bestFit="1" customWidth="1"/>
    <col min="5" max="5" width="14.33203125" bestFit="1" customWidth="1"/>
    <col min="6" max="9" width="12.6640625" customWidth="1"/>
    <col min="10" max="10" width="13.5" bestFit="1" customWidth="1"/>
    <col min="11" max="11" width="15.1640625" bestFit="1" customWidth="1"/>
    <col min="12" max="12" width="12.6640625" customWidth="1"/>
    <col min="13" max="13" width="20.5" bestFit="1" customWidth="1"/>
    <col min="14" max="14" width="17.6640625" bestFit="1" customWidth="1"/>
    <col min="15" max="15" width="12.83203125" bestFit="1" customWidth="1"/>
    <col min="16" max="16" width="14.83203125" bestFit="1" customWidth="1"/>
    <col min="17" max="17" width="12.6640625" bestFit="1" customWidth="1"/>
    <col min="18" max="18" width="12" bestFit="1" customWidth="1"/>
    <col min="19" max="19" width="13.6640625" bestFit="1" customWidth="1"/>
    <col min="20" max="20" width="12.6640625" bestFit="1" customWidth="1"/>
    <col min="21" max="22" width="12.83203125" bestFit="1" customWidth="1"/>
  </cols>
  <sheetData>
    <row r="1" spans="1:14" x14ac:dyDescent="0.2">
      <c r="A1" s="14" t="s">
        <v>65</v>
      </c>
      <c r="B1" s="7" t="s">
        <v>144</v>
      </c>
      <c r="C1" s="13" t="s">
        <v>25</v>
      </c>
      <c r="D1" s="13" t="s">
        <v>145</v>
      </c>
      <c r="E1" s="13" t="s">
        <v>146</v>
      </c>
      <c r="G1" s="14" t="s">
        <v>129</v>
      </c>
      <c r="H1" s="14" t="s">
        <v>118</v>
      </c>
      <c r="I1" s="14" t="s">
        <v>130</v>
      </c>
      <c r="J1" s="14" t="s">
        <v>131</v>
      </c>
      <c r="L1" s="14" t="s">
        <v>59</v>
      </c>
      <c r="M1" s="14" t="s">
        <v>132</v>
      </c>
      <c r="N1" s="14" t="s">
        <v>133</v>
      </c>
    </row>
    <row r="2" spans="1:14" x14ac:dyDescent="0.2">
      <c r="A2" s="3">
        <f>Data!A2</f>
        <v>38016</v>
      </c>
      <c r="B2">
        <f>Data!C2 - Factors!AB4</f>
        <v>3.4039208613001248E-2</v>
      </c>
      <c r="C2">
        <f>Factors!V4</f>
        <v>2.0422331878443112E-2</v>
      </c>
      <c r="D2">
        <f>Factors!V4 - Factors!W4</f>
        <v>2.8386079797400043E-3</v>
      </c>
      <c r="E2">
        <f>Factors!X4 - Factors!AA4</f>
        <v>2.5090926774071765E-2</v>
      </c>
      <c r="L2" t="s">
        <v>25</v>
      </c>
      <c r="M2">
        <f>INDEX(LINEST(C2:C121, D2:E121, TRUE, TRUE), 3, 1)</f>
        <v>0.22127520982525695</v>
      </c>
      <c r="N2">
        <f>1/(1-M2)</f>
        <v>1.2841507200195894</v>
      </c>
    </row>
    <row r="3" spans="1:14" x14ac:dyDescent="0.2">
      <c r="A3" s="3">
        <f>Data!A3</f>
        <v>38044</v>
      </c>
      <c r="B3">
        <f>Data!C3 - Factors!AB5</f>
        <v>-3.3257653293416012E-2</v>
      </c>
      <c r="C3">
        <f>Factors!V5</f>
        <v>6.3532895335756123E-3</v>
      </c>
      <c r="D3">
        <f>Factors!V5 - Factors!W5</f>
        <v>-1.50785101937152E-2</v>
      </c>
      <c r="E3">
        <f>Factors!X5 - Factors!AA5</f>
        <v>-4.9351122811620574E-3</v>
      </c>
      <c r="L3" t="s">
        <v>147</v>
      </c>
      <c r="M3">
        <f>INDEX(LINEST(D2:D121, CHOOSE({1,2}, C2:C121, E2:E121), TRUE, TRUE), 3, 1)</f>
        <v>2.4522282842459019E-2</v>
      </c>
      <c r="N3" s="8">
        <f>1/(1-M3)</f>
        <v>1.0251387421887144</v>
      </c>
    </row>
    <row r="4" spans="1:14" x14ac:dyDescent="0.2">
      <c r="A4" s="3">
        <f>Data!A4</f>
        <v>38077</v>
      </c>
      <c r="B4">
        <f>Data!C4 - Factors!AB6</f>
        <v>-2.7465167229441478E-2</v>
      </c>
      <c r="C4">
        <f>Factors!V6</f>
        <v>-1.8550190416387391E-2</v>
      </c>
      <c r="D4">
        <f>Factors!V6 - Factors!W6</f>
        <v>-9.7981116101799604E-3</v>
      </c>
      <c r="E4">
        <f>Factors!X6 - Factors!AA6</f>
        <v>2.4405897890121486E-2</v>
      </c>
      <c r="L4" t="s">
        <v>148</v>
      </c>
      <c r="M4">
        <f>INDEX(LINEST(E2:E121, C2:D121, TRUE, TRUE), 3, 1)</f>
        <v>0.21107913027972208</v>
      </c>
      <c r="N4">
        <f>1/(1-M4)</f>
        <v>1.2675542483171511</v>
      </c>
    </row>
    <row r="5" spans="1:14" x14ac:dyDescent="0.2">
      <c r="A5" s="3">
        <f>Data!A5</f>
        <v>38107</v>
      </c>
      <c r="B5">
        <f>Data!C5 - Factors!AB7</f>
        <v>-4.7464744956017935E-2</v>
      </c>
      <c r="C5">
        <f>Factors!V7</f>
        <v>-1.1625293421694494E-2</v>
      </c>
      <c r="D5">
        <f>Factors!V7 - Factors!W7</f>
        <v>1.2814313078132522E-2</v>
      </c>
      <c r="E5">
        <f>Factors!X7 - Factors!AA7</f>
        <v>-3.5285975512780232E-2</v>
      </c>
      <c r="G5" t="s">
        <v>104</v>
      </c>
    </row>
    <row r="6" spans="1:14" ht="16" thickBot="1" x14ac:dyDescent="0.25">
      <c r="A6" s="3">
        <f>Data!A6</f>
        <v>38138</v>
      </c>
      <c r="B6">
        <f>Data!C6 - Factors!AB8</f>
        <v>4.8768475689195512E-2</v>
      </c>
      <c r="C6">
        <f>Factors!V8</f>
        <v>1.863884818484185E-2</v>
      </c>
      <c r="D6">
        <f>Factors!V8 - Factors!W8</f>
        <v>8.4405039616415323E-3</v>
      </c>
      <c r="E6">
        <f>Factors!X8 - Factors!AA8</f>
        <v>2.1933869611774348E-3</v>
      </c>
    </row>
    <row r="7" spans="1:14" x14ac:dyDescent="0.2">
      <c r="A7" s="3">
        <f>Data!A7</f>
        <v>38168</v>
      </c>
      <c r="B7">
        <f>Data!C7 - Factors!AB9</f>
        <v>2.7006950453767997E-2</v>
      </c>
      <c r="C7">
        <f>Factors!V9</f>
        <v>1.2495750518637605E-2</v>
      </c>
      <c r="D7">
        <f>Factors!V9 - Factors!W9</f>
        <v>-1.11324474738006E-2</v>
      </c>
      <c r="E7">
        <f>Factors!X9 - Factors!AA9</f>
        <v>2.2668462092829467E-2</v>
      </c>
      <c r="G7" s="6" t="s">
        <v>105</v>
      </c>
      <c r="H7" s="6"/>
    </row>
    <row r="8" spans="1:14" x14ac:dyDescent="0.2">
      <c r="A8" s="3">
        <f>Data!A8</f>
        <v>38198</v>
      </c>
      <c r="B8">
        <f>Data!C8 - Factors!AB10</f>
        <v>-7.6484300635423441E-2</v>
      </c>
      <c r="C8">
        <f>Factors!V10</f>
        <v>-5.6532161459125096E-2</v>
      </c>
      <c r="D8">
        <f>Factors!V10 - Factors!W10</f>
        <v>-4.2445488955042299E-2</v>
      </c>
      <c r="E8">
        <f>Factors!X10 - Factors!AA10</f>
        <v>-3.4236249490822712E-2</v>
      </c>
      <c r="G8" t="s">
        <v>106</v>
      </c>
      <c r="H8">
        <v>0.94872254538697975</v>
      </c>
    </row>
    <row r="9" spans="1:14" x14ac:dyDescent="0.2">
      <c r="A9" s="3">
        <f>Data!A9</f>
        <v>38230</v>
      </c>
      <c r="B9">
        <f>Data!C9 - Factors!AB11</f>
        <v>-5.4394278513921979E-2</v>
      </c>
      <c r="C9">
        <f>Factors!V11</f>
        <v>-4.9383484064629002E-3</v>
      </c>
      <c r="D9">
        <f>Factors!V11 - Factors!W11</f>
        <v>-1.9159728781794838E-2</v>
      </c>
      <c r="E9">
        <f>Factors!X11 - Factors!AA11</f>
        <v>-9.1842866424752811E-3</v>
      </c>
      <c r="G9" t="s">
        <v>107</v>
      </c>
      <c r="H9">
        <v>0.90007446812554992</v>
      </c>
    </row>
    <row r="10" spans="1:14" x14ac:dyDescent="0.2">
      <c r="A10" s="3">
        <f>Data!A10</f>
        <v>38260</v>
      </c>
      <c r="B10">
        <f>Data!C10 - Factors!AB12</f>
        <v>2.7972314300739543E-2</v>
      </c>
      <c r="C10">
        <f>Factors!V12</f>
        <v>9.510898262141243E-3</v>
      </c>
      <c r="D10">
        <f>Factors!V12 - Factors!W12</f>
        <v>-5.9905211856052798E-3</v>
      </c>
      <c r="E10">
        <f>Factors!X12 - Factors!AA12</f>
        <v>3.611496823020155E-2</v>
      </c>
      <c r="G10" t="s">
        <v>108</v>
      </c>
      <c r="H10">
        <v>0.89749018712879691</v>
      </c>
    </row>
    <row r="11" spans="1:14" x14ac:dyDescent="0.2">
      <c r="A11" s="3">
        <f>Data!A11</f>
        <v>38289</v>
      </c>
      <c r="B11">
        <f>Data!C11 - Factors!AB13</f>
        <v>5.1186953872370822E-2</v>
      </c>
      <c r="C11">
        <f>Factors!V13</f>
        <v>1.5596336929305066E-2</v>
      </c>
      <c r="D11">
        <f>Factors!V13 - Factors!W13</f>
        <v>-1.0274607858691276E-3</v>
      </c>
      <c r="E11">
        <f>Factors!X13 - Factors!AA13</f>
        <v>4.4067203747477635E-3</v>
      </c>
      <c r="G11" t="s">
        <v>109</v>
      </c>
      <c r="H11">
        <v>1.7268148957778902E-2</v>
      </c>
    </row>
    <row r="12" spans="1:14" ht="16" thickBot="1" x14ac:dyDescent="0.25">
      <c r="A12" s="3">
        <f>Data!A12</f>
        <v>38321</v>
      </c>
      <c r="B12">
        <f>Data!C12 - Factors!AB14</f>
        <v>4.7227055091472181E-2</v>
      </c>
      <c r="C12">
        <f>Factors!V14</f>
        <v>3.4398423802710631E-2</v>
      </c>
      <c r="D12">
        <f>Factors!V14 - Factors!W14</f>
        <v>-1.6159537314374139E-2</v>
      </c>
      <c r="E12">
        <f>Factors!X14 - Factors!AA14</f>
        <v>4.6276912821102689E-2</v>
      </c>
      <c r="G12" s="4" t="s">
        <v>110</v>
      </c>
      <c r="H12" s="4">
        <v>120</v>
      </c>
    </row>
    <row r="13" spans="1:14" x14ac:dyDescent="0.2">
      <c r="A13" s="3">
        <f>Data!A13</f>
        <v>38352</v>
      </c>
      <c r="B13">
        <f>Data!C13 - Factors!AB15</f>
        <v>2.6557605202688794E-2</v>
      </c>
      <c r="C13">
        <f>Factors!V15</f>
        <v>3.9208485422053796E-2</v>
      </c>
      <c r="D13">
        <f>Factors!V15 - Factors!W15</f>
        <v>5.7219740771994321E-3</v>
      </c>
      <c r="E13">
        <f>Factors!X15 - Factors!AA15</f>
        <v>-4.4289796701506567E-3</v>
      </c>
    </row>
    <row r="14" spans="1:14" ht="16" thickBot="1" x14ac:dyDescent="0.25">
      <c r="A14" s="3">
        <f>Data!A14</f>
        <v>38383</v>
      </c>
      <c r="B14">
        <f>Data!C14 - Factors!AB16</f>
        <v>-5.409557605565396E-2</v>
      </c>
      <c r="C14">
        <f>Factors!V16</f>
        <v>-3.3348502855081064E-2</v>
      </c>
      <c r="D14">
        <f>Factors!V16 - Factors!W16</f>
        <v>-1.5597855042587927E-2</v>
      </c>
      <c r="E14">
        <f>Factors!X16 - Factors!AA16</f>
        <v>-1.7348382365178439E-2</v>
      </c>
      <c r="G14" t="s">
        <v>111</v>
      </c>
    </row>
    <row r="15" spans="1:14" x14ac:dyDescent="0.2">
      <c r="A15" s="3">
        <f>Data!A15</f>
        <v>38411</v>
      </c>
      <c r="B15">
        <f>Data!C15 - Factors!AB17</f>
        <v>-1.1927351422400534E-3</v>
      </c>
      <c r="C15">
        <f>Factors!V17</f>
        <v>1.06425047805494E-2</v>
      </c>
      <c r="D15">
        <f>Factors!V17 - Factors!W17</f>
        <v>-2.2499515418030303E-2</v>
      </c>
      <c r="E15">
        <f>Factors!X17 - Factors!AA17</f>
        <v>-4.1057787242657628E-3</v>
      </c>
      <c r="G15" s="5"/>
      <c r="H15" s="5" t="s">
        <v>112</v>
      </c>
      <c r="I15" s="5" t="s">
        <v>113</v>
      </c>
      <c r="J15" s="5" t="s">
        <v>114</v>
      </c>
      <c r="K15" s="5" t="s">
        <v>115</v>
      </c>
      <c r="L15" s="5" t="s">
        <v>116</v>
      </c>
    </row>
    <row r="16" spans="1:14" x14ac:dyDescent="0.2">
      <c r="A16" s="3">
        <f>Data!A16</f>
        <v>38442</v>
      </c>
      <c r="B16">
        <f>Data!C16 - Factors!AB18</f>
        <v>-2.519602429492529E-2</v>
      </c>
      <c r="C16">
        <f>Factors!V18</f>
        <v>-1.821934407955017E-2</v>
      </c>
      <c r="D16">
        <f>Factors!V18 - Factors!W18</f>
        <v>-4.4976356246436699E-3</v>
      </c>
      <c r="E16">
        <f>Factors!X18 - Factors!AA18</f>
        <v>-1.0918705421756991E-2</v>
      </c>
      <c r="G16" t="s">
        <v>117</v>
      </c>
      <c r="H16">
        <v>3</v>
      </c>
      <c r="I16">
        <v>0.31156705965333414</v>
      </c>
      <c r="J16">
        <v>0.10385568655111138</v>
      </c>
      <c r="K16">
        <v>348.28815800465799</v>
      </c>
      <c r="L16">
        <v>7.865808911367798E-58</v>
      </c>
    </row>
    <row r="17" spans="1:15" x14ac:dyDescent="0.2">
      <c r="A17" s="3">
        <f>Data!A17</f>
        <v>38471</v>
      </c>
      <c r="B17">
        <f>Data!C17 - Factors!AB19</f>
        <v>-4.1792742128460514E-2</v>
      </c>
      <c r="C17">
        <f>Factors!V19</f>
        <v>-1.9043376817335589E-2</v>
      </c>
      <c r="D17">
        <f>Factors!V19 - Factors!W19</f>
        <v>-1.132809315087524E-3</v>
      </c>
      <c r="E17">
        <f>Factors!X19 - Factors!AA19</f>
        <v>-3.8302915145590477E-2</v>
      </c>
      <c r="G17" t="s">
        <v>118</v>
      </c>
      <c r="H17">
        <v>116</v>
      </c>
      <c r="I17">
        <v>3.4589920337652715E-2</v>
      </c>
      <c r="J17">
        <v>2.9818896842804063E-4</v>
      </c>
    </row>
    <row r="18" spans="1:15" ht="16" thickBot="1" x14ac:dyDescent="0.25">
      <c r="A18" s="3">
        <f>Data!A18</f>
        <v>38503</v>
      </c>
      <c r="B18">
        <f>Data!C18 - Factors!AB20</f>
        <v>7.544962702649971E-2</v>
      </c>
      <c r="C18">
        <f>Factors!V20</f>
        <v>4.8382484297935013E-2</v>
      </c>
      <c r="D18">
        <f>Factors!V20 - Factors!W20</f>
        <v>2.4309576317880888E-2</v>
      </c>
      <c r="E18">
        <f>Factors!X20 - Factors!AA20</f>
        <v>3.3632219756530413E-2</v>
      </c>
      <c r="G18" s="4" t="s">
        <v>119</v>
      </c>
      <c r="H18" s="4">
        <v>119</v>
      </c>
      <c r="I18" s="4">
        <v>0.34615697999098688</v>
      </c>
      <c r="J18" s="4"/>
      <c r="K18" s="4"/>
      <c r="L18" s="4"/>
    </row>
    <row r="19" spans="1:15" ht="16" thickBot="1" x14ac:dyDescent="0.25">
      <c r="A19" s="3">
        <f>Data!A19</f>
        <v>38533</v>
      </c>
      <c r="B19">
        <f>Data!C19 - Factors!AB21</f>
        <v>-1.9681493107627235E-2</v>
      </c>
      <c r="C19">
        <f>Factors!V21</f>
        <v>-3.6864905444146112E-3</v>
      </c>
      <c r="D19">
        <f>Factors!V21 - Factors!W21</f>
        <v>-1.4634831591553321E-2</v>
      </c>
      <c r="E19">
        <f>Factors!X21 - Factors!AA21</f>
        <v>3.7151268662191983E-2</v>
      </c>
    </row>
    <row r="20" spans="1:15" x14ac:dyDescent="0.2">
      <c r="A20" s="3">
        <f>Data!A20</f>
        <v>38562</v>
      </c>
      <c r="B20">
        <f>Data!C20 - Factors!AB22</f>
        <v>5.6072297423153339E-2</v>
      </c>
      <c r="C20">
        <f>Factors!V22</f>
        <v>4.8875218404193399E-2</v>
      </c>
      <c r="D20">
        <f>Factors!V22 - Factors!W22</f>
        <v>1.9943220107236037E-2</v>
      </c>
      <c r="E20">
        <f>Factors!X22 - Factors!AA22</f>
        <v>2.6166996830751632E-2</v>
      </c>
      <c r="G20" s="5"/>
      <c r="H20" s="5" t="s">
        <v>120</v>
      </c>
      <c r="I20" s="5" t="s">
        <v>109</v>
      </c>
      <c r="J20" s="5" t="s">
        <v>121</v>
      </c>
      <c r="K20" s="5" t="s">
        <v>122</v>
      </c>
      <c r="L20" s="5" t="s">
        <v>123</v>
      </c>
      <c r="M20" s="5" t="s">
        <v>124</v>
      </c>
      <c r="N20" s="5" t="s">
        <v>125</v>
      </c>
      <c r="O20" s="5" t="s">
        <v>126</v>
      </c>
    </row>
    <row r="21" spans="1:15" x14ac:dyDescent="0.2">
      <c r="A21" s="3">
        <f>Data!A21</f>
        <v>38595</v>
      </c>
      <c r="B21">
        <f>Data!C21 - Factors!AB23</f>
        <v>-5.1019974355649422E-3</v>
      </c>
      <c r="C21">
        <f>Factors!V23</f>
        <v>-1.2878843090505909E-2</v>
      </c>
      <c r="D21">
        <f>Factors!V23 - Factors!W23</f>
        <v>-8.5300653654503122E-3</v>
      </c>
      <c r="E21">
        <f>Factors!X23 - Factors!AA23</f>
        <v>-9.4164056039929278E-3</v>
      </c>
      <c r="G21" t="s">
        <v>127</v>
      </c>
      <c r="H21">
        <v>-2.702165896936191E-3</v>
      </c>
      <c r="I21">
        <v>1.5986991140706263E-3</v>
      </c>
      <c r="J21">
        <v>-1.6902279316687083</v>
      </c>
      <c r="K21">
        <v>9.3669972176674984E-2</v>
      </c>
      <c r="L21">
        <v>-5.8685909323727848E-3</v>
      </c>
      <c r="M21">
        <v>4.6425913850040241E-4</v>
      </c>
      <c r="N21">
        <v>-5.8685909323727848E-3</v>
      </c>
      <c r="O21">
        <v>4.6425913850040241E-4</v>
      </c>
    </row>
    <row r="22" spans="1:15" x14ac:dyDescent="0.2">
      <c r="A22" s="3">
        <f>Data!A22</f>
        <v>38625</v>
      </c>
      <c r="B22">
        <f>Data!C22 - Factors!AB24</f>
        <v>-9.1459509103053449E-5</v>
      </c>
      <c r="C22">
        <f>Factors!V24</f>
        <v>4.6048521083328353E-3</v>
      </c>
      <c r="D22">
        <f>Factors!V24 - Factors!W24</f>
        <v>-9.4355618191159785E-3</v>
      </c>
      <c r="E22">
        <f>Factors!X24 - Factors!AA24</f>
        <v>-4.9627077149831944E-3</v>
      </c>
      <c r="G22" t="s">
        <v>25</v>
      </c>
      <c r="H22">
        <v>1.1011339728542924</v>
      </c>
      <c r="I22">
        <v>4.144886067399306E-2</v>
      </c>
      <c r="J22">
        <v>26.566085411008533</v>
      </c>
      <c r="K22" s="10">
        <v>3.8429527616046218E-51</v>
      </c>
      <c r="L22">
        <v>1.0190392816310778</v>
      </c>
      <c r="M22">
        <v>1.1832286640775069</v>
      </c>
      <c r="N22">
        <v>1.0190392816310778</v>
      </c>
      <c r="O22">
        <v>1.1832286640775069</v>
      </c>
    </row>
    <row r="23" spans="1:15" x14ac:dyDescent="0.2">
      <c r="A23" s="3">
        <f>Data!A23</f>
        <v>38656</v>
      </c>
      <c r="B23">
        <f>Data!C23 - Factors!AB25</f>
        <v>-2.456135736307441E-2</v>
      </c>
      <c r="C23">
        <f>Factors!V25</f>
        <v>-9.7199283778962586E-3</v>
      </c>
      <c r="D23">
        <f>Factors!V25 - Factors!W25</f>
        <v>1.5677610355328442E-2</v>
      </c>
      <c r="E23">
        <f>Factors!X25 - Factors!AA25</f>
        <v>-1.4378494274390419E-2</v>
      </c>
      <c r="G23" t="s">
        <v>145</v>
      </c>
      <c r="H23">
        <v>0.45214916703304914</v>
      </c>
      <c r="I23">
        <v>9.1052421465137368E-2</v>
      </c>
      <c r="J23">
        <v>4.9658115595110273</v>
      </c>
      <c r="K23" s="10">
        <v>2.3756776891114058E-6</v>
      </c>
      <c r="L23">
        <v>0.27180837349233389</v>
      </c>
      <c r="M23">
        <v>0.63248996057376439</v>
      </c>
      <c r="N23">
        <v>0.27180837349233389</v>
      </c>
      <c r="O23">
        <v>0.63248996057376439</v>
      </c>
    </row>
    <row r="24" spans="1:15" ht="16" thickBot="1" x14ac:dyDescent="0.25">
      <c r="A24" s="3">
        <f>Data!A24</f>
        <v>38686</v>
      </c>
      <c r="B24">
        <f>Data!C24 - Factors!AB26</f>
        <v>6.0937264303516869E-2</v>
      </c>
      <c r="C24">
        <f>Factors!V26</f>
        <v>4.3145157320719996E-2</v>
      </c>
      <c r="D24">
        <f>Factors!V26 - Factors!W26</f>
        <v>1.0445096759038597E-2</v>
      </c>
      <c r="E24">
        <f>Factors!X26 - Factors!AA26</f>
        <v>1.0723679481014603E-2</v>
      </c>
      <c r="G24" s="4" t="s">
        <v>146</v>
      </c>
      <c r="H24" s="4">
        <v>0.17417432645952177</v>
      </c>
      <c r="I24" s="4">
        <v>7.4656959588164623E-2</v>
      </c>
      <c r="J24" s="4">
        <v>2.3329951744664088</v>
      </c>
      <c r="K24" s="12">
        <v>2.1371477772040029E-2</v>
      </c>
      <c r="L24" s="4">
        <v>2.630681103466545E-2</v>
      </c>
      <c r="M24" s="4">
        <v>0.32204184188437812</v>
      </c>
      <c r="N24" s="4">
        <v>2.630681103466545E-2</v>
      </c>
      <c r="O24" s="4">
        <v>0.32204184188437812</v>
      </c>
    </row>
    <row r="25" spans="1:15" x14ac:dyDescent="0.2">
      <c r="A25" s="3">
        <f>Data!A25</f>
        <v>38716</v>
      </c>
      <c r="B25">
        <f>Data!C25 - Factors!AB27</f>
        <v>-3.2513563673520096E-2</v>
      </c>
      <c r="C25">
        <f>Factors!V27</f>
        <v>-3.134922161733944E-3</v>
      </c>
      <c r="D25">
        <f>Factors!V27 - Factors!W27</f>
        <v>-9.276035706300978E-3</v>
      </c>
      <c r="E25">
        <f>Factors!X27 - Factors!AA27</f>
        <v>-4.9183165392930883E-3</v>
      </c>
    </row>
    <row r="26" spans="1:15" x14ac:dyDescent="0.2">
      <c r="A26" s="3">
        <f>Data!A26</f>
        <v>38748</v>
      </c>
      <c r="B26">
        <f>Data!C26 - Factors!AB28</f>
        <v>2.884369520748109E-2</v>
      </c>
      <c r="C26">
        <f>Factors!V28</f>
        <v>1.7555911799518542E-2</v>
      </c>
      <c r="D26">
        <f>Factors!V28 - Factors!W28</f>
        <v>-2.1283242067911212E-2</v>
      </c>
      <c r="E26">
        <f>Factors!X28 - Factors!AA28</f>
        <v>6.3194492052989659E-2</v>
      </c>
    </row>
    <row r="27" spans="1:15" x14ac:dyDescent="0.2">
      <c r="A27" s="3">
        <f>Data!A27</f>
        <v>38776</v>
      </c>
      <c r="B27">
        <f>Data!C27 - Factors!AB29</f>
        <v>-1.2340190405542906E-2</v>
      </c>
      <c r="C27">
        <f>Factors!V29</f>
        <v>-1.5890373835297789E-3</v>
      </c>
      <c r="D27">
        <f>Factors!V29 - Factors!W29</f>
        <v>-7.6931104759693225E-3</v>
      </c>
      <c r="E27">
        <f>Factors!X29 - Factors!AA29</f>
        <v>-5.4668283774368387E-3</v>
      </c>
    </row>
    <row r="28" spans="1:15" x14ac:dyDescent="0.2">
      <c r="A28" s="3">
        <f>Data!A28</f>
        <v>38807</v>
      </c>
      <c r="B28">
        <f>Data!C28 - Factors!AB30</f>
        <v>1.4344275837760545E-2</v>
      </c>
      <c r="C28">
        <f>Factors!V30</f>
        <v>1.476565552060416E-2</v>
      </c>
      <c r="D28">
        <f>Factors!V30 - Factors!W30</f>
        <v>1.218724922272596E-3</v>
      </c>
      <c r="E28">
        <f>Factors!X30 - Factors!AA30</f>
        <v>3.6069976843303264E-2</v>
      </c>
    </row>
    <row r="29" spans="1:15" x14ac:dyDescent="0.2">
      <c r="A29" s="3">
        <f>Data!A29</f>
        <v>38835</v>
      </c>
      <c r="B29">
        <f>Data!C29 - Factors!AB31</f>
        <v>-1.5144485760373194E-2</v>
      </c>
      <c r="C29">
        <f>Factors!V31</f>
        <v>-1.3600246009989325E-3</v>
      </c>
      <c r="D29">
        <f>Factors!V31 - Factors!W31</f>
        <v>-2.6771540102067504E-2</v>
      </c>
      <c r="E29">
        <f>Factors!X31 - Factors!AA31</f>
        <v>-1.3590947316671986E-2</v>
      </c>
      <c r="H29" s="7" t="s">
        <v>136</v>
      </c>
      <c r="I29" s="7">
        <f>1 - SUMSQ(H38:H121) / DEVSQ(B38:B121)</f>
        <v>0.90060514254866131</v>
      </c>
    </row>
    <row r="30" spans="1:15" x14ac:dyDescent="0.2">
      <c r="A30" s="3">
        <f>Data!A30</f>
        <v>38868</v>
      </c>
      <c r="B30">
        <f>Data!C30 - Factors!AB32</f>
        <v>-7.4900557965618675E-2</v>
      </c>
      <c r="C30">
        <f>Factors!V32</f>
        <v>-3.389554763432856E-2</v>
      </c>
      <c r="D30">
        <f>Factors!V32 - Factors!W32</f>
        <v>-8.6361784064806768E-3</v>
      </c>
      <c r="E30">
        <f>Factors!X32 - Factors!AA32</f>
        <v>-2.7378886812217118E-2</v>
      </c>
      <c r="H30" s="7" t="s">
        <v>137</v>
      </c>
      <c r="I30" s="7">
        <f>SQRT( SUMSQ(H38:H121) / COUNT(H38:H121) )</f>
        <v>1.8285297763181742E-2</v>
      </c>
    </row>
    <row r="31" spans="1:15" x14ac:dyDescent="0.2">
      <c r="A31" s="3">
        <f>Data!A31</f>
        <v>38898</v>
      </c>
      <c r="B31">
        <f>Data!C31 - Factors!AB33</f>
        <v>-2.0439837648162151E-2</v>
      </c>
      <c r="C31">
        <f>Factors!V33</f>
        <v>-3.9456266437060128E-3</v>
      </c>
      <c r="D31">
        <f>Factors!V33 - Factors!W33</f>
        <v>-1.0341834374350989E-2</v>
      </c>
      <c r="E31">
        <f>Factors!X33 - Factors!AA33</f>
        <v>5.0737944709020599E-3</v>
      </c>
      <c r="H31" s="7" t="s">
        <v>138</v>
      </c>
      <c r="I31" s="7">
        <f>1 - SUMSQ(I38:I121) / DEVSQ(J38:J121)</f>
        <v>0.86445661050319167</v>
      </c>
    </row>
    <row r="32" spans="1:15" x14ac:dyDescent="0.2">
      <c r="A32" s="3">
        <f>Data!A32</f>
        <v>38929</v>
      </c>
      <c r="B32">
        <f>Data!C32 - Factors!AB34</f>
        <v>-4.1865795195076494E-2</v>
      </c>
      <c r="C32">
        <f>Factors!V34</f>
        <v>-1.9046225927594751E-2</v>
      </c>
      <c r="D32">
        <f>Factors!V34 - Factors!W34</f>
        <v>-4.3349556362262565E-2</v>
      </c>
      <c r="E32">
        <f>Factors!X34 - Factors!AA34</f>
        <v>-3.8707189226529715E-2</v>
      </c>
    </row>
    <row r="33" spans="1:10" x14ac:dyDescent="0.2">
      <c r="A33" s="3">
        <f>Data!A33</f>
        <v>38960</v>
      </c>
      <c r="B33">
        <f>Data!C33 - Factors!AB35</f>
        <v>7.9521160371719635E-2</v>
      </c>
      <c r="C33">
        <f>Factors!V35</f>
        <v>3.1199326197662636E-2</v>
      </c>
      <c r="D33">
        <f>Factors!V35 - Factors!W35</f>
        <v>1.446050450075953E-2</v>
      </c>
      <c r="E33">
        <f>Factors!X35 - Factors!AA35</f>
        <v>5.8143468033713397E-3</v>
      </c>
    </row>
    <row r="34" spans="1:10" x14ac:dyDescent="0.2">
      <c r="A34" s="3">
        <f>Data!A34</f>
        <v>38989</v>
      </c>
      <c r="B34">
        <f>Data!C34 - Factors!AB36</f>
        <v>3.5732556952460026E-2</v>
      </c>
      <c r="C34">
        <f>Factors!V36</f>
        <v>2.7478553725654331E-2</v>
      </c>
      <c r="D34">
        <f>Factors!V36 - Factors!W36</f>
        <v>7.5458035242990107E-3</v>
      </c>
      <c r="E34">
        <f>Factors!X36 - Factors!AA36</f>
        <v>-1.7444759684054789E-2</v>
      </c>
    </row>
    <row r="35" spans="1:10" x14ac:dyDescent="0.2">
      <c r="A35" s="3">
        <f>Data!A35</f>
        <v>39021</v>
      </c>
      <c r="B35">
        <f>Data!C35 - Factors!AB37</f>
        <v>3.7297892948562339E-2</v>
      </c>
      <c r="C35">
        <f>Factors!V37</f>
        <v>3.5153351092670704E-2</v>
      </c>
      <c r="D35">
        <f>Factors!V37 - Factors!W37</f>
        <v>2.4202850356591643E-3</v>
      </c>
      <c r="E35">
        <f>Factors!X37 - Factors!AA37</f>
        <v>2.4991520918881349E-2</v>
      </c>
    </row>
    <row r="36" spans="1:10" x14ac:dyDescent="0.2">
      <c r="A36" s="3">
        <f>Data!A36</f>
        <v>39051</v>
      </c>
      <c r="B36">
        <f>Data!C36 - Factors!AB38</f>
        <v>2.8300846251479994E-2</v>
      </c>
      <c r="C36">
        <f>Factors!V38</f>
        <v>1.9844377737549213E-2</v>
      </c>
      <c r="D36">
        <f>Factors!V38 - Factors!W38</f>
        <v>-2.9841881146486227E-3</v>
      </c>
      <c r="E36">
        <f>Factors!X38 - Factors!AA38</f>
        <v>7.2892806854385483E-3</v>
      </c>
    </row>
    <row r="37" spans="1:10" x14ac:dyDescent="0.2">
      <c r="A37" s="3">
        <f>Data!A37</f>
        <v>39080</v>
      </c>
      <c r="B37">
        <f>Data!C37 - Factors!AB39</f>
        <v>-1.7699891611655638E-2</v>
      </c>
      <c r="C37">
        <f>Factors!V39</f>
        <v>3.3862167312690428E-3</v>
      </c>
      <c r="D37">
        <f>Factors!V39 - Factors!W39</f>
        <v>-1.9062226737888599E-2</v>
      </c>
      <c r="E37">
        <f>Factors!X39 - Factors!AA39</f>
        <v>-1.0679034298714196E-2</v>
      </c>
      <c r="G37" s="147" t="s">
        <v>139</v>
      </c>
      <c r="H37" s="147"/>
      <c r="I37" s="147"/>
      <c r="J37" s="147"/>
    </row>
    <row r="38" spans="1:10" x14ac:dyDescent="0.2">
      <c r="A38" s="3">
        <f>Data!A38</f>
        <v>39113</v>
      </c>
      <c r="B38">
        <f>Data!C38 - Factors!AB40</f>
        <v>1.1683083768413427E-2</v>
      </c>
      <c r="C38">
        <f>Factors!V40</f>
        <v>2.5705948254719502E-2</v>
      </c>
      <c r="D38">
        <f>Factors!V40 - Factors!W40</f>
        <v>1.2918129661763089E-2</v>
      </c>
      <c r="E38">
        <f>Factors!X40 - Factors!AA40</f>
        <v>1.6108121746425397E-3</v>
      </c>
      <c r="G38" cm="1">
        <f t="array" ref="G38">TREND(B2:B37, C2:E37, C38:E38, TRUE)</f>
        <v>3.2359965180023417E-2</v>
      </c>
      <c r="H38">
        <f t="shared" ref="H38:H69" si="0">B38 - G38</f>
        <v>-2.067688141160999E-2</v>
      </c>
      <c r="I38">
        <f t="shared" ref="I38:I69" si="1">IF(OR(YEAR(A38)=2008, YEAR(A38)=2009), "", H38)</f>
        <v>-2.067688141160999E-2</v>
      </c>
      <c r="J38">
        <f t="shared" ref="J38:J69" si="2">IF(OR(YEAR(A38)=2008, YEAR(A38)=2009), "", B38)</f>
        <v>1.1683083768413427E-2</v>
      </c>
    </row>
    <row r="39" spans="1:10" x14ac:dyDescent="0.2">
      <c r="A39" s="3">
        <f>Data!A39</f>
        <v>39141</v>
      </c>
      <c r="B39">
        <f>Data!C39 - Factors!AB41</f>
        <v>-3.4536322859700319E-2</v>
      </c>
      <c r="C39">
        <f>Factors!V41</f>
        <v>-1.8796556083841787E-2</v>
      </c>
      <c r="D39">
        <f>Factors!V41 - Factors!W41</f>
        <v>-3.2067182550092888E-3</v>
      </c>
      <c r="E39">
        <f>Factors!X41 - Factors!AA41</f>
        <v>1.162390225569887E-2</v>
      </c>
      <c r="G39" cm="1">
        <f t="array" ref="G39">TREND(B3:B38, C3:E38, C39:E39, TRUE)</f>
        <v>-2.8106621750132531E-2</v>
      </c>
      <c r="H39">
        <f t="shared" si="0"/>
        <v>-6.4297011095677883E-3</v>
      </c>
      <c r="I39">
        <f t="shared" si="1"/>
        <v>-6.4297011095677883E-3</v>
      </c>
      <c r="J39">
        <f t="shared" si="2"/>
        <v>-3.4536322859700319E-2</v>
      </c>
    </row>
    <row r="40" spans="1:10" x14ac:dyDescent="0.2">
      <c r="A40" s="3">
        <f>Data!A40</f>
        <v>39171</v>
      </c>
      <c r="B40">
        <f>Data!C40 - Factors!AB42</f>
        <v>1.208144827337998E-3</v>
      </c>
      <c r="C40">
        <f>Factors!V42</f>
        <v>5.423695981131349E-3</v>
      </c>
      <c r="D40">
        <f>Factors!V42 - Factors!W42</f>
        <v>-1.0037373126347449E-2</v>
      </c>
      <c r="E40">
        <f>Factors!X42 - Factors!AA42</f>
        <v>-4.795475412939787E-4</v>
      </c>
      <c r="G40" cm="1">
        <f t="array" ref="G40">TREND(B4:B39, C4:E39, C40:E40, TRUE)</f>
        <v>-4.3093058367693789E-4</v>
      </c>
      <c r="H40">
        <f t="shared" si="0"/>
        <v>1.6390754110149359E-3</v>
      </c>
      <c r="I40">
        <f t="shared" si="1"/>
        <v>1.6390754110149359E-3</v>
      </c>
      <c r="J40">
        <f t="shared" si="2"/>
        <v>1.208144827337998E-3</v>
      </c>
    </row>
    <row r="41" spans="1:10" x14ac:dyDescent="0.2">
      <c r="A41" s="3">
        <f>Data!A41</f>
        <v>39202</v>
      </c>
      <c r="B41">
        <f>Data!C41 - Factors!AB43</f>
        <v>4.9764512789630899E-2</v>
      </c>
      <c r="C41">
        <f>Factors!V43</f>
        <v>4.707987296336702E-2</v>
      </c>
      <c r="D41">
        <f>Factors!V43 - Factors!W43</f>
        <v>1.0127429963334267E-2</v>
      </c>
      <c r="E41">
        <f>Factors!X43 - Factors!AA43</f>
        <v>-2.6332883781123639E-2</v>
      </c>
      <c r="G41" cm="1">
        <f t="array" ref="G41">TREND(B5:B40, C5:E40, C41:E41, TRUE)</f>
        <v>5.3038447296380062E-2</v>
      </c>
      <c r="H41">
        <f t="shared" si="0"/>
        <v>-3.2739345067491626E-3</v>
      </c>
      <c r="I41">
        <f t="shared" si="1"/>
        <v>-3.2739345067491626E-3</v>
      </c>
      <c r="J41">
        <f t="shared" si="2"/>
        <v>4.9764512789630899E-2</v>
      </c>
    </row>
    <row r="42" spans="1:10" x14ac:dyDescent="0.2">
      <c r="A42" s="3">
        <f>Data!A42</f>
        <v>39233</v>
      </c>
      <c r="B42">
        <f>Data!C42 - Factors!AB44</f>
        <v>3.5495399510492742E-2</v>
      </c>
      <c r="C42">
        <f>Factors!V44</f>
        <v>3.5975204898190061E-2</v>
      </c>
      <c r="D42">
        <f>Factors!V44 - Factors!W44</f>
        <v>-9.3881959599917408E-5</v>
      </c>
      <c r="E42">
        <f>Factors!X44 - Factors!AA44</f>
        <v>6.0604239015225048E-3</v>
      </c>
      <c r="G42" cm="1">
        <f t="array" ref="G42">TREND(B6:B41, C6:E41, C42:E42, TRUE)</f>
        <v>4.3612393183547545E-2</v>
      </c>
      <c r="H42">
        <f t="shared" si="0"/>
        <v>-8.1169936730548023E-3</v>
      </c>
      <c r="I42">
        <f t="shared" si="1"/>
        <v>-8.1169936730548023E-3</v>
      </c>
      <c r="J42">
        <f t="shared" si="2"/>
        <v>3.5495399510492742E-2</v>
      </c>
    </row>
    <row r="43" spans="1:10" x14ac:dyDescent="0.2">
      <c r="A43" s="3">
        <f>Data!A43</f>
        <v>39262</v>
      </c>
      <c r="B43">
        <f>Data!C43 - Factors!AB45</f>
        <v>2.552054476876231E-3</v>
      </c>
      <c r="C43">
        <f>Factors!V45</f>
        <v>-1.492726451014581E-2</v>
      </c>
      <c r="D43">
        <f>Factors!V45 - Factors!W45</f>
        <v>8.4383637363861785E-3</v>
      </c>
      <c r="E43">
        <f>Factors!X45 - Factors!AA45</f>
        <v>1.9844549717619175E-3</v>
      </c>
      <c r="G43" cm="1">
        <f t="array" ref="G43">TREND(B7:B42, C7:E42, C43:E43, TRUE)</f>
        <v>-2.3041334278429547E-2</v>
      </c>
      <c r="H43">
        <f t="shared" si="0"/>
        <v>2.5593388755305778E-2</v>
      </c>
      <c r="I43">
        <f t="shared" si="1"/>
        <v>2.5593388755305778E-2</v>
      </c>
      <c r="J43">
        <f t="shared" si="2"/>
        <v>2.552054476876231E-3</v>
      </c>
    </row>
    <row r="44" spans="1:10" x14ac:dyDescent="0.2">
      <c r="A44" s="3">
        <f>Data!A44</f>
        <v>39294</v>
      </c>
      <c r="B44">
        <f>Data!C44 - Factors!AB46</f>
        <v>-8.366790057031781E-3</v>
      </c>
      <c r="C44">
        <f>Factors!V46</f>
        <v>-1.5502960114456732E-2</v>
      </c>
      <c r="D44">
        <f>Factors!V46 - Factors!W46</f>
        <v>3.0741080384877773E-2</v>
      </c>
      <c r="E44">
        <f>Factors!X46 - Factors!AA46</f>
        <v>-3.7389864487917479E-2</v>
      </c>
      <c r="G44" cm="1">
        <f t="array" ref="G44">TREND(B8:B43, C8:E43, C44:E44, TRUE)</f>
        <v>-2.2168960817478055E-2</v>
      </c>
      <c r="H44">
        <f t="shared" si="0"/>
        <v>1.3802170760446274E-2</v>
      </c>
      <c r="I44">
        <f t="shared" si="1"/>
        <v>1.3802170760446274E-2</v>
      </c>
      <c r="J44">
        <f t="shared" si="2"/>
        <v>-8.366790057031781E-3</v>
      </c>
    </row>
    <row r="45" spans="1:10" x14ac:dyDescent="0.2">
      <c r="A45" s="3">
        <f>Data!A45</f>
        <v>39325</v>
      </c>
      <c r="B45">
        <f>Data!C45 - Factors!AB47</f>
        <v>2.3463331563384315E-2</v>
      </c>
      <c r="C45">
        <f>Factors!V47</f>
        <v>1.5934412506347861E-2</v>
      </c>
      <c r="D45">
        <f>Factors!V47 - Factors!W47</f>
        <v>4.7294606771688397E-3</v>
      </c>
      <c r="E45">
        <f>Factors!X47 - Factors!AA47</f>
        <v>7.675689118750384E-3</v>
      </c>
      <c r="G45" cm="1">
        <f t="array" ref="G45">TREND(B9:B44, C9:E44, C45:E45, TRUE)</f>
        <v>1.9579357489075588E-2</v>
      </c>
      <c r="H45">
        <f t="shared" si="0"/>
        <v>3.8839740743087277E-3</v>
      </c>
      <c r="I45">
        <f t="shared" si="1"/>
        <v>3.8839740743087277E-3</v>
      </c>
      <c r="J45">
        <f t="shared" si="2"/>
        <v>2.3463331563384315E-2</v>
      </c>
    </row>
    <row r="46" spans="1:10" x14ac:dyDescent="0.2">
      <c r="A46" s="3">
        <f>Data!A46</f>
        <v>39353</v>
      </c>
      <c r="B46">
        <f>Data!C46 - Factors!AB48</f>
        <v>3.4348307870654571E-2</v>
      </c>
      <c r="C46">
        <f>Factors!V48</f>
        <v>4.1890197461662781E-2</v>
      </c>
      <c r="D46">
        <f>Factors!V48 - Factors!W48</f>
        <v>7.5423621526020668E-3</v>
      </c>
      <c r="E46">
        <f>Factors!X48 - Factors!AA48</f>
        <v>-2.0233866446087267E-2</v>
      </c>
      <c r="G46" cm="1">
        <f t="array" ref="G46">TREND(B10:B45, C10:E45, C46:E46, TRUE)</f>
        <v>4.673591099075821E-2</v>
      </c>
      <c r="H46">
        <f t="shared" si="0"/>
        <v>-1.2387603120103639E-2</v>
      </c>
      <c r="I46">
        <f t="shared" si="1"/>
        <v>-1.2387603120103639E-2</v>
      </c>
      <c r="J46">
        <f t="shared" si="2"/>
        <v>3.4348307870654571E-2</v>
      </c>
    </row>
    <row r="47" spans="1:10" x14ac:dyDescent="0.2">
      <c r="A47" s="3">
        <f>Data!A47</f>
        <v>39386</v>
      </c>
      <c r="B47">
        <f>Data!C47 - Factors!AB49</f>
        <v>6.8327326465340565E-2</v>
      </c>
      <c r="C47">
        <f>Factors!V49</f>
        <v>3.403417935361297E-2</v>
      </c>
      <c r="D47">
        <f>Factors!V49 - Factors!W49</f>
        <v>3.3923203075998609E-2</v>
      </c>
      <c r="E47">
        <f>Factors!X49 - Factors!AA49</f>
        <v>1.2783871691648407E-2</v>
      </c>
      <c r="G47" cm="1">
        <f t="array" ref="G47">TREND(B11:B46, C11:E46, C47:E47, TRUE)</f>
        <v>5.4232199456916604E-2</v>
      </c>
      <c r="H47">
        <f t="shared" si="0"/>
        <v>1.4095127008423962E-2</v>
      </c>
      <c r="I47">
        <f t="shared" si="1"/>
        <v>1.4095127008423962E-2</v>
      </c>
      <c r="J47">
        <f t="shared" si="2"/>
        <v>6.8327326465340565E-2</v>
      </c>
    </row>
    <row r="48" spans="1:10" x14ac:dyDescent="0.2">
      <c r="A48" s="3">
        <f>Data!A48</f>
        <v>39416</v>
      </c>
      <c r="B48">
        <f>Data!C48 - Factors!AB50</f>
        <v>-8.4061752820858371E-2</v>
      </c>
      <c r="C48">
        <f>Factors!V50</f>
        <v>-3.6837044372011407E-2</v>
      </c>
      <c r="D48">
        <f>Factors!V50 - Factors!W50</f>
        <v>1.2036550788029898E-2</v>
      </c>
      <c r="E48">
        <f>Factors!X50 - Factors!AA50</f>
        <v>-2.9999415934236828E-2</v>
      </c>
      <c r="G48" cm="1">
        <f t="array" ref="G48">TREND(B12:B47, C12:E47, C48:E48, TRUE)</f>
        <v>-4.9353475239543657E-2</v>
      </c>
      <c r="H48">
        <f t="shared" si="0"/>
        <v>-3.4708277581314714E-2</v>
      </c>
      <c r="I48">
        <f t="shared" si="1"/>
        <v>-3.4708277581314714E-2</v>
      </c>
      <c r="J48">
        <f t="shared" si="2"/>
        <v>-8.4061752820858371E-2</v>
      </c>
    </row>
    <row r="49" spans="1:10" x14ac:dyDescent="0.2">
      <c r="A49" s="3">
        <f>Data!A49</f>
        <v>39447</v>
      </c>
      <c r="B49">
        <f>Data!C49 - Factors!AB51</f>
        <v>1.2356464674060152E-2</v>
      </c>
      <c r="C49">
        <f>Factors!V51</f>
        <v>-3.6159777309874297E-3</v>
      </c>
      <c r="D49">
        <f>Factors!V51 - Factors!W51</f>
        <v>6.0546061181483424E-3</v>
      </c>
      <c r="E49">
        <f>Factors!X51 - Factors!AA51</f>
        <v>6.3138124493357095E-3</v>
      </c>
      <c r="G49" cm="1">
        <f t="array" ref="G49">TREND(B13:B48, C13:E48, C49:E49, TRUE)</f>
        <v>-6.946676059058899E-3</v>
      </c>
      <c r="H49">
        <f t="shared" si="0"/>
        <v>1.9303140733119051E-2</v>
      </c>
      <c r="I49">
        <f t="shared" si="1"/>
        <v>1.9303140733119051E-2</v>
      </c>
      <c r="J49">
        <f t="shared" si="2"/>
        <v>1.2356464674060152E-2</v>
      </c>
    </row>
    <row r="50" spans="1:10" x14ac:dyDescent="0.2">
      <c r="A50" s="3">
        <f>Data!A50</f>
        <v>39478</v>
      </c>
      <c r="B50">
        <f>Data!C50 - Factors!AB52</f>
        <v>-0.12881902122584132</v>
      </c>
      <c r="C50">
        <f>Factors!V52</f>
        <v>-7.7976795890217332E-2</v>
      </c>
      <c r="D50">
        <f>Factors!V52 - Factors!W52</f>
        <v>-3.792434701698455E-2</v>
      </c>
      <c r="E50">
        <f>Factors!X52 - Factors!AA52</f>
        <v>-8.2128785200686893E-3</v>
      </c>
      <c r="G50" cm="1">
        <f t="array" ref="G50">TREND(B14:B49, C14:E49, C50:E50, TRUE)</f>
        <v>-0.12317882865479217</v>
      </c>
      <c r="H50">
        <f t="shared" si="0"/>
        <v>-5.6401925710491546E-3</v>
      </c>
      <c r="I50" t="str">
        <f t="shared" si="1"/>
        <v/>
      </c>
      <c r="J50" t="str">
        <f t="shared" si="2"/>
        <v/>
      </c>
    </row>
    <row r="51" spans="1:10" x14ac:dyDescent="0.2">
      <c r="A51" s="3">
        <f>Data!A51</f>
        <v>39507</v>
      </c>
      <c r="B51">
        <f>Data!C51 - Factors!AB53</f>
        <v>-4.1771689838375314E-2</v>
      </c>
      <c r="C51">
        <f>Factors!V53</f>
        <v>-1.9860994839332013E-2</v>
      </c>
      <c r="D51">
        <f>Factors!V53 - Factors!W53</f>
        <v>2.2037328694160085E-2</v>
      </c>
      <c r="E51">
        <f>Factors!X53 - Factors!AA53</f>
        <v>-4.5811369785929701E-3</v>
      </c>
      <c r="G51" cm="1">
        <f t="array" ref="G51">TREND(B15:B50, C15:E50, C51:E51, TRUE)</f>
        <v>-2.3800861670470342E-2</v>
      </c>
      <c r="H51">
        <f t="shared" si="0"/>
        <v>-1.7970828167904972E-2</v>
      </c>
      <c r="I51" t="str">
        <f t="shared" si="1"/>
        <v/>
      </c>
      <c r="J51" t="str">
        <f t="shared" si="2"/>
        <v/>
      </c>
    </row>
    <row r="52" spans="1:10" x14ac:dyDescent="0.2">
      <c r="A52" s="3">
        <f>Data!A52</f>
        <v>39538</v>
      </c>
      <c r="B52">
        <f>Data!C52 - Factors!AB54</f>
        <v>7.3339541624650728E-3</v>
      </c>
      <c r="C52">
        <f>Factors!V54</f>
        <v>-6.0885267919185138E-3</v>
      </c>
      <c r="D52">
        <f>Factors!V54 - Factors!W54</f>
        <v>1.4310134315653755E-3</v>
      </c>
      <c r="E52">
        <f>Factors!X54 - Factors!AA54</f>
        <v>8.5069695310904248E-3</v>
      </c>
      <c r="G52" cm="1">
        <f t="array" ref="G52">TREND(B16:B51, C16:E51, C52:E52, TRUE)</f>
        <v>-1.227732636214449E-2</v>
      </c>
      <c r="H52">
        <f t="shared" si="0"/>
        <v>1.9611280524609562E-2</v>
      </c>
      <c r="I52" t="str">
        <f t="shared" si="1"/>
        <v/>
      </c>
      <c r="J52" t="str">
        <f t="shared" si="2"/>
        <v/>
      </c>
    </row>
    <row r="53" spans="1:10" x14ac:dyDescent="0.2">
      <c r="A53" s="3">
        <f>Data!A53</f>
        <v>39568</v>
      </c>
      <c r="B53">
        <f>Data!C53 - Factors!AB55</f>
        <v>6.8051738959721497E-2</v>
      </c>
      <c r="C53">
        <f>Factors!V55</f>
        <v>5.2500067033054876E-2</v>
      </c>
      <c r="D53">
        <f>Factors!V55 - Factors!W55</f>
        <v>3.7542386036695241E-3</v>
      </c>
      <c r="E53">
        <f>Factors!X55 - Factors!AA55</f>
        <v>-6.8327653463211568E-3</v>
      </c>
      <c r="G53" cm="1">
        <f t="array" ref="G53">TREND(B17:B52, C17:E52, C53:E53, TRUE)</f>
        <v>6.4800902616981251E-2</v>
      </c>
      <c r="H53">
        <f t="shared" si="0"/>
        <v>3.2508363427402459E-3</v>
      </c>
      <c r="I53" t="str">
        <f t="shared" si="1"/>
        <v/>
      </c>
      <c r="J53" t="str">
        <f t="shared" si="2"/>
        <v/>
      </c>
    </row>
    <row r="54" spans="1:10" x14ac:dyDescent="0.2">
      <c r="A54" s="3">
        <f>Data!A54</f>
        <v>39598</v>
      </c>
      <c r="B54">
        <f>Data!C54 - Factors!AB56</f>
        <v>5.5040734930792423E-2</v>
      </c>
      <c r="C54">
        <f>Factors!V56</f>
        <v>3.6653489461042854E-2</v>
      </c>
      <c r="D54">
        <f>Factors!V56 - Factors!W56</f>
        <v>3.8239878086128165E-2</v>
      </c>
      <c r="E54">
        <f>Factors!X56 - Factors!AA56</f>
        <v>3.298415139598454E-2</v>
      </c>
      <c r="G54" cm="1">
        <f t="array" ref="G54">TREND(B18:B53, C18:E53, C54:E54, TRUE)</f>
        <v>6.4329654944218717E-2</v>
      </c>
      <c r="H54">
        <f t="shared" si="0"/>
        <v>-9.2889200134262939E-3</v>
      </c>
      <c r="I54" t="str">
        <f t="shared" si="1"/>
        <v/>
      </c>
      <c r="J54" t="str">
        <f t="shared" si="2"/>
        <v/>
      </c>
    </row>
    <row r="55" spans="1:10" x14ac:dyDescent="0.2">
      <c r="A55" s="3">
        <f>Data!A55</f>
        <v>39629</v>
      </c>
      <c r="B55">
        <f>Data!C55 - Factors!AB57</f>
        <v>-9.4229479183864817E-2</v>
      </c>
      <c r="C55">
        <f>Factors!V57</f>
        <v>-7.2021968817796989E-2</v>
      </c>
      <c r="D55">
        <f>Factors!V57 - Factors!W57</f>
        <v>2.369976574593613E-2</v>
      </c>
      <c r="E55">
        <f>Factors!X57 - Factors!AA57</f>
        <v>7.3160254268300751E-3</v>
      </c>
      <c r="G55" cm="1">
        <f t="array" ref="G55">TREND(B19:B54, C19:E54, C55:E55, TRUE)</f>
        <v>-9.5090064766341575E-2</v>
      </c>
      <c r="H55">
        <f t="shared" si="0"/>
        <v>8.6058558247675832E-4</v>
      </c>
      <c r="I55" t="str">
        <f t="shared" si="1"/>
        <v/>
      </c>
      <c r="J55" t="str">
        <f t="shared" si="2"/>
        <v/>
      </c>
    </row>
    <row r="56" spans="1:10" x14ac:dyDescent="0.2">
      <c r="A56" s="3">
        <f>Data!A56</f>
        <v>39660</v>
      </c>
      <c r="B56">
        <f>Data!C56 - Factors!AB58</f>
        <v>-1.4161846242371712E-2</v>
      </c>
      <c r="C56">
        <f>Factors!V58</f>
        <v>-1.9012315578744277E-2</v>
      </c>
      <c r="D56">
        <f>Factors!V58 - Factors!W58</f>
        <v>-1.5401811486000061E-2</v>
      </c>
      <c r="E56">
        <f>Factors!X58 - Factors!AA58</f>
        <v>4.5412567982267005E-2</v>
      </c>
      <c r="G56" cm="1">
        <f t="array" ref="G56">TREND(B20:B55, C20:E55, C56:E56, TRUE)</f>
        <v>-2.5432858754328012E-2</v>
      </c>
      <c r="H56">
        <f t="shared" si="0"/>
        <v>1.1271012511956301E-2</v>
      </c>
      <c r="I56" t="str">
        <f t="shared" si="1"/>
        <v/>
      </c>
      <c r="J56" t="str">
        <f t="shared" si="2"/>
        <v/>
      </c>
    </row>
    <row r="57" spans="1:10" x14ac:dyDescent="0.2">
      <c r="A57" s="3">
        <f>Data!A57</f>
        <v>39689</v>
      </c>
      <c r="B57">
        <f>Data!C57 - Factors!AB59</f>
        <v>2.0024276736701596E-2</v>
      </c>
      <c r="C57">
        <f>Factors!V59</f>
        <v>1.0767427405425245E-2</v>
      </c>
      <c r="D57">
        <f>Factors!V59 - Factors!W59</f>
        <v>-6.2204602678361809E-3</v>
      </c>
      <c r="E57">
        <f>Factors!X59 - Factors!AA59</f>
        <v>2.1679028818660129E-2</v>
      </c>
      <c r="G57" cm="1">
        <f t="array" ref="G57">TREND(B21:B56, C21:E56, C57:E57, TRUE)</f>
        <v>1.4011639189261276E-2</v>
      </c>
      <c r="H57">
        <f t="shared" si="0"/>
        <v>6.01263754744032E-3</v>
      </c>
      <c r="I57" t="str">
        <f t="shared" si="1"/>
        <v/>
      </c>
      <c r="J57" t="str">
        <f t="shared" si="2"/>
        <v/>
      </c>
    </row>
    <row r="58" spans="1:10" x14ac:dyDescent="0.2">
      <c r="A58" s="3">
        <f>Data!A58</f>
        <v>39721</v>
      </c>
      <c r="B58">
        <f>Data!C58 - Factors!AB60</f>
        <v>-0.1291928184563631</v>
      </c>
      <c r="C58">
        <f>Factors!V60</f>
        <v>-0.11580462484802945</v>
      </c>
      <c r="D58">
        <f>Factors!V60 - Factors!W60</f>
        <v>-4.2334276305783791E-2</v>
      </c>
      <c r="E58">
        <f>Factors!X60 - Factors!AA60</f>
        <v>9.4270843044443886E-3</v>
      </c>
      <c r="G58" cm="1">
        <f t="array" ref="G58">TREND(B22:B57, C22:E57, C58:E58, TRUE)</f>
        <v>-0.17411587482595861</v>
      </c>
      <c r="H58">
        <f t="shared" si="0"/>
        <v>4.492305636959551E-2</v>
      </c>
      <c r="I58" t="str">
        <f t="shared" si="1"/>
        <v/>
      </c>
      <c r="J58" t="str">
        <f t="shared" si="2"/>
        <v/>
      </c>
    </row>
    <row r="59" spans="1:10" x14ac:dyDescent="0.2">
      <c r="A59" s="3">
        <f>Data!A59</f>
        <v>39752</v>
      </c>
      <c r="B59">
        <f>Data!C59 - Factors!AB61</f>
        <v>-0.17914501003464267</v>
      </c>
      <c r="C59">
        <f>Factors!V61</f>
        <v>-0.17605926158179841</v>
      </c>
      <c r="D59">
        <f>Factors!V61 - Factors!W61</f>
        <v>-2.9459230305323159E-3</v>
      </c>
      <c r="E59">
        <f>Factors!X61 - Factors!AA61</f>
        <v>-4.0081752802784587E-2</v>
      </c>
      <c r="G59" cm="1">
        <f t="array" ref="G59">TREND(B23:B58, C23:E58, C59:E59, TRUE)</f>
        <v>-0.2414157059609687</v>
      </c>
      <c r="H59">
        <f t="shared" si="0"/>
        <v>6.2270695926326031E-2</v>
      </c>
      <c r="I59" t="str">
        <f t="shared" si="1"/>
        <v/>
      </c>
      <c r="J59" t="str">
        <f t="shared" si="2"/>
        <v/>
      </c>
    </row>
    <row r="60" spans="1:10" x14ac:dyDescent="0.2">
      <c r="A60" s="3">
        <f>Data!A60</f>
        <v>39780</v>
      </c>
      <c r="B60">
        <f>Data!C60 - Factors!AB62</f>
        <v>-0.11346512212976811</v>
      </c>
      <c r="C60">
        <f>Factors!V62</f>
        <v>-7.9529317520706244E-2</v>
      </c>
      <c r="D60">
        <f>Factors!V62 - Factors!W62</f>
        <v>-7.8204886478645541E-3</v>
      </c>
      <c r="E60">
        <f>Factors!X62 - Factors!AA62</f>
        <v>-4.6531929123046267E-2</v>
      </c>
      <c r="G60" cm="1">
        <f t="array" ref="G60">TREND(B24:B59, C24:E59, C60:E60, TRUE)</f>
        <v>-0.10798794082714186</v>
      </c>
      <c r="H60">
        <f t="shared" si="0"/>
        <v>-5.477181302626255E-3</v>
      </c>
      <c r="I60" t="str">
        <f t="shared" si="1"/>
        <v/>
      </c>
      <c r="J60" t="str">
        <f t="shared" si="2"/>
        <v/>
      </c>
    </row>
    <row r="61" spans="1:10" x14ac:dyDescent="0.2">
      <c r="A61" s="3">
        <f>Data!A61</f>
        <v>39813</v>
      </c>
      <c r="B61">
        <f>Data!C61 - Factors!AB63</f>
        <v>1.7265384758862856E-2</v>
      </c>
      <c r="C61">
        <f>Factors!V63</f>
        <v>1.8073274640504344E-2</v>
      </c>
      <c r="D61">
        <f>Factors!V63 - Factors!W63</f>
        <v>4.1926088948296414E-3</v>
      </c>
      <c r="E61">
        <f>Factors!X63 - Factors!AA63</f>
        <v>4.7400774822171865E-2</v>
      </c>
      <c r="G61" cm="1">
        <f t="array" ref="G61">TREND(B25:B60, C25:E60, C61:E61, TRUE)</f>
        <v>3.2793575899987458E-2</v>
      </c>
      <c r="H61">
        <f t="shared" si="0"/>
        <v>-1.5528191141124602E-2</v>
      </c>
      <c r="I61" t="str">
        <f t="shared" si="1"/>
        <v/>
      </c>
      <c r="J61" t="str">
        <f t="shared" si="2"/>
        <v/>
      </c>
    </row>
    <row r="62" spans="1:10" x14ac:dyDescent="0.2">
      <c r="A62" s="3">
        <f>Data!A62</f>
        <v>39843</v>
      </c>
      <c r="B62">
        <f>Data!C62 - Factors!AB64</f>
        <v>-3.0588899599946595E-2</v>
      </c>
      <c r="C62">
        <f>Factors!V64</f>
        <v>-4.8104662647895147E-2</v>
      </c>
      <c r="D62">
        <f>Factors!V64 - Factors!W64</f>
        <v>6.6884874725580135E-2</v>
      </c>
      <c r="E62">
        <f>Factors!X64 - Factors!AA64</f>
        <v>-2.6935101076665857E-2</v>
      </c>
      <c r="G62" cm="1">
        <f t="array" ref="G62">TREND(B26:B61, C26:E61, C62:E62, TRUE)</f>
        <v>-3.9865636211948351E-2</v>
      </c>
      <c r="H62">
        <f t="shared" si="0"/>
        <v>9.2767366120017555E-3</v>
      </c>
      <c r="I62" t="str">
        <f t="shared" si="1"/>
        <v/>
      </c>
      <c r="J62" t="str">
        <f t="shared" si="2"/>
        <v/>
      </c>
    </row>
    <row r="63" spans="1:10" x14ac:dyDescent="0.2">
      <c r="A63" s="3">
        <f>Data!A63</f>
        <v>39871</v>
      </c>
      <c r="B63">
        <f>Data!C63 - Factors!AB65</f>
        <v>-4.1575047738343973E-2</v>
      </c>
      <c r="C63">
        <f>Factors!V65</f>
        <v>-7.5228636117543712E-2</v>
      </c>
      <c r="D63">
        <f>Factors!V65 - Factors!W65</f>
        <v>5.8381002966660822E-2</v>
      </c>
      <c r="E63">
        <f>Factors!X65 - Factors!AA65</f>
        <v>-1.5045586396964739E-2</v>
      </c>
      <c r="G63" cm="1">
        <f t="array" ref="G63">TREND(B27:B62, C27:E62, C63:E63, TRUE)</f>
        <v>-6.6684968748925322E-2</v>
      </c>
      <c r="H63">
        <f t="shared" si="0"/>
        <v>2.5109921010581349E-2</v>
      </c>
      <c r="I63" t="str">
        <f t="shared" si="1"/>
        <v/>
      </c>
      <c r="J63" t="str">
        <f t="shared" si="2"/>
        <v/>
      </c>
    </row>
    <row r="64" spans="1:10" x14ac:dyDescent="0.2">
      <c r="A64" s="3">
        <f>Data!A64</f>
        <v>39903</v>
      </c>
      <c r="B64">
        <f>Data!C64 - Factors!AB66</f>
        <v>0.12110165773345094</v>
      </c>
      <c r="C64">
        <f>Factors!V66</f>
        <v>8.9196058338934403E-2</v>
      </c>
      <c r="D64">
        <f>Factors!V66 - Factors!W66</f>
        <v>3.6943077386530909E-3</v>
      </c>
      <c r="E64">
        <f>Factors!X66 - Factors!AA66</f>
        <v>1.6715636533926048E-3</v>
      </c>
      <c r="G64" cm="1">
        <f t="array" ref="G64">TREND(B28:B63, C28:E63, C64:E64, TRUE)</f>
        <v>9.6364043492803586E-2</v>
      </c>
      <c r="H64">
        <f t="shared" si="0"/>
        <v>2.4737614240647354E-2</v>
      </c>
      <c r="I64" t="str">
        <f t="shared" si="1"/>
        <v/>
      </c>
      <c r="J64" t="str">
        <f t="shared" si="2"/>
        <v/>
      </c>
    </row>
    <row r="65" spans="1:10" x14ac:dyDescent="0.2">
      <c r="A65" s="3">
        <f>Data!A65</f>
        <v>39933</v>
      </c>
      <c r="B65">
        <f>Data!C65 - Factors!AB67</f>
        <v>0.1204501796569708</v>
      </c>
      <c r="C65">
        <f>Factors!V67</f>
        <v>9.6005988740762493E-2</v>
      </c>
      <c r="D65">
        <f>Factors!V67 - Factors!W67</f>
        <v>-1.118567778379731E-2</v>
      </c>
      <c r="E65">
        <f>Factors!X67 - Factors!AA67</f>
        <v>5.8873252998913994E-2</v>
      </c>
      <c r="G65" cm="1">
        <f t="array" ref="G65">TREND(B29:B64, C29:E64, C65:E65, TRUE)</f>
        <v>0.11472317760390194</v>
      </c>
      <c r="H65">
        <f t="shared" si="0"/>
        <v>5.7270020530688637E-3</v>
      </c>
      <c r="I65" t="str">
        <f t="shared" si="1"/>
        <v/>
      </c>
      <c r="J65" t="str">
        <f t="shared" si="2"/>
        <v/>
      </c>
    </row>
    <row r="66" spans="1:10" x14ac:dyDescent="0.2">
      <c r="A66" s="3">
        <f>Data!A66</f>
        <v>39962</v>
      </c>
      <c r="B66">
        <f>Data!C66 - Factors!AB68</f>
        <v>2.5538925869142748E-2</v>
      </c>
      <c r="C66">
        <f>Factors!V68</f>
        <v>4.9571774959488168E-2</v>
      </c>
      <c r="D66">
        <f>Factors!V68 - Factors!W68</f>
        <v>-1.2264569074484033E-2</v>
      </c>
      <c r="E66">
        <f>Factors!X68 - Factors!AA68</f>
        <v>-2.5784146072919789E-2</v>
      </c>
      <c r="G66" cm="1">
        <f t="array" ref="G66">TREND(B30:B65, C30:E65, C66:E66, TRUE)</f>
        <v>4.1301368679678853E-2</v>
      </c>
      <c r="H66">
        <f t="shared" si="0"/>
        <v>-1.5762442810536105E-2</v>
      </c>
      <c r="I66" t="str">
        <f t="shared" si="1"/>
        <v/>
      </c>
      <c r="J66" t="str">
        <f t="shared" si="2"/>
        <v/>
      </c>
    </row>
    <row r="67" spans="1:10" x14ac:dyDescent="0.2">
      <c r="A67" s="3">
        <f>Data!A67</f>
        <v>39994</v>
      </c>
      <c r="B67">
        <f>Data!C67 - Factors!AB69</f>
        <v>4.048297159145009E-2</v>
      </c>
      <c r="C67">
        <f>Factors!V69</f>
        <v>1.1187199152019378E-2</v>
      </c>
      <c r="D67">
        <f>Factors!V69 - Factors!W69</f>
        <v>1.8572288896193667E-2</v>
      </c>
      <c r="E67">
        <f>Factors!X69 - Factors!AA69</f>
        <v>1.2703772066304353E-2</v>
      </c>
      <c r="G67" cm="1">
        <f t="array" ref="G67">TREND(B31:B66, C31:E66, C67:E67, TRUE)</f>
        <v>2.3124870750391595E-2</v>
      </c>
      <c r="H67">
        <f t="shared" si="0"/>
        <v>1.7358100841058495E-2</v>
      </c>
      <c r="I67" t="str">
        <f t="shared" si="1"/>
        <v/>
      </c>
      <c r="J67" t="str">
        <f t="shared" si="2"/>
        <v/>
      </c>
    </row>
    <row r="68" spans="1:10" x14ac:dyDescent="0.2">
      <c r="A68" s="3">
        <f>Data!A68</f>
        <v>40025</v>
      </c>
      <c r="B68">
        <f>Data!C68 - Factors!AB70</f>
        <v>9.135939891934175E-2</v>
      </c>
      <c r="C68">
        <f>Factors!V70</f>
        <v>7.1026387980158479E-2</v>
      </c>
      <c r="D68">
        <f>Factors!V70 - Factors!W70</f>
        <v>-1.0824435559077195E-2</v>
      </c>
      <c r="E68">
        <f>Factors!X70 - Factors!AA70</f>
        <v>2.0673751181917055E-2</v>
      </c>
      <c r="G68" cm="1">
        <f t="array" ref="G68">TREND(B32:B67, C32:E67, C68:E68, TRUE)</f>
        <v>7.8305742968622805E-2</v>
      </c>
      <c r="H68">
        <f t="shared" si="0"/>
        <v>1.3053655950718945E-2</v>
      </c>
      <c r="I68" t="str">
        <f t="shared" si="1"/>
        <v/>
      </c>
      <c r="J68" t="str">
        <f t="shared" si="2"/>
        <v/>
      </c>
    </row>
    <row r="69" spans="1:10" x14ac:dyDescent="0.2">
      <c r="A69" s="3">
        <f>Data!A69</f>
        <v>40056</v>
      </c>
      <c r="B69">
        <f>Data!C69 - Factors!AB71</f>
        <v>2.4818822260423978E-2</v>
      </c>
      <c r="C69">
        <f>Factors!V71</f>
        <v>2.073906781649737E-2</v>
      </c>
      <c r="D69">
        <f>Factors!V71 - Factors!W71</f>
        <v>-3.1566914558429859E-2</v>
      </c>
      <c r="E69">
        <f>Factors!X71 - Factors!AA71</f>
        <v>-7.4294528244644997E-3</v>
      </c>
      <c r="G69" cm="1">
        <f t="array" ref="G69">TREND(B33:B68, C33:E68, C69:E69, TRUE)</f>
        <v>4.0984379499519894E-3</v>
      </c>
      <c r="H69">
        <f t="shared" si="0"/>
        <v>2.072038431047199E-2</v>
      </c>
      <c r="I69" t="str">
        <f t="shared" si="1"/>
        <v/>
      </c>
      <c r="J69" t="str">
        <f t="shared" si="2"/>
        <v/>
      </c>
    </row>
    <row r="70" spans="1:10" x14ac:dyDescent="0.2">
      <c r="A70" s="3">
        <f>Data!A70</f>
        <v>40086</v>
      </c>
      <c r="B70">
        <f>Data!C70 - Factors!AB72</f>
        <v>4.4742913122216788E-2</v>
      </c>
      <c r="C70">
        <f>Factors!V72</f>
        <v>4.2535588851809525E-2</v>
      </c>
      <c r="D70">
        <f>Factors!V72 - Factors!W72</f>
        <v>3.8995669501176167E-3</v>
      </c>
      <c r="E70">
        <f>Factors!X72 - Factors!AA72</f>
        <v>2.0361732960795687E-2</v>
      </c>
      <c r="G70" cm="1">
        <f t="array" ref="G70">TREND(B34:B69, C34:E69, C70:E70, TRUE)</f>
        <v>5.3691769988583223E-2</v>
      </c>
      <c r="H70">
        <f t="shared" ref="H70:H101" si="3">B70 - G70</f>
        <v>-8.948856866366435E-3</v>
      </c>
      <c r="I70" t="str">
        <f t="shared" ref="I70:I101" si="4">IF(OR(YEAR(A70)=2008, YEAR(A70)=2009), "", H70)</f>
        <v/>
      </c>
      <c r="J70" t="str">
        <f t="shared" ref="J70:J101" si="5">IF(OR(YEAR(A70)=2008, YEAR(A70)=2009), "", B70)</f>
        <v/>
      </c>
    </row>
    <row r="71" spans="1:10" x14ac:dyDescent="0.2">
      <c r="A71" s="3">
        <f>Data!A71</f>
        <v>40116</v>
      </c>
      <c r="B71">
        <f>Data!C71 - Factors!AB73</f>
        <v>-3.8692219799126848E-3</v>
      </c>
      <c r="C71">
        <f>Factors!V73</f>
        <v>-1.354485000400607E-2</v>
      </c>
      <c r="D71">
        <f>Factors!V73 - Factors!W73</f>
        <v>1.7059864552079973E-2</v>
      </c>
      <c r="E71">
        <f>Factors!X73 - Factors!AA73</f>
        <v>-4.9318150319945464E-2</v>
      </c>
      <c r="G71" cm="1">
        <f t="array" ref="G71">TREND(B35:B70, C35:E70, C71:E71, TRUE)</f>
        <v>-2.3180123566288308E-2</v>
      </c>
      <c r="H71">
        <f t="shared" si="3"/>
        <v>1.9310901586375624E-2</v>
      </c>
      <c r="I71" t="str">
        <f t="shared" si="4"/>
        <v/>
      </c>
      <c r="J71" t="str">
        <f t="shared" si="5"/>
        <v/>
      </c>
    </row>
    <row r="72" spans="1:10" x14ac:dyDescent="0.2">
      <c r="A72" s="3">
        <f>Data!A72</f>
        <v>40147</v>
      </c>
      <c r="B72">
        <f>Data!C72 - Factors!AB74</f>
        <v>5.1420282512706139E-2</v>
      </c>
      <c r="C72">
        <f>Factors!V74</f>
        <v>6.1432536293766216E-2</v>
      </c>
      <c r="D72">
        <f>Factors!V74 - Factors!W74</f>
        <v>5.0692674864318832E-3</v>
      </c>
      <c r="E72">
        <f>Factors!X74 - Factors!AA74</f>
        <v>-2.8593338011097869E-2</v>
      </c>
      <c r="G72" cm="1">
        <f t="array" ref="G72">TREND(B36:B71, C36:E71, C72:E72, TRUE)</f>
        <v>6.2298622451854302E-2</v>
      </c>
      <c r="H72">
        <f t="shared" si="3"/>
        <v>-1.0878339939148163E-2</v>
      </c>
      <c r="I72" t="str">
        <f t="shared" si="4"/>
        <v/>
      </c>
      <c r="J72" t="str">
        <f t="shared" si="5"/>
        <v/>
      </c>
    </row>
    <row r="73" spans="1:10" x14ac:dyDescent="0.2">
      <c r="A73" s="3">
        <f>Data!A73</f>
        <v>40178</v>
      </c>
      <c r="B73">
        <f>Data!C73 - Factors!AB75</f>
        <v>5.6016854628826218E-2</v>
      </c>
      <c r="C73">
        <f>Factors!V75</f>
        <v>3.0908449162891038E-2</v>
      </c>
      <c r="D73">
        <f>Factors!V75 - Factors!W75</f>
        <v>1.3212782222100206E-2</v>
      </c>
      <c r="E73">
        <f>Factors!X75 - Factors!AA75</f>
        <v>6.1179131660278996E-2</v>
      </c>
      <c r="G73" cm="1">
        <f t="array" ref="G73">TREND(B37:B72, C37:E72, C73:E73, TRUE)</f>
        <v>5.5496567149920031E-2</v>
      </c>
      <c r="H73">
        <f t="shared" si="3"/>
        <v>5.2028747890618676E-4</v>
      </c>
      <c r="I73" t="str">
        <f t="shared" si="4"/>
        <v/>
      </c>
      <c r="J73" t="str">
        <f t="shared" si="5"/>
        <v/>
      </c>
    </row>
    <row r="74" spans="1:10" x14ac:dyDescent="0.2">
      <c r="A74" s="3">
        <f>Data!A74</f>
        <v>40207</v>
      </c>
      <c r="B74">
        <f>Data!C74 - Factors!AB76</f>
        <v>-8.4484206275204587E-2</v>
      </c>
      <c r="C74">
        <f>Factors!V76</f>
        <v>-4.3636116005124626E-2</v>
      </c>
      <c r="D74">
        <f>Factors!V76 - Factors!W76</f>
        <v>-1.5512794197141133E-2</v>
      </c>
      <c r="E74">
        <f>Factors!X76 - Factors!AA76</f>
        <v>-8.3801280553308377E-4</v>
      </c>
      <c r="G74" cm="1">
        <f t="array" ref="G74">TREND(B38:B73, C38:E73, C74:E74, TRUE)</f>
        <v>-5.5443628091954161E-2</v>
      </c>
      <c r="H74">
        <f t="shared" si="3"/>
        <v>-2.9040578183250426E-2</v>
      </c>
      <c r="I74">
        <f t="shared" si="4"/>
        <v>-2.9040578183250426E-2</v>
      </c>
      <c r="J74">
        <f t="shared" si="5"/>
        <v>-8.4484206275204587E-2</v>
      </c>
    </row>
    <row r="75" spans="1:10" x14ac:dyDescent="0.2">
      <c r="A75" s="3">
        <f>Data!A75</f>
        <v>40235</v>
      </c>
      <c r="B75">
        <f>Data!C75 - Factors!AB77</f>
        <v>4.1655985644706517E-2</v>
      </c>
      <c r="C75">
        <f>Factors!V77</f>
        <v>3.4366251735177711E-2</v>
      </c>
      <c r="D75">
        <f>Factors!V77 - Factors!W77</f>
        <v>2.8005335449292623E-3</v>
      </c>
      <c r="E75">
        <f>Factors!X77 - Factors!AA77</f>
        <v>1.4068576226449414E-2</v>
      </c>
      <c r="G75" cm="1">
        <f t="array" ref="G75">TREND(B39:B74, C39:E74, C75:E75, TRUE)</f>
        <v>4.2199045530323102E-2</v>
      </c>
      <c r="H75">
        <f t="shared" si="3"/>
        <v>-5.4305988561658552E-4</v>
      </c>
      <c r="I75">
        <f t="shared" si="4"/>
        <v>-5.4305988561658552E-4</v>
      </c>
      <c r="J75">
        <f t="shared" si="5"/>
        <v>4.1655985644706517E-2</v>
      </c>
    </row>
    <row r="76" spans="1:10" x14ac:dyDescent="0.2">
      <c r="A76" s="3">
        <f>Data!A76</f>
        <v>40268</v>
      </c>
      <c r="B76">
        <f>Data!C76 - Factors!AB78</f>
        <v>6.7623435202994742E-2</v>
      </c>
      <c r="C76">
        <f>Factors!V78</f>
        <v>5.7842717601568117E-2</v>
      </c>
      <c r="D76">
        <f>Factors!V78 - Factors!W78</f>
        <v>-7.2568682389424488E-3</v>
      </c>
      <c r="E76">
        <f>Factors!X78 - Factors!AA78</f>
        <v>2.1043709964381652E-2</v>
      </c>
      <c r="G76" cm="1">
        <f t="array" ref="G76">TREND(B40:B75, C40:E75, C76:E76, TRUE)</f>
        <v>6.575803481225205E-2</v>
      </c>
      <c r="H76">
        <f t="shared" si="3"/>
        <v>1.8654003907426914E-3</v>
      </c>
      <c r="I76">
        <f t="shared" si="4"/>
        <v>1.8654003907426914E-3</v>
      </c>
      <c r="J76">
        <f t="shared" si="5"/>
        <v>6.7623435202994742E-2</v>
      </c>
    </row>
    <row r="77" spans="1:10" x14ac:dyDescent="0.2">
      <c r="A77" s="3">
        <f>Data!A77</f>
        <v>40298</v>
      </c>
      <c r="B77">
        <f>Data!C77 - Factors!AB79</f>
        <v>1.7758894530851776E-2</v>
      </c>
      <c r="C77">
        <f>Factors!V79</f>
        <v>1.1173897623832474E-2</v>
      </c>
      <c r="D77">
        <f>Factors!V79 - Factors!W79</f>
        <v>-1.4701560670037139E-2</v>
      </c>
      <c r="E77">
        <f>Factors!X79 - Factors!AA79</f>
        <v>4.0806810846006458E-2</v>
      </c>
      <c r="G77" cm="1">
        <f t="array" ref="G77">TREND(B41:B76, C41:E76, C77:E77, TRUE)</f>
        <v>1.6004951178482028E-2</v>
      </c>
      <c r="H77">
        <f t="shared" si="3"/>
        <v>1.7539433523697488E-3</v>
      </c>
      <c r="I77">
        <f t="shared" si="4"/>
        <v>1.7539433523697488E-3</v>
      </c>
      <c r="J77">
        <f t="shared" si="5"/>
        <v>1.7758894530851776E-2</v>
      </c>
    </row>
    <row r="78" spans="1:10" x14ac:dyDescent="0.2">
      <c r="A78" s="3">
        <f>Data!A78</f>
        <v>40329</v>
      </c>
      <c r="B78">
        <f>Data!C78 - Factors!AB80</f>
        <v>-8.1678356201695501E-2</v>
      </c>
      <c r="C78">
        <f>Factors!V80</f>
        <v>-7.6341502846614229E-2</v>
      </c>
      <c r="D78">
        <f>Factors!V80 - Factors!W80</f>
        <v>5.8545360438296834E-3</v>
      </c>
      <c r="E78">
        <f>Factors!X80 - Factors!AA80</f>
        <v>3.9972566955445155E-3</v>
      </c>
      <c r="G78" cm="1">
        <f t="array" ref="G78">TREND(B42:B77, C42:E77, C78:E78, TRUE)</f>
        <v>-8.1336844514275211E-2</v>
      </c>
      <c r="H78">
        <f t="shared" si="3"/>
        <v>-3.4151168742029003E-4</v>
      </c>
      <c r="I78">
        <f t="shared" si="4"/>
        <v>-3.4151168742029003E-4</v>
      </c>
      <c r="J78">
        <f t="shared" si="5"/>
        <v>-8.1678356201695501E-2</v>
      </c>
    </row>
    <row r="79" spans="1:10" x14ac:dyDescent="0.2">
      <c r="A79" s="3">
        <f>Data!A79</f>
        <v>40359</v>
      </c>
      <c r="B79">
        <f>Data!C79 - Factors!AB81</f>
        <v>-6.2111298383853653E-2</v>
      </c>
      <c r="C79">
        <f>Factors!V81</f>
        <v>-5.5065373540875706E-2</v>
      </c>
      <c r="D79">
        <f>Factors!V81 - Factors!W81</f>
        <v>1.2291304575335893E-3</v>
      </c>
      <c r="E79">
        <f>Factors!X81 - Factors!AA81</f>
        <v>-2.5145327453668598E-2</v>
      </c>
      <c r="G79" cm="1">
        <f t="array" ref="G79">TREND(B43:B78, C43:E78, C79:E79, TRUE)</f>
        <v>-6.7887070103634317E-2</v>
      </c>
      <c r="H79">
        <f t="shared" si="3"/>
        <v>5.7757717197806646E-3</v>
      </c>
      <c r="I79">
        <f t="shared" si="4"/>
        <v>5.7757717197806646E-3</v>
      </c>
      <c r="J79">
        <f t="shared" si="5"/>
        <v>-6.2111298383853653E-2</v>
      </c>
    </row>
    <row r="80" spans="1:10" x14ac:dyDescent="0.2">
      <c r="A80" s="3">
        <f>Data!A80</f>
        <v>40389</v>
      </c>
      <c r="B80">
        <f>Data!C80 - Factors!AB82</f>
        <v>7.1679784762084031E-2</v>
      </c>
      <c r="C80">
        <f>Factors!V82</f>
        <v>7.1331945358704685E-2</v>
      </c>
      <c r="D80">
        <f>Factors!V82 - Factors!W82</f>
        <v>3.632204609234968E-3</v>
      </c>
      <c r="E80">
        <f>Factors!X82 - Factors!AA82</f>
        <v>-1.3441782998842022E-3</v>
      </c>
      <c r="G80" cm="1">
        <f t="array" ref="G80">TREND(B44:B79, C44:E79, C80:E80, TRUE)</f>
        <v>7.9876424151975101E-2</v>
      </c>
      <c r="H80">
        <f t="shared" si="3"/>
        <v>-8.1966393898910694E-3</v>
      </c>
      <c r="I80">
        <f t="shared" si="4"/>
        <v>-8.1966393898910694E-3</v>
      </c>
      <c r="J80">
        <f t="shared" si="5"/>
        <v>7.1679784762084031E-2</v>
      </c>
    </row>
    <row r="81" spans="1:10" x14ac:dyDescent="0.2">
      <c r="A81" s="3">
        <f>Data!A81</f>
        <v>40421</v>
      </c>
      <c r="B81">
        <f>Data!C81 - Factors!AB83</f>
        <v>-7.0849825808547262E-2</v>
      </c>
      <c r="C81">
        <f>Factors!V83</f>
        <v>-4.6689689844406468E-2</v>
      </c>
      <c r="D81">
        <f>Factors!V83 - Factors!W83</f>
        <v>-3.8998913016140557E-3</v>
      </c>
      <c r="E81">
        <f>Factors!X83 - Factors!AA83</f>
        <v>-2.8893588920252622E-2</v>
      </c>
      <c r="G81" cm="1">
        <f t="array" ref="G81">TREND(B45:B80, C45:E80, C81:E81, TRUE)</f>
        <v>-6.2542311407843471E-2</v>
      </c>
      <c r="H81">
        <f t="shared" si="3"/>
        <v>-8.3075144007037915E-3</v>
      </c>
      <c r="I81">
        <f t="shared" si="4"/>
        <v>-8.3075144007037915E-3</v>
      </c>
      <c r="J81">
        <f t="shared" si="5"/>
        <v>-7.0849825808547262E-2</v>
      </c>
    </row>
    <row r="82" spans="1:10" x14ac:dyDescent="0.2">
      <c r="A82" s="3">
        <f>Data!A82</f>
        <v>40451</v>
      </c>
      <c r="B82">
        <f>Data!C82 - Factors!AB84</f>
        <v>0.1212836944606448</v>
      </c>
      <c r="C82">
        <f>Factors!V84</f>
        <v>0.10645033399460235</v>
      </c>
      <c r="D82">
        <f>Factors!V84 - Factors!W84</f>
        <v>2.8867154252985916E-2</v>
      </c>
      <c r="E82">
        <f>Factors!X84 - Factors!AA84</f>
        <v>3.5351540648262292E-2</v>
      </c>
      <c r="G82" cm="1">
        <f t="array" ref="G82">TREND(B46:B81, C46:E81, C82:E82, TRUE)</f>
        <v>0.13970611955834947</v>
      </c>
      <c r="H82">
        <f t="shared" si="3"/>
        <v>-1.842242509770467E-2</v>
      </c>
      <c r="I82">
        <f t="shared" si="4"/>
        <v>-1.842242509770467E-2</v>
      </c>
      <c r="J82">
        <f t="shared" si="5"/>
        <v>0.1212836944606448</v>
      </c>
    </row>
    <row r="83" spans="1:10" x14ac:dyDescent="0.2">
      <c r="A83" s="3">
        <f>Data!A83</f>
        <v>40480</v>
      </c>
      <c r="B83">
        <f>Data!C83 - Factors!AB85</f>
        <v>6.4491494236482039E-2</v>
      </c>
      <c r="C83">
        <f>Factors!V85</f>
        <v>4.7759549516597444E-2</v>
      </c>
      <c r="D83">
        <f>Factors!V85 - Factors!W85</f>
        <v>1.7753745497881779E-2</v>
      </c>
      <c r="E83">
        <f>Factors!X85 - Factors!AA85</f>
        <v>2.8724114515732424E-3</v>
      </c>
      <c r="G83" cm="1">
        <f t="array" ref="G83">TREND(B47:B82, C47:E82, C83:E83, TRUE)</f>
        <v>5.9427355714027991E-2</v>
      </c>
      <c r="H83">
        <f t="shared" si="3"/>
        <v>5.0641385224540481E-3</v>
      </c>
      <c r="I83">
        <f t="shared" si="4"/>
        <v>5.0641385224540481E-3</v>
      </c>
      <c r="J83">
        <f t="shared" si="5"/>
        <v>6.4491494236482039E-2</v>
      </c>
    </row>
    <row r="84" spans="1:10" x14ac:dyDescent="0.2">
      <c r="A84" s="3">
        <f>Data!A84</f>
        <v>40512</v>
      </c>
      <c r="B84">
        <f>Data!C84 - Factors!AB86</f>
        <v>-1.7014144005402021E-2</v>
      </c>
      <c r="C84">
        <f>Factors!V86</f>
        <v>1.1613499095365354E-2</v>
      </c>
      <c r="D84">
        <f>Factors!V86 - Factors!W86</f>
        <v>1.6905303880970113E-2</v>
      </c>
      <c r="E84">
        <f>Factors!X86 - Factors!AA86</f>
        <v>3.4545521570904514E-2</v>
      </c>
      <c r="G84" cm="1">
        <f t="array" ref="G84">TREND(B48:B83, C48:E83, C84:E84, TRUE)</f>
        <v>2.7182164178348775E-2</v>
      </c>
      <c r="H84">
        <f t="shared" si="3"/>
        <v>-4.4196308183750796E-2</v>
      </c>
      <c r="I84">
        <f t="shared" si="4"/>
        <v>-4.4196308183750796E-2</v>
      </c>
      <c r="J84">
        <f t="shared" si="5"/>
        <v>-1.7014144005402021E-2</v>
      </c>
    </row>
    <row r="85" spans="1:10" x14ac:dyDescent="0.2">
      <c r="A85" s="3">
        <f>Data!A85</f>
        <v>40543</v>
      </c>
      <c r="B85">
        <f>Data!C85 - Factors!AB87</f>
        <v>5.2292767687372343E-2</v>
      </c>
      <c r="C85">
        <f>Factors!V87</f>
        <v>5.5081531539111994E-2</v>
      </c>
      <c r="D85">
        <f>Factors!V87 - Factors!W87</f>
        <v>-2.3822196544943885E-2</v>
      </c>
      <c r="E85">
        <f>Factors!X87 - Factors!AA87</f>
        <v>1.257587799614801E-2</v>
      </c>
      <c r="G85" cm="1">
        <f t="array" ref="G85">TREND(B49:B84, C49:E84, C85:E85, TRUE)</f>
        <v>5.2544331761810698E-2</v>
      </c>
      <c r="H85">
        <f t="shared" si="3"/>
        <v>-2.5156407443835405E-4</v>
      </c>
      <c r="I85">
        <f t="shared" si="4"/>
        <v>-2.5156407443835405E-4</v>
      </c>
      <c r="J85">
        <f t="shared" si="5"/>
        <v>5.2292767687372343E-2</v>
      </c>
    </row>
    <row r="86" spans="1:10" x14ac:dyDescent="0.2">
      <c r="A86" s="3">
        <f>Data!A86</f>
        <v>40574</v>
      </c>
      <c r="B86">
        <f>Data!C86 - Factors!AB88</f>
        <v>4.2139690831583865E-2</v>
      </c>
      <c r="C86">
        <f>Factors!V88</f>
        <v>2.5448928309971697E-2</v>
      </c>
      <c r="D86">
        <f>Factors!V88 - Factors!W88</f>
        <v>2.8272546815866217E-3</v>
      </c>
      <c r="E86">
        <f>Factors!X88 - Factors!AA88</f>
        <v>-2.6278332971297225E-2</v>
      </c>
      <c r="G86" cm="1">
        <f t="array" ref="G86">TREND(B50:B85, C50:E85, C86:E86, TRUE)</f>
        <v>2.3593384988548075E-2</v>
      </c>
      <c r="H86">
        <f t="shared" si="3"/>
        <v>1.854630584303579E-2</v>
      </c>
      <c r="I86">
        <f t="shared" si="4"/>
        <v>1.854630584303579E-2</v>
      </c>
      <c r="J86">
        <f t="shared" si="5"/>
        <v>4.2139690831583865E-2</v>
      </c>
    </row>
    <row r="87" spans="1:10" x14ac:dyDescent="0.2">
      <c r="A87" s="3">
        <f>Data!A87</f>
        <v>40602</v>
      </c>
      <c r="B87">
        <f>Data!C87 - Factors!AB89</f>
        <v>1.8804308732015329E-2</v>
      </c>
      <c r="C87">
        <f>Factors!V89</f>
        <v>3.2727073692865316E-2</v>
      </c>
      <c r="D87">
        <f>Factors!V89 - Factors!W89</f>
        <v>-4.1579370923932046E-3</v>
      </c>
      <c r="E87">
        <f>Factors!X89 - Factors!AA89</f>
        <v>2.0582670115783408E-2</v>
      </c>
      <c r="G87" cm="1">
        <f t="array" ref="G87">TREND(B51:B86, C51:E86, C87:E87, TRUE)</f>
        <v>3.7480778669429837E-2</v>
      </c>
      <c r="H87">
        <f t="shared" si="3"/>
        <v>-1.8676469937414508E-2</v>
      </c>
      <c r="I87">
        <f t="shared" si="4"/>
        <v>-1.8676469937414508E-2</v>
      </c>
      <c r="J87">
        <f t="shared" si="5"/>
        <v>1.8804308732015329E-2</v>
      </c>
    </row>
    <row r="88" spans="1:10" x14ac:dyDescent="0.2">
      <c r="A88" s="3">
        <f>Data!A88</f>
        <v>40633</v>
      </c>
      <c r="B88">
        <f>Data!C88 - Factors!AB90</f>
        <v>-2.6408676056267066E-2</v>
      </c>
      <c r="C88">
        <f>Factors!V90</f>
        <v>1.2212861443312573E-3</v>
      </c>
      <c r="D88">
        <f>Factors!V90 - Factors!W90</f>
        <v>-2.7498549605062816E-3</v>
      </c>
      <c r="E88">
        <f>Factors!X90 - Factors!AA90</f>
        <v>2.5518434800070544E-2</v>
      </c>
      <c r="G88" cm="1">
        <f t="array" ref="G88">TREND(B52:B87, C52:E87, C88:E88, TRUE)</f>
        <v>3.6868313257464231E-3</v>
      </c>
      <c r="H88">
        <f t="shared" si="3"/>
        <v>-3.0095507382013491E-2</v>
      </c>
      <c r="I88">
        <f t="shared" si="4"/>
        <v>-3.0095507382013491E-2</v>
      </c>
      <c r="J88">
        <f t="shared" si="5"/>
        <v>-2.6408676056267066E-2</v>
      </c>
    </row>
    <row r="89" spans="1:10" x14ac:dyDescent="0.2">
      <c r="A89" s="3">
        <f>Data!A89</f>
        <v>40662</v>
      </c>
      <c r="B89">
        <f>Data!C89 - Factors!AB91</f>
        <v>2.9231553436768198E-2</v>
      </c>
      <c r="C89">
        <f>Factors!V91</f>
        <v>3.3488800570329991E-2</v>
      </c>
      <c r="D89">
        <f>Factors!V91 - Factors!W91</f>
        <v>6.8602324482860411E-3</v>
      </c>
      <c r="E89">
        <f>Factors!X91 - Factors!AA91</f>
        <v>-3.2095731342913769E-3</v>
      </c>
      <c r="G89" cm="1">
        <f t="array" ref="G89">TREND(B53:B88, C53:E88, C89:E89, TRUE)</f>
        <v>3.8367738769792867E-2</v>
      </c>
      <c r="H89">
        <f t="shared" si="3"/>
        <v>-9.1361853330246684E-3</v>
      </c>
      <c r="I89">
        <f t="shared" si="4"/>
        <v>-9.1361853330246684E-3</v>
      </c>
      <c r="J89">
        <f t="shared" si="5"/>
        <v>2.9231553436768198E-2</v>
      </c>
    </row>
    <row r="90" spans="1:10" x14ac:dyDescent="0.2">
      <c r="A90" s="3">
        <f>Data!A90</f>
        <v>40694</v>
      </c>
      <c r="B90">
        <f>Data!C90 - Factors!AB92</f>
        <v>-1.6911130578081579E-2</v>
      </c>
      <c r="C90">
        <f>Factors!V92</f>
        <v>-1.0886826127866844E-2</v>
      </c>
      <c r="D90">
        <f>Factors!V92 - Factors!W92</f>
        <v>-3.2138089090594235E-4</v>
      </c>
      <c r="E90">
        <f>Factors!X92 - Factors!AA92</f>
        <v>-7.4291117698970233E-3</v>
      </c>
      <c r="G90" cm="1">
        <f t="array" ref="G90">TREND(B54:B89, C54:E89, C90:E90, TRUE)</f>
        <v>-1.4164910506652618E-2</v>
      </c>
      <c r="H90">
        <f t="shared" si="3"/>
        <v>-2.7462200714289606E-3</v>
      </c>
      <c r="I90">
        <f t="shared" si="4"/>
        <v>-2.7462200714289606E-3</v>
      </c>
      <c r="J90">
        <f t="shared" si="5"/>
        <v>-1.6911130578081579E-2</v>
      </c>
    </row>
    <row r="91" spans="1:10" x14ac:dyDescent="0.2">
      <c r="A91" s="3">
        <f>Data!A91</f>
        <v>40724</v>
      </c>
      <c r="B91">
        <f>Data!C91 - Factors!AB93</f>
        <v>-2.6182569434831882E-2</v>
      </c>
      <c r="C91">
        <f>Factors!V93</f>
        <v>-1.4342607218430503E-2</v>
      </c>
      <c r="D91">
        <f>Factors!V93 - Factors!W93</f>
        <v>6.1608025568010705E-3</v>
      </c>
      <c r="E91">
        <f>Factors!X93 - Factors!AA93</f>
        <v>-6.3868590696966043E-3</v>
      </c>
      <c r="G91" cm="1">
        <f t="array" ref="G91">TREND(B55:B90, C55:E90, C91:E91, TRUE)</f>
        <v>-1.5540832849236611E-2</v>
      </c>
      <c r="H91">
        <f t="shared" si="3"/>
        <v>-1.0641736585595271E-2</v>
      </c>
      <c r="I91">
        <f t="shared" si="4"/>
        <v>-1.0641736585595271E-2</v>
      </c>
      <c r="J91">
        <f t="shared" si="5"/>
        <v>-2.6182569434831882E-2</v>
      </c>
    </row>
    <row r="92" spans="1:10" x14ac:dyDescent="0.2">
      <c r="A92" s="3">
        <f>Data!A92</f>
        <v>40753</v>
      </c>
      <c r="B92">
        <f>Data!C92 - Factors!AB94</f>
        <v>1.598336272637535E-2</v>
      </c>
      <c r="C92">
        <f>Factors!V94</f>
        <v>-1.0023467905588612E-2</v>
      </c>
      <c r="D92">
        <f>Factors!V94 - Factors!W94</f>
        <v>2.3145777775859688E-2</v>
      </c>
      <c r="E92">
        <f>Factors!X94 - Factors!AA94</f>
        <v>-1.5810151599922495E-2</v>
      </c>
      <c r="G92" cm="1">
        <f t="array" ref="G92">TREND(B56:B91, C56:E91, C92:E92, TRUE)</f>
        <v>-4.7457420391994916E-3</v>
      </c>
      <c r="H92">
        <f t="shared" si="3"/>
        <v>2.0729104765574841E-2</v>
      </c>
      <c r="I92">
        <f t="shared" si="4"/>
        <v>2.0729104765574841E-2</v>
      </c>
      <c r="J92">
        <f t="shared" si="5"/>
        <v>1.598336272637535E-2</v>
      </c>
    </row>
    <row r="93" spans="1:10" x14ac:dyDescent="0.2">
      <c r="A93" s="3">
        <f>Data!A93</f>
        <v>40786</v>
      </c>
      <c r="B93">
        <f>Data!C93 - Factors!AB95</f>
        <v>-6.0560241851614016E-2</v>
      </c>
      <c r="C93">
        <f>Factors!V95</f>
        <v>-5.2774459891994585E-2</v>
      </c>
      <c r="D93">
        <f>Factors!V95 - Factors!W95</f>
        <v>9.6312827023988801E-3</v>
      </c>
      <c r="E93">
        <f>Factors!X95 - Factors!AA95</f>
        <v>-3.2680635012279913E-2</v>
      </c>
      <c r="G93" cm="1">
        <f t="array" ref="G93">TREND(B57:B92, C57:E92, C93:E93, TRUE)</f>
        <v>-5.7267852070032321E-2</v>
      </c>
      <c r="H93">
        <f t="shared" si="3"/>
        <v>-3.2923897815816949E-3</v>
      </c>
      <c r="I93">
        <f t="shared" si="4"/>
        <v>-3.2923897815816949E-3</v>
      </c>
      <c r="J93">
        <f t="shared" si="5"/>
        <v>-6.0560241851614016E-2</v>
      </c>
    </row>
    <row r="94" spans="1:10" x14ac:dyDescent="0.2">
      <c r="A94" s="3">
        <f>Data!A94</f>
        <v>40816</v>
      </c>
      <c r="B94">
        <f>Data!C94 - Factors!AB96</f>
        <v>-3.3929943999121415E-2</v>
      </c>
      <c r="C94">
        <f>Factors!V96</f>
        <v>-7.3684392965962964E-2</v>
      </c>
      <c r="D94">
        <f>Factors!V96 - Factors!W96</f>
        <v>1.8890449732044123E-3</v>
      </c>
      <c r="E94">
        <f>Factors!X96 - Factors!AA96</f>
        <v>-4.1803399819180909E-2</v>
      </c>
      <c r="G94" cm="1">
        <f t="array" ref="G94">TREND(B58:B93, C58:E93, C94:E94, TRUE)</f>
        <v>-8.4579902300537441E-2</v>
      </c>
      <c r="H94">
        <f t="shared" si="3"/>
        <v>5.0649958301416026E-2</v>
      </c>
      <c r="I94">
        <f t="shared" si="4"/>
        <v>5.0649958301416026E-2</v>
      </c>
      <c r="J94">
        <f t="shared" si="5"/>
        <v>-3.3929943999121415E-2</v>
      </c>
    </row>
    <row r="95" spans="1:10" x14ac:dyDescent="0.2">
      <c r="A95" s="3">
        <f>Data!A95</f>
        <v>40847</v>
      </c>
      <c r="B95">
        <f>Data!C95 - Factors!AB97</f>
        <v>0.11508768859524854</v>
      </c>
      <c r="C95">
        <f>Factors!V97</f>
        <v>0.10973930274482058</v>
      </c>
      <c r="D95">
        <f>Factors!V97 - Factors!W97</f>
        <v>-4.7517361960460747E-3</v>
      </c>
      <c r="E95">
        <f>Factors!X97 - Factors!AA97</f>
        <v>4.2065054134454716E-2</v>
      </c>
      <c r="G95" cm="1">
        <f t="array" ref="G95">TREND(B59:B94, C59:E94, C95:E95, TRUE)</f>
        <v>0.11809771253053468</v>
      </c>
      <c r="H95">
        <f t="shared" si="3"/>
        <v>-3.0100239352861408E-3</v>
      </c>
      <c r="I95">
        <f t="shared" si="4"/>
        <v>-3.0100239352861408E-3</v>
      </c>
      <c r="J95">
        <f t="shared" si="5"/>
        <v>0.11508768859524854</v>
      </c>
    </row>
    <row r="96" spans="1:10" x14ac:dyDescent="0.2">
      <c r="A96" s="3">
        <f>Data!A96</f>
        <v>40877</v>
      </c>
      <c r="B96">
        <f>Data!C96 - Factors!AB98</f>
        <v>-1.7225563143410394E-2</v>
      </c>
      <c r="C96">
        <f>Factors!V98</f>
        <v>-9.6456063086947097E-5</v>
      </c>
      <c r="D96">
        <f>Factors!V98 - Factors!W98</f>
        <v>5.0854595702854999E-3</v>
      </c>
      <c r="E96">
        <f>Factors!X98 - Factors!AA98</f>
        <v>-1.4348662003538237E-3</v>
      </c>
      <c r="G96" cm="1">
        <f t="array" ref="G96">TREND(B60:B95, C60:E95, C96:E96, TRUE)</f>
        <v>9.3951803205392687E-4</v>
      </c>
      <c r="H96">
        <f t="shared" si="3"/>
        <v>-1.816508117546432E-2</v>
      </c>
      <c r="I96">
        <f t="shared" si="4"/>
        <v>-1.816508117546432E-2</v>
      </c>
      <c r="J96">
        <f t="shared" si="5"/>
        <v>-1.7225563143410394E-2</v>
      </c>
    </row>
    <row r="97" spans="1:10" x14ac:dyDescent="0.2">
      <c r="A97" s="3">
        <f>Data!A97</f>
        <v>40907</v>
      </c>
      <c r="B97">
        <f>Data!C97 - Factors!AB99</f>
        <v>-8.8155984235637197E-3</v>
      </c>
      <c r="C97">
        <f>Factors!V99</f>
        <v>-3.2155122585522111E-3</v>
      </c>
      <c r="D97">
        <f>Factors!V99 - Factors!W99</f>
        <v>-2.3367054959672728E-2</v>
      </c>
      <c r="E97">
        <f>Factors!X99 - Factors!AA99</f>
        <v>-3.6237187872159016E-3</v>
      </c>
      <c r="G97" cm="1">
        <f t="array" ref="G97">TREND(B61:B96, C61:E96, C97:E97, TRUE)</f>
        <v>-1.5597396669600071E-2</v>
      </c>
      <c r="H97">
        <f t="shared" si="3"/>
        <v>6.7817982460363514E-3</v>
      </c>
      <c r="I97">
        <f t="shared" si="4"/>
        <v>6.7817982460363514E-3</v>
      </c>
      <c r="J97">
        <f t="shared" si="5"/>
        <v>-8.8155984235637197E-3</v>
      </c>
    </row>
    <row r="98" spans="1:10" x14ac:dyDescent="0.2">
      <c r="A98" s="3">
        <f>Data!A98</f>
        <v>40939</v>
      </c>
      <c r="B98">
        <f>Data!C98 - Factors!AB100</f>
        <v>7.6174531756827424E-2</v>
      </c>
      <c r="C98">
        <f>Factors!V100</f>
        <v>5.9691660457493523E-2</v>
      </c>
      <c r="D98">
        <f>Factors!V100 - Factors!W100</f>
        <v>2.186186967987469E-2</v>
      </c>
      <c r="E98">
        <f>Factors!X100 - Factors!AA100</f>
        <v>2.5835901386118021E-2</v>
      </c>
      <c r="G98" cm="1">
        <f t="array" ref="G98">TREND(B62:B97, C62:E97, C98:E98, TRUE)</f>
        <v>7.5265562267100544E-2</v>
      </c>
      <c r="H98">
        <f t="shared" si="3"/>
        <v>9.0896948972687963E-4</v>
      </c>
      <c r="I98">
        <f t="shared" si="4"/>
        <v>9.0896948972687963E-4</v>
      </c>
      <c r="J98">
        <f t="shared" si="5"/>
        <v>7.6174531756827424E-2</v>
      </c>
    </row>
    <row r="99" spans="1:10" x14ac:dyDescent="0.2">
      <c r="A99" s="3">
        <f>Data!A99</f>
        <v>40968</v>
      </c>
      <c r="B99">
        <f>Data!C99 - Factors!AB101</f>
        <v>7.3505104521147224E-2</v>
      </c>
      <c r="C99">
        <f>Factors!V101</f>
        <v>4.7824706102695291E-2</v>
      </c>
      <c r="D99">
        <f>Factors!V101 - Factors!W101</f>
        <v>7.9615903943641708E-3</v>
      </c>
      <c r="E99">
        <f>Factors!X101 - Factors!AA101</f>
        <v>-1.9309842736031646E-2</v>
      </c>
      <c r="G99" cm="1">
        <f t="array" ref="G99">TREND(B63:B98, C63:E98, C99:E99, TRUE)</f>
        <v>5.6606008696534552E-2</v>
      </c>
      <c r="H99">
        <f t="shared" si="3"/>
        <v>1.6899095824612673E-2</v>
      </c>
      <c r="I99">
        <f t="shared" si="4"/>
        <v>1.6899095824612673E-2</v>
      </c>
      <c r="J99">
        <f t="shared" si="5"/>
        <v>7.3505104521147224E-2</v>
      </c>
    </row>
    <row r="100" spans="1:10" x14ac:dyDescent="0.2">
      <c r="A100" s="3">
        <f>Data!A100</f>
        <v>40998</v>
      </c>
      <c r="B100">
        <f>Data!C100 - Factors!AB102</f>
        <v>5.0434674082217912E-2</v>
      </c>
      <c r="C100">
        <f>Factors!V102</f>
        <v>3.2891826715694128E-2</v>
      </c>
      <c r="D100">
        <f>Factors!V102 - Factors!W102</f>
        <v>3.2478174507566404E-3</v>
      </c>
      <c r="E100">
        <f>Factors!X102 - Factors!AA102</f>
        <v>-7.287059181204425E-3</v>
      </c>
      <c r="G100" cm="1">
        <f t="array" ref="G100">TREND(B64:B99, C64:E99, C100:E100, TRUE)</f>
        <v>3.8286734847216036E-2</v>
      </c>
      <c r="H100">
        <f t="shared" si="3"/>
        <v>1.2147939235001876E-2</v>
      </c>
      <c r="I100">
        <f t="shared" si="4"/>
        <v>1.2147939235001876E-2</v>
      </c>
      <c r="J100">
        <f t="shared" si="5"/>
        <v>5.0434674082217912E-2</v>
      </c>
    </row>
    <row r="101" spans="1:10" x14ac:dyDescent="0.2">
      <c r="A101" s="3">
        <f>Data!A101</f>
        <v>41029</v>
      </c>
      <c r="B101">
        <f>Data!C101 - Factors!AB103</f>
        <v>-1.8933045770742951E-2</v>
      </c>
      <c r="C101">
        <f>Factors!V103</f>
        <v>-1.5445927847312912E-3</v>
      </c>
      <c r="D101">
        <f>Factors!V103 - Factors!W103</f>
        <v>8.6526601626244481E-3</v>
      </c>
      <c r="E101">
        <f>Factors!X103 - Factors!AA103</f>
        <v>-9.1698007191365338E-3</v>
      </c>
      <c r="G101" cm="1">
        <f t="array" ref="G101">TREND(B65:B100, C65:E100, C101:E101, TRUE)</f>
        <v>1.4244267821773744E-3</v>
      </c>
      <c r="H101">
        <f t="shared" si="3"/>
        <v>-2.0357472552920326E-2</v>
      </c>
      <c r="I101">
        <f t="shared" si="4"/>
        <v>-2.0357472552920326E-2</v>
      </c>
      <c r="J101">
        <f t="shared" si="5"/>
        <v>-1.8933045770742951E-2</v>
      </c>
    </row>
    <row r="102" spans="1:10" x14ac:dyDescent="0.2">
      <c r="A102" s="3">
        <f>Data!A102</f>
        <v>41060</v>
      </c>
      <c r="B102">
        <f>Data!C102 - Factors!AB104</f>
        <v>-7.725710991178969E-2</v>
      </c>
      <c r="C102">
        <f>Factors!V104</f>
        <v>-6.4146341840475962E-2</v>
      </c>
      <c r="D102">
        <f>Factors!V104 - Factors!W104</f>
        <v>-5.5058055253708327E-3</v>
      </c>
      <c r="E102">
        <f>Factors!X104 - Factors!AA104</f>
        <v>-6.0891766074488984E-3</v>
      </c>
      <c r="G102" cm="1">
        <f t="array" ref="G102">TREND(B66:B101, C66:E101, C102:E102, TRUE)</f>
        <v>-7.495791810731639E-2</v>
      </c>
      <c r="H102">
        <f t="shared" ref="H102:H121" si="6">B102 - G102</f>
        <v>-2.2991918044732995E-3</v>
      </c>
      <c r="I102">
        <f t="shared" ref="I102:I121" si="7">IF(OR(YEAR(A102)=2008, YEAR(A102)=2009), "", H102)</f>
        <v>-2.2991918044732995E-3</v>
      </c>
      <c r="J102">
        <f t="shared" ref="J102:J121" si="8">IF(OR(YEAR(A102)=2008, YEAR(A102)=2009), "", B102)</f>
        <v>-7.725710991178969E-2</v>
      </c>
    </row>
    <row r="103" spans="1:10" x14ac:dyDescent="0.2">
      <c r="A103" s="3">
        <f>Data!A103</f>
        <v>41089</v>
      </c>
      <c r="B103">
        <f>Data!C103 - Factors!AB105</f>
        <v>2.9656527313741465E-2</v>
      </c>
      <c r="C103">
        <f>Factors!V105</f>
        <v>2.7153093515513982E-2</v>
      </c>
      <c r="D103">
        <f>Factors!V105 - Factors!W105</f>
        <v>-2.2495979286005552E-2</v>
      </c>
      <c r="E103">
        <f>Factors!X105 - Factors!AA105</f>
        <v>8.6978029228439446E-3</v>
      </c>
      <c r="G103" cm="1">
        <f t="array" ref="G103">TREND(B67:B102, C67:E102, C103:E103, TRUE)</f>
        <v>2.049422440378728E-2</v>
      </c>
      <c r="H103">
        <f t="shared" si="6"/>
        <v>9.1623029099541856E-3</v>
      </c>
      <c r="I103">
        <f t="shared" si="7"/>
        <v>9.1623029099541856E-3</v>
      </c>
      <c r="J103">
        <f t="shared" si="8"/>
        <v>2.9656527313741465E-2</v>
      </c>
    </row>
    <row r="104" spans="1:10" x14ac:dyDescent="0.2">
      <c r="A104" s="3">
        <f>Data!A104</f>
        <v>41121</v>
      </c>
      <c r="B104">
        <f>Data!C104 - Factors!AB106</f>
        <v>9.7500114777939739E-3</v>
      </c>
      <c r="C104">
        <f>Factors!V106</f>
        <v>1.3404918198298699E-2</v>
      </c>
      <c r="D104">
        <f>Factors!V106 - Factors!W106</f>
        <v>3.0551305981481036E-3</v>
      </c>
      <c r="E104">
        <f>Factors!X106 - Factors!AA106</f>
        <v>-2.7708225631883021E-2</v>
      </c>
      <c r="G104" cm="1">
        <f t="array" ref="G104">TREND(B68:B103, C68:E103, C104:E104, TRUE)</f>
        <v>1.8851873370298682E-2</v>
      </c>
      <c r="H104">
        <f t="shared" si="6"/>
        <v>-9.1018618925047083E-3</v>
      </c>
      <c r="I104">
        <f t="shared" si="7"/>
        <v>-9.1018618925047083E-3</v>
      </c>
      <c r="J104">
        <f t="shared" si="8"/>
        <v>9.7500114777939739E-3</v>
      </c>
    </row>
    <row r="105" spans="1:10" x14ac:dyDescent="0.2">
      <c r="A105" s="3">
        <f>Data!A105</f>
        <v>41152</v>
      </c>
      <c r="B105">
        <f>Data!C105 - Factors!AB107</f>
        <v>5.0039480905286426E-2</v>
      </c>
      <c r="C105">
        <f>Factors!V107</f>
        <v>2.6904143782650936E-2</v>
      </c>
      <c r="D105">
        <f>Factors!V107 - Factors!W107</f>
        <v>5.1925206532126289E-3</v>
      </c>
      <c r="E105">
        <f>Factors!X107 - Factors!AA107</f>
        <v>1.0824634775562281E-2</v>
      </c>
      <c r="G105" cm="1">
        <f t="array" ref="G105">TREND(B69:B104, C69:E104, C105:E105, TRUE)</f>
        <v>2.8471915143816369E-2</v>
      </c>
      <c r="H105">
        <f t="shared" si="6"/>
        <v>2.1567565761470057E-2</v>
      </c>
      <c r="I105">
        <f t="shared" si="7"/>
        <v>2.1567565761470057E-2</v>
      </c>
      <c r="J105">
        <f t="shared" si="8"/>
        <v>5.0039480905286426E-2</v>
      </c>
    </row>
    <row r="106" spans="1:10" x14ac:dyDescent="0.2">
      <c r="A106" s="3">
        <f>Data!A106</f>
        <v>41180</v>
      </c>
      <c r="B106">
        <f>Data!C106 - Factors!AB108</f>
        <v>1.2017557701822223E-2</v>
      </c>
      <c r="C106">
        <f>Factors!V108</f>
        <v>1.9611250416183834E-2</v>
      </c>
      <c r="D106">
        <f>Factors!V108 - Factors!W108</f>
        <v>-1.2131287971125948E-2</v>
      </c>
      <c r="E106">
        <f>Factors!X108 - Factors!AA108</f>
        <v>6.9963728355182386E-3</v>
      </c>
      <c r="G106" cm="1">
        <f t="array" ref="G106">TREND(B70:B105, C70:E105, C106:E106, TRUE)</f>
        <v>1.4450652865437267E-2</v>
      </c>
      <c r="H106">
        <f t="shared" si="6"/>
        <v>-2.4330951636150431E-3</v>
      </c>
      <c r="I106">
        <f t="shared" si="7"/>
        <v>-2.4330951636150431E-3</v>
      </c>
      <c r="J106">
        <f t="shared" si="8"/>
        <v>1.2017557701822223E-2</v>
      </c>
    </row>
    <row r="107" spans="1:10" x14ac:dyDescent="0.2">
      <c r="A107" s="3">
        <f>Data!A107</f>
        <v>41213</v>
      </c>
      <c r="B107">
        <f>Data!C107 - Factors!AB109</f>
        <v>-6.7603352632396696E-2</v>
      </c>
      <c r="C107">
        <f>Factors!V109</f>
        <v>-2.9186454607306289E-2</v>
      </c>
      <c r="D107">
        <f>Factors!V109 - Factors!W109</f>
        <v>-2.4276524684249456E-2</v>
      </c>
      <c r="E107">
        <f>Factors!X109 - Factors!AA109</f>
        <v>-3.2304586296036941E-3</v>
      </c>
      <c r="G107" cm="1">
        <f t="array" ref="G107">TREND(B71:B106, C71:E106, C107:E107, TRUE)</f>
        <v>-4.4530451869901247E-2</v>
      </c>
      <c r="H107">
        <f t="shared" si="6"/>
        <v>-2.3072900762495449E-2</v>
      </c>
      <c r="I107">
        <f t="shared" si="7"/>
        <v>-2.3072900762495449E-2</v>
      </c>
      <c r="J107">
        <f t="shared" si="8"/>
        <v>-6.7603352632396696E-2</v>
      </c>
    </row>
    <row r="108" spans="1:10" x14ac:dyDescent="0.2">
      <c r="A108" s="3">
        <f>Data!A108</f>
        <v>41243</v>
      </c>
      <c r="B108">
        <f>Data!C108 - Factors!AB110</f>
        <v>9.9679087352921858E-3</v>
      </c>
      <c r="C108">
        <f>Factors!V110</f>
        <v>1.6745329986961988E-2</v>
      </c>
      <c r="D108">
        <f>Factors!V110 - Factors!W110</f>
        <v>1.7160103535825311E-2</v>
      </c>
      <c r="E108">
        <f>Factors!X110 - Factors!AA110</f>
        <v>-4.8779436311741087E-4</v>
      </c>
      <c r="G108" cm="1">
        <f t="array" ref="G108">TREND(B72:B107, C72:E107, C108:E108, TRUE)</f>
        <v>2.4500034660494257E-2</v>
      </c>
      <c r="H108">
        <f t="shared" si="6"/>
        <v>-1.4532125925202071E-2</v>
      </c>
      <c r="I108">
        <f t="shared" si="7"/>
        <v>-1.4532125925202071E-2</v>
      </c>
      <c r="J108">
        <f t="shared" si="8"/>
        <v>9.9679087352921858E-3</v>
      </c>
    </row>
    <row r="109" spans="1:10" x14ac:dyDescent="0.2">
      <c r="A109" s="3">
        <f>Data!A109</f>
        <v>41274</v>
      </c>
      <c r="B109">
        <f>Data!C109 - Factors!AB111</f>
        <v>-5.6157050926208818E-4</v>
      </c>
      <c r="C109">
        <f>Factors!V111</f>
        <v>-2.7622410015171184E-4</v>
      </c>
      <c r="D109">
        <f>Factors!V111 - Factors!W111</f>
        <v>-2.0930873839065889E-2</v>
      </c>
      <c r="E109">
        <f>Factors!X111 - Factors!AA111</f>
        <v>2.6510451601075014E-2</v>
      </c>
      <c r="G109" cm="1">
        <f t="array" ref="G109">TREND(B73:B108, C73:E108, C109:E109, TRUE)</f>
        <v>-1.7696183497836228E-2</v>
      </c>
      <c r="H109">
        <f t="shared" si="6"/>
        <v>1.713461298857414E-2</v>
      </c>
      <c r="I109">
        <f t="shared" si="7"/>
        <v>1.713461298857414E-2</v>
      </c>
      <c r="J109">
        <f t="shared" si="8"/>
        <v>-5.6157050926208818E-4</v>
      </c>
    </row>
    <row r="110" spans="1:10" x14ac:dyDescent="0.2">
      <c r="A110" s="3">
        <f>Data!A110</f>
        <v>41305</v>
      </c>
      <c r="B110">
        <f>Data!C110 - Factors!AB112</f>
        <v>1.3545670876807581E-2</v>
      </c>
      <c r="C110">
        <f>Factors!V112</f>
        <v>4.2858990873723579E-2</v>
      </c>
      <c r="D110">
        <f>Factors!V112 - Factors!W112</f>
        <v>-2.2136558227891179E-2</v>
      </c>
      <c r="E110">
        <f>Factors!X112 - Factors!AA112</f>
        <v>1.0797630567976002E-2</v>
      </c>
      <c r="G110" cm="1">
        <f t="array" ref="G110">TREND(B74:B109, C74:E109, C110:E110, TRUE)</f>
        <v>3.8312112722198283E-2</v>
      </c>
      <c r="H110">
        <f t="shared" si="6"/>
        <v>-2.4766441845390702E-2</v>
      </c>
      <c r="I110">
        <f t="shared" si="7"/>
        <v>-2.4766441845390702E-2</v>
      </c>
      <c r="J110">
        <f t="shared" si="8"/>
        <v>1.3545670876807581E-2</v>
      </c>
    </row>
    <row r="111" spans="1:10" x14ac:dyDescent="0.2">
      <c r="A111" s="3">
        <f>Data!A111</f>
        <v>41333</v>
      </c>
      <c r="B111">
        <f>Data!C111 - Factors!AB113</f>
        <v>5.869604478959678E-3</v>
      </c>
      <c r="C111">
        <f>Factors!V113</f>
        <v>1.2443911899440607E-2</v>
      </c>
      <c r="D111">
        <f>Factors!V113 - Factors!W113</f>
        <v>-1.9103449969299913E-3</v>
      </c>
      <c r="E111">
        <f>Factors!X113 - Factors!AA113</f>
        <v>-2.5435862936724618E-3</v>
      </c>
      <c r="G111" cm="1">
        <f t="array" ref="G111">TREND(B75:B110, C75:E110, C111:E111, TRUE)</f>
        <v>1.1629632191805137E-2</v>
      </c>
      <c r="H111">
        <f t="shared" si="6"/>
        <v>-5.7600277128454589E-3</v>
      </c>
      <c r="I111">
        <f t="shared" si="7"/>
        <v>-5.7600277128454589E-3</v>
      </c>
      <c r="J111">
        <f t="shared" si="8"/>
        <v>5.869604478959678E-3</v>
      </c>
    </row>
    <row r="112" spans="1:10" x14ac:dyDescent="0.2">
      <c r="A112" s="3">
        <f>Data!A112</f>
        <v>41362</v>
      </c>
      <c r="B112">
        <f>Data!C112 - Factors!AB114</f>
        <v>2.4621590247969394E-2</v>
      </c>
      <c r="C112">
        <f>Factors!V114</f>
        <v>3.7513132926226156E-2</v>
      </c>
      <c r="D112">
        <f>Factors!V114 - Factors!W114</f>
        <v>-2.1033503297300804E-3</v>
      </c>
      <c r="E112">
        <f>Factors!X114 - Factors!AA114</f>
        <v>8.6705086329481595E-3</v>
      </c>
      <c r="G112" cm="1">
        <f t="array" ref="G112">TREND(B76:B111, C76:E111, C112:E112, TRUE)</f>
        <v>3.7207321717828271E-2</v>
      </c>
      <c r="H112">
        <f t="shared" si="6"/>
        <v>-1.2585731469858877E-2</v>
      </c>
      <c r="I112">
        <f t="shared" si="7"/>
        <v>-1.2585731469858877E-2</v>
      </c>
      <c r="J112">
        <f t="shared" si="8"/>
        <v>2.4621590247969394E-2</v>
      </c>
    </row>
    <row r="113" spans="1:10" x14ac:dyDescent="0.2">
      <c r="A113" s="3">
        <f>Data!A113</f>
        <v>41394</v>
      </c>
      <c r="B113">
        <f>Data!C113 - Factors!AB115</f>
        <v>8.7959426567836285E-3</v>
      </c>
      <c r="C113">
        <f>Factors!V115</f>
        <v>2.1226629675467068E-2</v>
      </c>
      <c r="D113">
        <f>Factors!V115 - Factors!W115</f>
        <v>6.1058929339254941E-3</v>
      </c>
      <c r="E113">
        <f>Factors!X115 - Factors!AA115</f>
        <v>-2.2940902240455641E-2</v>
      </c>
      <c r="G113" cm="1">
        <f t="array" ref="G113">TREND(B77:B112, C77:E112, C113:E113, TRUE)</f>
        <v>2.9448846298574964E-2</v>
      </c>
      <c r="H113">
        <f t="shared" si="6"/>
        <v>-2.0652903641791336E-2</v>
      </c>
      <c r="I113">
        <f t="shared" si="7"/>
        <v>-2.0652903641791336E-2</v>
      </c>
      <c r="J113">
        <f t="shared" si="8"/>
        <v>8.7959426567836285E-3</v>
      </c>
    </row>
    <row r="114" spans="1:10" x14ac:dyDescent="0.2">
      <c r="A114" s="3">
        <f>Data!A114</f>
        <v>41425</v>
      </c>
      <c r="B114">
        <f>Data!C114 - Factors!AB116</f>
        <v>4.4494655969298469E-2</v>
      </c>
      <c r="C114">
        <f>Factors!V116</f>
        <v>1.8577364649125183E-2</v>
      </c>
      <c r="D114">
        <f>Factors!V116 - Factors!W116</f>
        <v>-7.0892743908621547E-3</v>
      </c>
      <c r="E114">
        <f>Factors!X116 - Factors!AA116</f>
        <v>1.6576283848616757E-2</v>
      </c>
      <c r="G114" cm="1">
        <f t="array" ref="G114">TREND(B78:B113, C78:E113, C114:E114, TRUE)</f>
        <v>7.814126504537602E-3</v>
      </c>
      <c r="H114">
        <f t="shared" si="6"/>
        <v>3.6680529464760865E-2</v>
      </c>
      <c r="I114">
        <f t="shared" si="7"/>
        <v>3.6680529464760865E-2</v>
      </c>
      <c r="J114">
        <f t="shared" si="8"/>
        <v>4.4494655969298469E-2</v>
      </c>
    </row>
    <row r="115" spans="1:10" x14ac:dyDescent="0.2">
      <c r="A115" s="3">
        <f>Data!A115</f>
        <v>41453</v>
      </c>
      <c r="B115">
        <f>Data!C115 - Factors!AB117</f>
        <v>-3.6412004322886382E-2</v>
      </c>
      <c r="C115">
        <f>Factors!V117</f>
        <v>-1.8817855725379418E-2</v>
      </c>
      <c r="D115">
        <f>Factors!V117 - Factors!W117</f>
        <v>-1.00036202566407E-2</v>
      </c>
      <c r="E115">
        <f>Factors!X117 - Factors!AA117</f>
        <v>8.3126969143645368E-3</v>
      </c>
      <c r="G115" cm="1">
        <f t="array" ref="G115">TREND(B79:B114, C79:E114, C115:E115, TRUE)</f>
        <v>-3.3162350629917979E-2</v>
      </c>
      <c r="H115">
        <f t="shared" si="6"/>
        <v>-3.2496536929684031E-3</v>
      </c>
      <c r="I115">
        <f t="shared" si="7"/>
        <v>-3.2496536929684031E-3</v>
      </c>
      <c r="J115">
        <f t="shared" si="8"/>
        <v>-3.6412004322886382E-2</v>
      </c>
    </row>
    <row r="116" spans="1:10" x14ac:dyDescent="0.2">
      <c r="A116" s="3">
        <f>Data!A116</f>
        <v>41486</v>
      </c>
      <c r="B116">
        <f>Data!C116 - Factors!AB118</f>
        <v>4.1445654812712007E-2</v>
      </c>
      <c r="C116">
        <f>Factors!V118</f>
        <v>5.3021535271521092E-2</v>
      </c>
      <c r="D116">
        <f>Factors!V118 - Factors!W118</f>
        <v>-9.7134634403883702E-4</v>
      </c>
      <c r="E116">
        <f>Factors!X118 - Factors!AA118</f>
        <v>1.9099212355161654E-2</v>
      </c>
      <c r="G116" cm="1">
        <f t="array" ref="G116">TREND(B80:B115, C80:E115, C116:E116, TRUE)</f>
        <v>5.1050610200206979E-2</v>
      </c>
      <c r="H116">
        <f t="shared" si="6"/>
        <v>-9.604955387494972E-3</v>
      </c>
      <c r="I116">
        <f t="shared" si="7"/>
        <v>-9.604955387494972E-3</v>
      </c>
      <c r="J116">
        <f t="shared" si="8"/>
        <v>4.1445654812712007E-2</v>
      </c>
    </row>
    <row r="117" spans="1:10" x14ac:dyDescent="0.2">
      <c r="A117" s="3">
        <f>Data!A117</f>
        <v>41516</v>
      </c>
      <c r="B117">
        <f>Data!C117 - Factors!AB119</f>
        <v>-6.1819435633294617E-3</v>
      </c>
      <c r="C117">
        <f>Factors!V119</f>
        <v>-1.7138501783197868E-2</v>
      </c>
      <c r="D117">
        <f>Factors!V119 - Factors!W119</f>
        <v>2.0797803897426803E-2</v>
      </c>
      <c r="E117">
        <f>Factors!X119 - Factors!AA119</f>
        <v>-2.8006516847357554E-3</v>
      </c>
      <c r="G117" cm="1">
        <f t="array" ref="G117">TREND(B81:B116, C81:E116, C117:E117, TRUE)</f>
        <v>-1.7323089322198084E-2</v>
      </c>
      <c r="H117">
        <f t="shared" si="6"/>
        <v>1.1141145758868622E-2</v>
      </c>
      <c r="I117">
        <f t="shared" si="7"/>
        <v>1.1141145758868622E-2</v>
      </c>
      <c r="J117">
        <f t="shared" si="8"/>
        <v>-6.1819435633294617E-3</v>
      </c>
    </row>
    <row r="118" spans="1:10" x14ac:dyDescent="0.2">
      <c r="A118" s="3">
        <f>Data!A118</f>
        <v>41547</v>
      </c>
      <c r="B118">
        <f>Data!C118 - Factors!AB120</f>
        <v>2.8588098016335994E-2</v>
      </c>
      <c r="C118">
        <f>Factors!V120</f>
        <v>4.4563317714624517E-2</v>
      </c>
      <c r="D118">
        <f>Factors!V120 - Factors!W120</f>
        <v>1.951288361641379E-2</v>
      </c>
      <c r="E118">
        <f>Factors!X120 - Factors!AA120</f>
        <v>3.2443980564370589E-2</v>
      </c>
      <c r="G118" cm="1">
        <f t="array" ref="G118">TREND(B82:B117, C82:E117, C118:E118, TRUE)</f>
        <v>4.3208341617747135E-2</v>
      </c>
      <c r="H118">
        <f t="shared" si="6"/>
        <v>-1.4620243601411141E-2</v>
      </c>
      <c r="I118">
        <f t="shared" si="7"/>
        <v>-1.4620243601411141E-2</v>
      </c>
      <c r="J118">
        <f t="shared" si="8"/>
        <v>2.8588098016335994E-2</v>
      </c>
    </row>
    <row r="119" spans="1:10" x14ac:dyDescent="0.2">
      <c r="A119" s="3">
        <f>Data!A119</f>
        <v>41578</v>
      </c>
      <c r="B119">
        <f>Data!C119 - Factors!AB121</f>
        <v>4.5701320800583645E-2</v>
      </c>
      <c r="C119">
        <f>Factors!V121</f>
        <v>4.4235609992200553E-2</v>
      </c>
      <c r="D119">
        <f>Factors!V121 - Factors!W121</f>
        <v>4.4182007235749055E-4</v>
      </c>
      <c r="E119">
        <f>Factors!X121 - Factors!AA121</f>
        <v>-2.0821529552609075E-2</v>
      </c>
      <c r="G119" cm="1">
        <f t="array" ref="G119">TREND(B83:B118, C83:E118, C119:E119, TRUE)</f>
        <v>5.6474880566489728E-2</v>
      </c>
      <c r="H119">
        <f t="shared" si="6"/>
        <v>-1.0773559765906084E-2</v>
      </c>
      <c r="I119">
        <f t="shared" si="7"/>
        <v>-1.0773559765906084E-2</v>
      </c>
      <c r="J119">
        <f t="shared" si="8"/>
        <v>4.5701320800583645E-2</v>
      </c>
    </row>
    <row r="120" spans="1:10" x14ac:dyDescent="0.2">
      <c r="A120" s="3">
        <f>Data!A120</f>
        <v>41607</v>
      </c>
      <c r="B120">
        <f>Data!C120 - Factors!AB122</f>
        <v>3.8692619096507119E-2</v>
      </c>
      <c r="C120">
        <f>Factors!V122</f>
        <v>2.8209187344894637E-2</v>
      </c>
      <c r="D120">
        <f>Factors!V122 - Factors!W122</f>
        <v>3.1144479193878638E-4</v>
      </c>
      <c r="E120">
        <f>Factors!X122 - Factors!AA122</f>
        <v>9.5900881622592582E-3</v>
      </c>
      <c r="G120" cm="1">
        <f t="array" ref="G120">TREND(B84:B119, C84:E119, C120:E120, TRUE)</f>
        <v>2.419998839478503E-2</v>
      </c>
      <c r="H120">
        <f t="shared" si="6"/>
        <v>1.449263070172209E-2</v>
      </c>
      <c r="I120">
        <f t="shared" si="7"/>
        <v>1.449263070172209E-2</v>
      </c>
      <c r="J120">
        <f t="shared" si="8"/>
        <v>3.8692619096507119E-2</v>
      </c>
    </row>
    <row r="121" spans="1:10" x14ac:dyDescent="0.2">
      <c r="A121" s="3">
        <f>Data!A121</f>
        <v>41639</v>
      </c>
      <c r="B121">
        <f>Data!C121 - Factors!AB123</f>
        <v>4.1275811936202222E-2</v>
      </c>
      <c r="C121">
        <f>Factors!V123</f>
        <v>2.8564868469103111E-2</v>
      </c>
      <c r="D121">
        <f>Factors!V123 - Factors!W123</f>
        <v>3.2374423996781587E-3</v>
      </c>
      <c r="E121">
        <f>Factors!X123 - Factors!AA123</f>
        <v>-5.635838384960401E-3</v>
      </c>
      <c r="G121" cm="1">
        <f t="array" ref="G121">TREND(B85:B120, C85:E120, C121:E121, TRUE)</f>
        <v>3.160568150520783E-2</v>
      </c>
      <c r="H121">
        <f t="shared" si="6"/>
        <v>9.670130430994392E-3</v>
      </c>
      <c r="I121">
        <f t="shared" si="7"/>
        <v>9.670130430994392E-3</v>
      </c>
      <c r="J121">
        <f t="shared" si="8"/>
        <v>4.1275811936202222E-2</v>
      </c>
    </row>
    <row r="122" spans="1:10" x14ac:dyDescent="0.2">
      <c r="A122" s="3"/>
    </row>
    <row r="123" spans="1:10" x14ac:dyDescent="0.2">
      <c r="A123" s="3"/>
    </row>
    <row r="124" spans="1:10" x14ac:dyDescent="0.2">
      <c r="A124" s="3"/>
    </row>
  </sheetData>
  <mergeCells count="1">
    <mergeCell ref="G37:J37"/>
  </mergeCells>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E0C38-84E3-49AF-976F-14FF0ACF3234}">
  <sheetPr>
    <tabColor theme="9" tint="0.59999389629810485"/>
  </sheetPr>
  <dimension ref="A1:N124"/>
  <sheetViews>
    <sheetView workbookViewId="0">
      <selection activeCell="B1" sqref="B1:B1048576"/>
    </sheetView>
  </sheetViews>
  <sheetFormatPr baseColWidth="10" defaultColWidth="8.83203125" defaultRowHeight="15" x14ac:dyDescent="0.2"/>
  <cols>
    <col min="1" max="1" width="9.33203125" bestFit="1" customWidth="1"/>
    <col min="2" max="2" width="12.6640625" bestFit="1" customWidth="1"/>
    <col min="3" max="3" width="12.83203125" bestFit="1" customWidth="1"/>
    <col min="4" max="4" width="14.1640625" bestFit="1" customWidth="1"/>
    <col min="5" max="5" width="14" customWidth="1"/>
    <col min="6" max="6" width="17.5" bestFit="1" customWidth="1"/>
    <col min="7" max="9" width="12.6640625" customWidth="1"/>
    <col min="10" max="10" width="13.5" bestFit="1" customWidth="1"/>
    <col min="11" max="11" width="15.1640625" bestFit="1" customWidth="1"/>
    <col min="12" max="12" width="12.6640625" customWidth="1"/>
    <col min="13" max="13" width="20.5" bestFit="1" customWidth="1"/>
    <col min="14" max="14" width="17.6640625" bestFit="1" customWidth="1"/>
    <col min="15" max="15" width="12.6640625" bestFit="1" customWidth="1"/>
    <col min="16" max="16" width="14.6640625" bestFit="1" customWidth="1"/>
    <col min="17" max="17" width="12.6640625" bestFit="1" customWidth="1"/>
    <col min="18" max="18" width="12" bestFit="1" customWidth="1"/>
    <col min="19" max="19" width="13.6640625" bestFit="1" customWidth="1"/>
    <col min="20" max="20" width="12.6640625" bestFit="1" customWidth="1"/>
    <col min="21" max="22" width="12.83203125" bestFit="1" customWidth="1"/>
  </cols>
  <sheetData>
    <row r="1" spans="1:14" x14ac:dyDescent="0.2">
      <c r="A1" s="14" t="s">
        <v>65</v>
      </c>
      <c r="B1" s="7" t="s">
        <v>149</v>
      </c>
      <c r="C1" s="13" t="s">
        <v>10</v>
      </c>
      <c r="D1" s="13" t="s">
        <v>12</v>
      </c>
      <c r="G1" s="14" t="s">
        <v>129</v>
      </c>
      <c r="H1" s="14" t="s">
        <v>118</v>
      </c>
      <c r="I1" s="14" t="s">
        <v>130</v>
      </c>
      <c r="J1" s="14" t="s">
        <v>131</v>
      </c>
      <c r="L1" s="14" t="s">
        <v>150</v>
      </c>
      <c r="M1" s="14" t="s">
        <v>132</v>
      </c>
      <c r="N1" s="23" t="s">
        <v>133</v>
      </c>
    </row>
    <row r="2" spans="1:14" x14ac:dyDescent="0.2">
      <c r="A2" s="3">
        <f>Data!A2</f>
        <v>38016</v>
      </c>
      <c r="B2">
        <f>Data!D2 - Factors!AB4</f>
        <v>3.1878517779338367E-2</v>
      </c>
      <c r="C2">
        <f>Factors!G4</f>
        <v>1.8131402072775415E-2</v>
      </c>
      <c r="D2">
        <f>Factors!I4</f>
        <v>2.7989998174359432E-2</v>
      </c>
      <c r="L2" t="s">
        <v>10</v>
      </c>
      <c r="M2">
        <f>RSQ(C2:C121, D2:D121)</f>
        <v>0.34946273789031013</v>
      </c>
      <c r="N2" s="2">
        <f>1/(1-M2)</f>
        <v>1.5371909623700937</v>
      </c>
    </row>
    <row r="3" spans="1:14" x14ac:dyDescent="0.2">
      <c r="A3" s="3">
        <f>Data!A3</f>
        <v>38044</v>
      </c>
      <c r="B3">
        <f>Data!D3 - Factors!AB5</f>
        <v>8.3234653246097245E-2</v>
      </c>
      <c r="C3">
        <f>Factors!G5</f>
        <v>6.4882009642222682E-2</v>
      </c>
      <c r="D3">
        <f>Factors!I5</f>
        <v>1.2020002834621124E-2</v>
      </c>
      <c r="L3" t="s">
        <v>12</v>
      </c>
      <c r="M3">
        <f>RSQ(C3:C122, D3:D122)</f>
        <v>0.35016790996736091</v>
      </c>
      <c r="N3" s="2">
        <f>1/(1-M3)</f>
        <v>1.5388590611919042</v>
      </c>
    </row>
    <row r="4" spans="1:14" x14ac:dyDescent="0.2">
      <c r="A4" s="3">
        <f>Data!A4</f>
        <v>38077</v>
      </c>
      <c r="B4">
        <f>Data!D4 - Factors!AB6</f>
        <v>-4.3764061412878696E-3</v>
      </c>
      <c r="C4">
        <f>Factors!G6</f>
        <v>3.0877435445310297E-2</v>
      </c>
      <c r="D4">
        <f>Factors!I6</f>
        <v>5.7999971080802126E-4</v>
      </c>
    </row>
    <row r="5" spans="1:14" x14ac:dyDescent="0.2">
      <c r="A5" s="3">
        <f>Data!A5</f>
        <v>38107</v>
      </c>
      <c r="B5">
        <f>Data!D5 - Factors!AB7</f>
        <v>-8.6266702033044429E-2</v>
      </c>
      <c r="C5">
        <f>Factors!G7</f>
        <v>-1.7736548307438538E-2</v>
      </c>
      <c r="D5">
        <f>Factors!I7</f>
        <v>-5.6199909563863226E-3</v>
      </c>
    </row>
    <row r="6" spans="1:14" x14ac:dyDescent="0.2">
      <c r="A6" s="3">
        <f>Data!A6</f>
        <v>38138</v>
      </c>
      <c r="B6">
        <f>Data!D6 - Factors!AB8</f>
        <v>4.2917294310152565E-2</v>
      </c>
      <c r="C6">
        <f>Factors!G8</f>
        <v>1.6954736383852254E-2</v>
      </c>
      <c r="D6">
        <f>Factors!I8</f>
        <v>-3.1200008209378849E-3</v>
      </c>
      <c r="F6" t="s">
        <v>104</v>
      </c>
    </row>
    <row r="7" spans="1:14" ht="16" thickBot="1" x14ac:dyDescent="0.25">
      <c r="A7" s="3">
        <f>Data!A7</f>
        <v>38168</v>
      </c>
      <c r="B7">
        <f>Data!D7 - Factors!AB9</f>
        <v>-4.0735819328155953E-3</v>
      </c>
      <c r="C7">
        <f>Factors!G9</f>
        <v>-4.1462267061582181E-2</v>
      </c>
      <c r="D7">
        <f>Factors!I9</f>
        <v>1.7579991357553837E-2</v>
      </c>
    </row>
    <row r="8" spans="1:14" x14ac:dyDescent="0.2">
      <c r="A8" s="3">
        <f>Data!A8</f>
        <v>38198</v>
      </c>
      <c r="B8">
        <f>Data!D8 - Factors!AB10</f>
        <v>1.8803387910201641E-2</v>
      </c>
      <c r="C8">
        <f>Factors!G10</f>
        <v>1.766682089762428E-2</v>
      </c>
      <c r="D8">
        <f>Factors!I10</f>
        <v>-9.3100039320574979E-3</v>
      </c>
      <c r="F8" s="6" t="s">
        <v>105</v>
      </c>
      <c r="G8" s="6"/>
    </row>
    <row r="9" spans="1:14" x14ac:dyDescent="0.2">
      <c r="A9" s="3">
        <f>Data!A9</f>
        <v>38230</v>
      </c>
      <c r="B9">
        <f>Data!D9 - Factors!AB11</f>
        <v>-2.5322895601501694E-2</v>
      </c>
      <c r="C9">
        <f>Factors!G11</f>
        <v>-1.8225954391624777E-2</v>
      </c>
      <c r="D9">
        <f>Factors!I11</f>
        <v>4.9100023455581621E-3</v>
      </c>
      <c r="F9" t="s">
        <v>106</v>
      </c>
      <c r="G9">
        <v>0.76428934007916671</v>
      </c>
    </row>
    <row r="10" spans="1:14" x14ac:dyDescent="0.2">
      <c r="A10" s="3">
        <f>Data!A10</f>
        <v>38260</v>
      </c>
      <c r="B10">
        <f>Data!D10 - Factors!AB12</f>
        <v>0.12039489400991643</v>
      </c>
      <c r="C10">
        <f>Factors!G12</f>
        <v>6.84664513582951E-2</v>
      </c>
      <c r="D10">
        <f>Factors!I12</f>
        <v>1.3649998798765273E-2</v>
      </c>
      <c r="F10" t="s">
        <v>107</v>
      </c>
      <c r="G10">
        <v>0.58413819535864808</v>
      </c>
    </row>
    <row r="11" spans="1:14" x14ac:dyDescent="0.2">
      <c r="A11" s="3">
        <f>Data!A11</f>
        <v>38289</v>
      </c>
      <c r="B11">
        <f>Data!D11 - Factors!AB13</f>
        <v>-4.3277089140961067E-2</v>
      </c>
      <c r="C11">
        <f>Factors!G13</f>
        <v>1.6922450702526737E-2</v>
      </c>
      <c r="D11">
        <f>Factors!I13</f>
        <v>1.4890002029396276E-2</v>
      </c>
      <c r="F11" t="s">
        <v>108</v>
      </c>
      <c r="G11">
        <v>0.57702944656136002</v>
      </c>
    </row>
    <row r="12" spans="1:14" x14ac:dyDescent="0.2">
      <c r="A12" s="3">
        <f>Data!A12</f>
        <v>38321</v>
      </c>
      <c r="B12">
        <f>Data!D12 - Factors!AB14</f>
        <v>4.9522834078530087E-2</v>
      </c>
      <c r="C12">
        <f>Factors!G14</f>
        <v>-1.197844472941012E-2</v>
      </c>
      <c r="D12">
        <f>Factors!I14</f>
        <v>4.0329999084645074E-2</v>
      </c>
      <c r="F12" t="s">
        <v>109</v>
      </c>
      <c r="G12">
        <v>4.675556290755635E-2</v>
      </c>
    </row>
    <row r="13" spans="1:14" ht="16" thickBot="1" x14ac:dyDescent="0.25">
      <c r="A13" s="3">
        <f>Data!A13</f>
        <v>38352</v>
      </c>
      <c r="B13">
        <f>Data!D13 - Factors!AB15</f>
        <v>4.898825771230686E-2</v>
      </c>
      <c r="C13">
        <f>Factors!G15</f>
        <v>-4.9106104596640554E-2</v>
      </c>
      <c r="D13">
        <f>Factors!I15</f>
        <v>2.7990000567262863E-2</v>
      </c>
      <c r="F13" s="4" t="s">
        <v>110</v>
      </c>
      <c r="G13" s="4">
        <v>120</v>
      </c>
    </row>
    <row r="14" spans="1:14" x14ac:dyDescent="0.2">
      <c r="A14" s="3">
        <f>Data!A14</f>
        <v>38383</v>
      </c>
      <c r="B14">
        <f>Data!D14 - Factors!AB16</f>
        <v>-2.7927188203953901E-2</v>
      </c>
      <c r="C14">
        <f>Factors!G16</f>
        <v>1.0434130850706991E-2</v>
      </c>
      <c r="D14">
        <f>Factors!I16</f>
        <v>-1.4799960669028556E-3</v>
      </c>
    </row>
    <row r="15" spans="1:14" ht="16" thickBot="1" x14ac:dyDescent="0.25">
      <c r="A15" s="3">
        <f>Data!A15</f>
        <v>38411</v>
      </c>
      <c r="B15">
        <f>Data!D15 - Factors!AB17</f>
        <v>5.8021073335708495E-2</v>
      </c>
      <c r="C15">
        <f>Factors!G17</f>
        <v>7.0644959787616202E-2</v>
      </c>
      <c r="D15">
        <f>Factors!I17</f>
        <v>1.384999414646737E-2</v>
      </c>
      <c r="F15" t="s">
        <v>111</v>
      </c>
    </row>
    <row r="16" spans="1:14" x14ac:dyDescent="0.2">
      <c r="A16" s="3">
        <f>Data!A16</f>
        <v>38442</v>
      </c>
      <c r="B16">
        <f>Data!D16 - Factors!AB18</f>
        <v>9.7695927373870894E-3</v>
      </c>
      <c r="C16">
        <f>Factors!G18</f>
        <v>3.5651904388571687E-2</v>
      </c>
      <c r="D16">
        <f>Factors!I18</f>
        <v>-1.9799979756719432E-3</v>
      </c>
      <c r="F16" s="5"/>
      <c r="G16" s="5" t="s">
        <v>112</v>
      </c>
      <c r="H16" s="5" t="s">
        <v>113</v>
      </c>
      <c r="I16" s="5" t="s">
        <v>114</v>
      </c>
      <c r="J16" s="5" t="s">
        <v>115</v>
      </c>
      <c r="K16" s="5" t="s">
        <v>116</v>
      </c>
    </row>
    <row r="17" spans="1:14" x14ac:dyDescent="0.2">
      <c r="A17" s="3">
        <f>Data!A17</f>
        <v>38471</v>
      </c>
      <c r="B17">
        <f>Data!D17 - Factors!AB19</f>
        <v>-4.6385367414803591E-2</v>
      </c>
      <c r="C17">
        <f>Factors!G19</f>
        <v>-5.8346126220019001E-2</v>
      </c>
      <c r="D17">
        <f>Factors!I19</f>
        <v>-1.7059994942389856E-2</v>
      </c>
      <c r="F17" t="s">
        <v>117</v>
      </c>
      <c r="G17">
        <v>2</v>
      </c>
      <c r="H17">
        <v>0.35926839390960413</v>
      </c>
      <c r="I17">
        <v>0.17963419695480207</v>
      </c>
      <c r="J17">
        <v>82.171731202752937</v>
      </c>
      <c r="K17">
        <v>5.111148287266278E-23</v>
      </c>
    </row>
    <row r="18" spans="1:14" x14ac:dyDescent="0.2">
      <c r="A18" s="3">
        <f>Data!A18</f>
        <v>38503</v>
      </c>
      <c r="B18">
        <f>Data!D18 - Factors!AB20</f>
        <v>-1.408737248880787E-2</v>
      </c>
      <c r="C18">
        <f>Factors!G20</f>
        <v>-7.7624597574791343E-3</v>
      </c>
      <c r="D18">
        <f>Factors!I20</f>
        <v>1.2000003710082918E-2</v>
      </c>
      <c r="F18" t="s">
        <v>118</v>
      </c>
      <c r="G18">
        <v>117</v>
      </c>
      <c r="H18">
        <v>0.25577167154788777</v>
      </c>
      <c r="I18">
        <v>2.1860826628024594E-3</v>
      </c>
    </row>
    <row r="19" spans="1:14" ht="16" thickBot="1" x14ac:dyDescent="0.25">
      <c r="A19" s="3">
        <f>Data!A19</f>
        <v>38533</v>
      </c>
      <c r="B19">
        <f>Data!D19 - Factors!AB21</f>
        <v>-6.402115128348318E-3</v>
      </c>
      <c r="C19">
        <f>Factors!G21</f>
        <v>1.6833418122208954E-2</v>
      </c>
      <c r="D19">
        <f>Factors!I21</f>
        <v>1.3249994311450353E-2</v>
      </c>
      <c r="F19" s="4" t="s">
        <v>119</v>
      </c>
      <c r="G19" s="4">
        <v>119</v>
      </c>
      <c r="H19" s="4">
        <v>0.6150400654574919</v>
      </c>
      <c r="I19" s="4"/>
      <c r="J19" s="4"/>
      <c r="K19" s="4"/>
    </row>
    <row r="20" spans="1:14" ht="16" thickBot="1" x14ac:dyDescent="0.25">
      <c r="A20" s="3">
        <f>Data!A20</f>
        <v>38562</v>
      </c>
      <c r="B20">
        <f>Data!D20 - Factors!AB22</f>
        <v>6.0050126615346588E-2</v>
      </c>
      <c r="C20">
        <f>Factors!G22</f>
        <v>4.4831598920809901E-2</v>
      </c>
      <c r="D20">
        <f>Factors!I22</f>
        <v>2.3509999328833242E-2</v>
      </c>
    </row>
    <row r="21" spans="1:14" x14ac:dyDescent="0.2">
      <c r="A21" s="3">
        <f>Data!A21</f>
        <v>38595</v>
      </c>
      <c r="B21">
        <f>Data!D21 - Factors!AB23</f>
        <v>1.888226457106934E-2</v>
      </c>
      <c r="C21">
        <f>Factors!G23</f>
        <v>7.5479996736767196E-2</v>
      </c>
      <c r="D21">
        <f>Factors!I23</f>
        <v>8.8700061158561994E-3</v>
      </c>
      <c r="F21" s="5"/>
      <c r="G21" s="5" t="s">
        <v>120</v>
      </c>
      <c r="H21" s="5" t="s">
        <v>109</v>
      </c>
      <c r="I21" s="5" t="s">
        <v>121</v>
      </c>
      <c r="J21" s="5" t="s">
        <v>122</v>
      </c>
      <c r="K21" s="5" t="s">
        <v>123</v>
      </c>
      <c r="L21" s="5" t="s">
        <v>124</v>
      </c>
      <c r="M21" s="5" t="s">
        <v>125</v>
      </c>
      <c r="N21" s="5" t="s">
        <v>126</v>
      </c>
    </row>
    <row r="22" spans="1:14" x14ac:dyDescent="0.2">
      <c r="A22" s="3">
        <f>Data!A22</f>
        <v>38625</v>
      </c>
      <c r="B22">
        <f>Data!D22 - Factors!AB24</f>
        <v>1.5243661121291385E-2</v>
      </c>
      <c r="C22">
        <f>Factors!G24</f>
        <v>4.6525663816047613E-2</v>
      </c>
      <c r="D22">
        <f>Factors!I24</f>
        <v>9.9799919184655472E-3</v>
      </c>
      <c r="F22" t="s">
        <v>127</v>
      </c>
      <c r="G22">
        <v>-2.800389307118103E-3</v>
      </c>
      <c r="H22">
        <v>4.5259492551820426E-3</v>
      </c>
      <c r="I22">
        <v>-0.6187407655779088</v>
      </c>
      <c r="J22">
        <v>0.53728994797497021</v>
      </c>
      <c r="K22">
        <v>-1.1763794641306318E-2</v>
      </c>
      <c r="L22">
        <v>6.163016027070113E-3</v>
      </c>
      <c r="M22">
        <v>-1.1763794641306318E-2</v>
      </c>
      <c r="N22">
        <v>6.163016027070113E-3</v>
      </c>
    </row>
    <row r="23" spans="1:14" x14ac:dyDescent="0.2">
      <c r="A23" s="3">
        <f>Data!A23</f>
        <v>38656</v>
      </c>
      <c r="B23">
        <f>Data!D23 - Factors!AB25</f>
        <v>4.5082190092773367E-2</v>
      </c>
      <c r="C23">
        <f>Factors!G25</f>
        <v>-6.2839566867097796E-2</v>
      </c>
      <c r="D23">
        <f>Factors!I25</f>
        <v>-1.7979998465396774E-2</v>
      </c>
      <c r="F23" t="s">
        <v>151</v>
      </c>
      <c r="G23">
        <v>0.68741538657185408</v>
      </c>
      <c r="H23">
        <v>0.10203796873941423</v>
      </c>
      <c r="I23">
        <v>6.736858789568652</v>
      </c>
      <c r="J23" s="10">
        <v>6.4073240789053155E-10</v>
      </c>
      <c r="K23">
        <v>0.48533453640734897</v>
      </c>
      <c r="L23">
        <v>0.88949623673635925</v>
      </c>
      <c r="M23">
        <v>0.48533453640734897</v>
      </c>
      <c r="N23">
        <v>0.88949623673635925</v>
      </c>
    </row>
    <row r="24" spans="1:14" ht="16" thickBot="1" x14ac:dyDescent="0.25">
      <c r="A24" s="3">
        <f>Data!A24</f>
        <v>38686</v>
      </c>
      <c r="B24">
        <f>Data!D24 - Factors!AB26</f>
        <v>8.9889095832339727E-2</v>
      </c>
      <c r="C24">
        <f>Factors!G26</f>
        <v>2.5825890455182243E-3</v>
      </c>
      <c r="D24">
        <f>Factors!I26</f>
        <v>1.2900004676325239E-2</v>
      </c>
      <c r="F24" s="4" t="s">
        <v>12</v>
      </c>
      <c r="G24" s="4">
        <v>1.3398940742453325</v>
      </c>
      <c r="H24" s="4">
        <v>0.27830654455955833</v>
      </c>
      <c r="I24" s="4">
        <v>4.8144540631116621</v>
      </c>
      <c r="J24" s="12">
        <v>4.4548038594860993E-6</v>
      </c>
      <c r="K24" s="4">
        <v>0.78872254637447947</v>
      </c>
      <c r="L24" s="4">
        <v>1.8910656021161856</v>
      </c>
      <c r="M24" s="4">
        <v>0.78872254637447947</v>
      </c>
      <c r="N24" s="4">
        <v>1.8910656021161856</v>
      </c>
    </row>
    <row r="25" spans="1:14" x14ac:dyDescent="0.2">
      <c r="A25" s="3">
        <f>Data!A25</f>
        <v>38716</v>
      </c>
      <c r="B25">
        <f>Data!D25 - Factors!AB27</f>
        <v>7.0228117799173262E-2</v>
      </c>
      <c r="C25">
        <f>Factors!G27</f>
        <v>3.18839218632605E-2</v>
      </c>
      <c r="D25">
        <f>Factors!I27</f>
        <v>1.5669995623428523E-2</v>
      </c>
    </row>
    <row r="26" spans="1:14" x14ac:dyDescent="0.2">
      <c r="A26" s="3">
        <f>Data!A26</f>
        <v>38748</v>
      </c>
      <c r="B26">
        <f>Data!D26 - Factors!AB28</f>
        <v>0.11377116633568907</v>
      </c>
      <c r="C26">
        <f>Factors!G28</f>
        <v>1.8495043068421868E-2</v>
      </c>
      <c r="D26">
        <f>Factors!I28</f>
        <v>3.3220002740831589E-2</v>
      </c>
    </row>
    <row r="27" spans="1:14" x14ac:dyDescent="0.2">
      <c r="A27" s="3">
        <f>Data!A27</f>
        <v>38776</v>
      </c>
      <c r="B27">
        <f>Data!D27 - Factors!AB29</f>
        <v>-2.1024685553196254E-2</v>
      </c>
      <c r="C27">
        <f>Factors!G29</f>
        <v>-6.2602923342056527E-2</v>
      </c>
      <c r="D27">
        <f>Factors!I29</f>
        <v>9.6500029984780689E-3</v>
      </c>
    </row>
    <row r="28" spans="1:14" x14ac:dyDescent="0.2">
      <c r="A28" s="3">
        <f>Data!A28</f>
        <v>38807</v>
      </c>
      <c r="B28">
        <f>Data!D28 - Factors!AB30</f>
        <v>7.2205330554120373E-2</v>
      </c>
      <c r="C28">
        <f>Factors!G30</f>
        <v>2.2241968650842381E-2</v>
      </c>
      <c r="D28">
        <f>Factors!I30</f>
        <v>2.4759997125974209E-2</v>
      </c>
    </row>
    <row r="29" spans="1:14" x14ac:dyDescent="0.2">
      <c r="A29" s="3">
        <f>Data!A29</f>
        <v>38835</v>
      </c>
      <c r="B29">
        <f>Data!D29 - Factors!AB31</f>
        <v>0.2180638792003764</v>
      </c>
      <c r="C29">
        <f>Factors!G31</f>
        <v>6.7798585878097617E-2</v>
      </c>
      <c r="D29">
        <f>Factors!I31</f>
        <v>1.6289995721916917E-2</v>
      </c>
    </row>
    <row r="30" spans="1:14" x14ac:dyDescent="0.2">
      <c r="A30" s="3">
        <f>Data!A30</f>
        <v>38868</v>
      </c>
      <c r="B30">
        <f>Data!D30 - Factors!AB32</f>
        <v>8.4328786915763176E-2</v>
      </c>
      <c r="C30">
        <f>Factors!G32</f>
        <v>9.5660201987437521E-3</v>
      </c>
      <c r="D30">
        <f>Factors!I32</f>
        <v>-5.4199986073308892E-3</v>
      </c>
      <c r="H30" s="7" t="s">
        <v>136</v>
      </c>
      <c r="I30" s="7">
        <f>1 - SUMSQ(H38:H121) / DEVSQ(B38:B121)</f>
        <v>0.59782264814470287</v>
      </c>
    </row>
    <row r="31" spans="1:14" x14ac:dyDescent="0.2">
      <c r="A31" s="3">
        <f>Data!A31</f>
        <v>38898</v>
      </c>
      <c r="B31">
        <f>Data!D31 - Factors!AB33</f>
        <v>-5.5746010201437657E-2</v>
      </c>
      <c r="C31">
        <f>Factors!G33</f>
        <v>-1.5536902073337577E-2</v>
      </c>
      <c r="D31">
        <f>Factors!I33</f>
        <v>-1.1599962117382345E-3</v>
      </c>
      <c r="H31" s="7" t="s">
        <v>137</v>
      </c>
      <c r="I31" s="7">
        <f>SQRT( SUMSQ(H38:H121) / COUNT(H38:H121) )</f>
        <v>4.7287275831515978E-2</v>
      </c>
    </row>
    <row r="32" spans="1:14" x14ac:dyDescent="0.2">
      <c r="A32" s="3">
        <f>Data!A32</f>
        <v>38929</v>
      </c>
      <c r="B32">
        <f>Data!D32 - Factors!AB34</f>
        <v>6.0117687693855837E-2</v>
      </c>
      <c r="C32">
        <f>Factors!G34</f>
        <v>3.2100849829908462E-2</v>
      </c>
      <c r="D32">
        <f>Factors!I34</f>
        <v>-4.3700025114713492E-3</v>
      </c>
      <c r="H32" s="7" t="s">
        <v>138</v>
      </c>
      <c r="I32" s="7">
        <f>1 - SUMSQ(I38:I121) / DEVSQ(J38:J121)</f>
        <v>0.55746974699170027</v>
      </c>
    </row>
    <row r="33" spans="1:10" x14ac:dyDescent="0.2">
      <c r="A33" s="3">
        <f>Data!A33</f>
        <v>38960</v>
      </c>
      <c r="B33">
        <f>Data!D33 - Factors!AB35</f>
        <v>1.0469313648652001E-2</v>
      </c>
      <c r="C33">
        <f>Factors!G35</f>
        <v>-3.6037350895916642E-2</v>
      </c>
      <c r="D33">
        <f>Factors!I35</f>
        <v>1.0550003534475216E-2</v>
      </c>
    </row>
    <row r="34" spans="1:10" x14ac:dyDescent="0.2">
      <c r="A34" s="3">
        <f>Data!A34</f>
        <v>38989</v>
      </c>
      <c r="B34">
        <f>Data!D34 - Factors!AB36</f>
        <v>7.8607684956157886E-3</v>
      </c>
      <c r="C34">
        <f>Factors!G36</f>
        <v>-6.021215724744422E-2</v>
      </c>
      <c r="D34">
        <f>Factors!I36</f>
        <v>2.3299989251119868E-3</v>
      </c>
    </row>
    <row r="35" spans="1:10" x14ac:dyDescent="0.2">
      <c r="A35" s="3">
        <f>Data!A35</f>
        <v>39021</v>
      </c>
      <c r="B35">
        <f>Data!D35 - Factors!AB37</f>
        <v>7.5776419655426031E-2</v>
      </c>
      <c r="C35">
        <f>Factors!G37</f>
        <v>4.7435725313821564E-2</v>
      </c>
      <c r="D35">
        <f>Factors!I37</f>
        <v>2.3289996694176418E-2</v>
      </c>
    </row>
    <row r="36" spans="1:10" x14ac:dyDescent="0.2">
      <c r="A36" s="3">
        <f>Data!A36</f>
        <v>39051</v>
      </c>
      <c r="B36">
        <f>Data!D36 - Factors!AB38</f>
        <v>2.705609524757957E-3</v>
      </c>
      <c r="C36">
        <f>Factors!G38</f>
        <v>5.4689127223438216E-2</v>
      </c>
      <c r="D36">
        <f>Factors!I38</f>
        <v>1.8690004151639572E-2</v>
      </c>
    </row>
    <row r="37" spans="1:10" x14ac:dyDescent="0.2">
      <c r="A37" s="3">
        <f>Data!A37</f>
        <v>39080</v>
      </c>
      <c r="B37">
        <f>Data!D37 - Factors!AB39</f>
        <v>-2.9856111481327385E-2</v>
      </c>
      <c r="C37">
        <f>Factors!G39</f>
        <v>-4.5928784104028564E-2</v>
      </c>
      <c r="D37">
        <f>Factors!I39</f>
        <v>1.6500000131154158E-2</v>
      </c>
      <c r="G37" s="147" t="s">
        <v>139</v>
      </c>
      <c r="H37" s="147"/>
      <c r="I37" s="147"/>
      <c r="J37" s="147"/>
    </row>
    <row r="38" spans="1:10" x14ac:dyDescent="0.2">
      <c r="A38" s="3">
        <f>Data!A38</f>
        <v>39113</v>
      </c>
      <c r="B38">
        <f>Data!D38 - Factors!AB40</f>
        <v>-4.6084104764591682E-2</v>
      </c>
      <c r="C38">
        <f>Factors!G40</f>
        <v>2.1049413577987064E-3</v>
      </c>
      <c r="D38">
        <f>Factors!I40</f>
        <v>1.5743450899027067E-2</v>
      </c>
      <c r="G38" cm="1">
        <f t="array" ref="G38">TREND(B2:B37, C2:D37, C38:D38, TRUE)</f>
        <v>3.1238569476502196E-2</v>
      </c>
      <c r="H38">
        <f t="shared" ref="H38:H69" si="0">B38 - G38</f>
        <v>-7.7322674241093875E-2</v>
      </c>
      <c r="I38">
        <f t="shared" ref="I38:I69" si="1">IF(OR(YEAR(A38)=2008, YEAR(A38)=2009), "", H38)</f>
        <v>-7.7322674241093875E-2</v>
      </c>
      <c r="J38">
        <f t="shared" ref="J38:J69" si="2">IF(OR(YEAR(A38)=2008, YEAR(A38)=2009), "", B38)</f>
        <v>-4.6084104764591682E-2</v>
      </c>
    </row>
    <row r="39" spans="1:10" x14ac:dyDescent="0.2">
      <c r="A39" s="3">
        <f>Data!A39</f>
        <v>39141</v>
      </c>
      <c r="B39">
        <f>Data!D39 - Factors!AB41</f>
        <v>5.2680187394763767E-2</v>
      </c>
      <c r="C39">
        <f>Factors!G41</f>
        <v>3.3675051797994016E-2</v>
      </c>
      <c r="D39">
        <f>Factors!I41</f>
        <v>1.0238926024925155E-2</v>
      </c>
      <c r="G39" cm="1">
        <f t="array" ref="G39">TREND(B3:B38, C3:D38, C39:D39, TRUE)</f>
        <v>4.3254080103806651E-2</v>
      </c>
      <c r="H39">
        <f t="shared" si="0"/>
        <v>9.4261072909571156E-3</v>
      </c>
      <c r="I39">
        <f t="shared" si="1"/>
        <v>9.4261072909571156E-3</v>
      </c>
      <c r="J39">
        <f t="shared" si="2"/>
        <v>5.2680187394763767E-2</v>
      </c>
    </row>
    <row r="40" spans="1:10" x14ac:dyDescent="0.2">
      <c r="A40" s="3">
        <f>Data!A40</f>
        <v>39171</v>
      </c>
      <c r="B40">
        <f>Data!D40 - Factors!AB42</f>
        <v>5.2787084017367869E-2</v>
      </c>
      <c r="C40">
        <f>Factors!G42</f>
        <v>9.748494378706285E-3</v>
      </c>
      <c r="D40">
        <f>Factors!I42</f>
        <v>1.3578598692955968E-2</v>
      </c>
      <c r="G40" cm="1">
        <f t="array" ref="G40">TREND(B4:B39, C4:D39, C40:D40, TRUE)</f>
        <v>3.1664363189008712E-2</v>
      </c>
      <c r="H40">
        <f t="shared" si="0"/>
        <v>2.1122720828359157E-2</v>
      </c>
      <c r="I40">
        <f t="shared" si="1"/>
        <v>2.1122720828359157E-2</v>
      </c>
      <c r="J40">
        <f t="shared" si="2"/>
        <v>5.2787084017367869E-2</v>
      </c>
    </row>
    <row r="41" spans="1:10" x14ac:dyDescent="0.2">
      <c r="A41" s="3">
        <f>Data!A41</f>
        <v>39202</v>
      </c>
      <c r="B41">
        <f>Data!D41 - Factors!AB43</f>
        <v>8.602996400092322E-2</v>
      </c>
      <c r="C41">
        <f>Factors!G43</f>
        <v>1.1551155115511413E-2</v>
      </c>
      <c r="D41">
        <f>Factors!I43</f>
        <v>1.9871204607506243E-2</v>
      </c>
      <c r="G41" cm="1">
        <f t="array" ref="G41">TREND(B5:B40, C5:D40, C41:D41, TRUE)</f>
        <v>4.100052334961915E-2</v>
      </c>
      <c r="H41">
        <f t="shared" si="0"/>
        <v>4.502944065130407E-2</v>
      </c>
      <c r="I41">
        <f t="shared" si="1"/>
        <v>4.502944065130407E-2</v>
      </c>
      <c r="J41">
        <f t="shared" si="2"/>
        <v>8.602996400092322E-2</v>
      </c>
    </row>
    <row r="42" spans="1:10" x14ac:dyDescent="0.2">
      <c r="A42" s="3">
        <f>Data!A42</f>
        <v>39233</v>
      </c>
      <c r="B42">
        <f>Data!D42 - Factors!AB44</f>
        <v>-3.3641716351753503E-2</v>
      </c>
      <c r="C42">
        <f>Factors!G44</f>
        <v>1.2942217513529641E-3</v>
      </c>
      <c r="D42">
        <f>Factors!I44</f>
        <v>2.1749318823270469E-2</v>
      </c>
      <c r="G42" cm="1">
        <f t="array" ref="G42">TREND(B6:B41, C6:D41, C42:D42, TRUE)</f>
        <v>3.8631279842244556E-2</v>
      </c>
      <c r="H42">
        <f t="shared" si="0"/>
        <v>-7.227299619399806E-2</v>
      </c>
      <c r="I42">
        <f t="shared" si="1"/>
        <v>-7.227299619399806E-2</v>
      </c>
      <c r="J42">
        <f t="shared" si="2"/>
        <v>-3.3641716351753503E-2</v>
      </c>
    </row>
    <row r="43" spans="1:10" x14ac:dyDescent="0.2">
      <c r="A43" s="3">
        <f>Data!A43</f>
        <v>39262</v>
      </c>
      <c r="B43">
        <f>Data!D43 - Factors!AB45</f>
        <v>-5.3664388369268345E-2</v>
      </c>
      <c r="C43">
        <f>Factors!G45</f>
        <v>-1.3968545972658064E-2</v>
      </c>
      <c r="D43">
        <f>Factors!I45</f>
        <v>3.5466971581854523E-5</v>
      </c>
      <c r="G43" cm="1">
        <f t="array" ref="G43">TREND(B7:B42, C7:D42, C43:D43, TRUE)</f>
        <v>7.0863446707081432E-3</v>
      </c>
      <c r="H43">
        <f t="shared" si="0"/>
        <v>-6.0750733039976489E-2</v>
      </c>
      <c r="I43">
        <f t="shared" si="1"/>
        <v>-6.0750733039976489E-2</v>
      </c>
      <c r="J43">
        <f t="shared" si="2"/>
        <v>-5.3664388369268345E-2</v>
      </c>
    </row>
    <row r="44" spans="1:10" x14ac:dyDescent="0.2">
      <c r="A44" s="3">
        <f>Data!A44</f>
        <v>39294</v>
      </c>
      <c r="B44">
        <f>Data!D44 - Factors!AB46</f>
        <v>1.1986668980533466E-2</v>
      </c>
      <c r="C44">
        <f>Factors!G46</f>
        <v>2.0751214069487878E-2</v>
      </c>
      <c r="D44">
        <f>Factors!I46</f>
        <v>-8.8229959797648805E-3</v>
      </c>
      <c r="G44" cm="1">
        <f t="array" ref="G44">TREND(B8:B43, C8:D43, C44:D44, TRUE)</f>
        <v>1.759508737616098E-2</v>
      </c>
      <c r="H44">
        <f t="shared" si="0"/>
        <v>-5.6084183956275138E-3</v>
      </c>
      <c r="I44">
        <f t="shared" si="1"/>
        <v>-5.6084183956275138E-3</v>
      </c>
      <c r="J44">
        <f t="shared" si="2"/>
        <v>1.1986668980533466E-2</v>
      </c>
    </row>
    <row r="45" spans="1:10" x14ac:dyDescent="0.2">
      <c r="A45" s="3">
        <f>Data!A45</f>
        <v>39325</v>
      </c>
      <c r="B45">
        <f>Data!D45 - Factors!AB47</f>
        <v>-7.9842709300193992E-2</v>
      </c>
      <c r="C45">
        <f>Factors!G47</f>
        <v>-3.6310313108506853E-2</v>
      </c>
      <c r="D45">
        <f>Factors!I47</f>
        <v>-1.6983800572715091E-2</v>
      </c>
      <c r="G45" cm="1">
        <f t="array" ref="G45">TREND(B9:B44, C9:D44, C45:D45, TRUE)</f>
        <v>-2.7363566177414662E-2</v>
      </c>
      <c r="H45">
        <f t="shared" si="0"/>
        <v>-5.2479143122779334E-2</v>
      </c>
      <c r="I45">
        <f t="shared" si="1"/>
        <v>-5.2479143122779334E-2</v>
      </c>
      <c r="J45">
        <f t="shared" si="2"/>
        <v>-7.9842709300193992E-2</v>
      </c>
    </row>
    <row r="46" spans="1:10" x14ac:dyDescent="0.2">
      <c r="A46" s="3">
        <f>Data!A46</f>
        <v>39353</v>
      </c>
      <c r="B46">
        <f>Data!D46 - Factors!AB48</f>
        <v>2.528625265133666E-2</v>
      </c>
      <c r="C46">
        <f>Factors!G48</f>
        <v>8.0045742195005598E-2</v>
      </c>
      <c r="D46">
        <f>Factors!I48</f>
        <v>1.5478596362731967E-2</v>
      </c>
      <c r="G46" cm="1">
        <f t="array" ref="G46">TREND(B10:B45, C10:D45, C46:D46, TRUE)</f>
        <v>7.9033866566485561E-2</v>
      </c>
      <c r="H46">
        <f t="shared" si="0"/>
        <v>-5.3747613915148901E-2</v>
      </c>
      <c r="I46">
        <f t="shared" si="1"/>
        <v>-5.3747613915148901E-2</v>
      </c>
      <c r="J46">
        <f t="shared" si="2"/>
        <v>2.528625265133666E-2</v>
      </c>
    </row>
    <row r="47" spans="1:10" x14ac:dyDescent="0.2">
      <c r="A47" s="3">
        <f>Data!A47</f>
        <v>39386</v>
      </c>
      <c r="B47">
        <f>Data!D47 - Factors!AB49</f>
        <v>-2.1165601894573949E-2</v>
      </c>
      <c r="C47">
        <f>Factors!G49</f>
        <v>3.3336489654440138E-2</v>
      </c>
      <c r="D47">
        <f>Factors!I49</f>
        <v>2.258997329142054E-2</v>
      </c>
      <c r="G47" cm="1">
        <f t="array" ref="G47">TREND(B11:B46, C11:D46, C47:D47, TRUE)</f>
        <v>5.2404797257047504E-2</v>
      </c>
      <c r="H47">
        <f t="shared" si="0"/>
        <v>-7.3570399151621446E-2</v>
      </c>
      <c r="I47">
        <f t="shared" si="1"/>
        <v>-7.3570399151621446E-2</v>
      </c>
      <c r="J47">
        <f t="shared" si="2"/>
        <v>-2.1165601894573949E-2</v>
      </c>
    </row>
    <row r="48" spans="1:10" x14ac:dyDescent="0.2">
      <c r="A48" s="3">
        <f>Data!A48</f>
        <v>39416</v>
      </c>
      <c r="B48">
        <f>Data!D48 - Factors!AB50</f>
        <v>-7.9259554850268921E-2</v>
      </c>
      <c r="C48">
        <f>Factors!G50</f>
        <v>-3.1361332870531E-2</v>
      </c>
      <c r="D48">
        <f>Factors!I50</f>
        <v>-2.5234798615809684E-2</v>
      </c>
      <c r="G48" cm="1">
        <f t="array" ref="G48">TREND(B12:B47, C12:D47, C48:D48, TRUE)</f>
        <v>-3.6438111790891729E-2</v>
      </c>
      <c r="H48">
        <f t="shared" si="0"/>
        <v>-4.2821443059377191E-2</v>
      </c>
      <c r="I48">
        <f t="shared" si="1"/>
        <v>-4.2821443059377191E-2</v>
      </c>
      <c r="J48">
        <f t="shared" si="2"/>
        <v>-7.9259554850268921E-2</v>
      </c>
    </row>
    <row r="49" spans="1:10" x14ac:dyDescent="0.2">
      <c r="A49" s="3">
        <f>Data!A49</f>
        <v>39447</v>
      </c>
      <c r="B49">
        <f>Data!D49 - Factors!AB51</f>
        <v>-4.8411691407560187E-2</v>
      </c>
      <c r="C49">
        <f>Factors!G51</f>
        <v>4.632329122125034E-2</v>
      </c>
      <c r="D49">
        <f>Factors!I51</f>
        <v>-2.6816447868270865E-3</v>
      </c>
      <c r="G49" cm="1">
        <f t="array" ref="G49">TREND(B13:B48, C13:D48, C49:D49, TRUE)</f>
        <v>2.4882393250775479E-2</v>
      </c>
      <c r="H49">
        <f t="shared" si="0"/>
        <v>-7.3294084658335673E-2</v>
      </c>
      <c r="I49">
        <f t="shared" si="1"/>
        <v>-7.3294084658335673E-2</v>
      </c>
      <c r="J49">
        <f t="shared" si="2"/>
        <v>-4.8411691407560187E-2</v>
      </c>
    </row>
    <row r="50" spans="1:10" x14ac:dyDescent="0.2">
      <c r="A50" s="3">
        <f>Data!A50</f>
        <v>39478</v>
      </c>
      <c r="B50">
        <f>Data!D50 - Factors!AB52</f>
        <v>8.896567442729908E-2</v>
      </c>
      <c r="C50">
        <f>Factors!G52</f>
        <v>4.2236773610235812E-2</v>
      </c>
      <c r="D50">
        <f>Factors!I52</f>
        <v>-2.5282621069873668E-2</v>
      </c>
      <c r="G50" cm="1">
        <f t="array" ref="G50">TREND(B14:B49, C14:D49, C50:D50, TRUE)</f>
        <v>-1.3625456879957419E-2</v>
      </c>
      <c r="H50">
        <f t="shared" si="0"/>
        <v>0.1025911313072565</v>
      </c>
      <c r="I50" t="str">
        <f t="shared" si="1"/>
        <v/>
      </c>
      <c r="J50" t="str">
        <f t="shared" si="2"/>
        <v/>
      </c>
    </row>
    <row r="51" spans="1:10" x14ac:dyDescent="0.2">
      <c r="A51" s="3">
        <f>Data!A51</f>
        <v>39507</v>
      </c>
      <c r="B51">
        <f>Data!D51 - Factors!AB53</f>
        <v>0.14348214073065968</v>
      </c>
      <c r="C51">
        <f>Factors!G53</f>
        <v>0.12283980799461625</v>
      </c>
      <c r="D51">
        <f>Factors!I53</f>
        <v>4.0779079798907159E-3</v>
      </c>
      <c r="G51" cm="1">
        <f t="array" ref="G51">TREND(B15:B50, C15:D50, C51:D51, TRUE)</f>
        <v>8.7365407385041699E-2</v>
      </c>
      <c r="H51">
        <f t="shared" si="0"/>
        <v>5.6116733345617981E-2</v>
      </c>
      <c r="I51" t="str">
        <f t="shared" si="1"/>
        <v/>
      </c>
      <c r="J51" t="str">
        <f t="shared" si="2"/>
        <v/>
      </c>
    </row>
    <row r="52" spans="1:10" x14ac:dyDescent="0.2">
      <c r="A52" s="3">
        <f>Data!A52</f>
        <v>39538</v>
      </c>
      <c r="B52">
        <f>Data!D52 - Factors!AB54</f>
        <v>-4.8470946650621904E-2</v>
      </c>
      <c r="C52">
        <f>Factors!G54</f>
        <v>-6.3420230138012568E-2</v>
      </c>
      <c r="D52">
        <f>Factors!I54</f>
        <v>-1.4133835923330174E-2</v>
      </c>
      <c r="G52" cm="1">
        <f t="array" ref="G52">TREND(B16:B51, C16:D51, C52:D52, TRUE)</f>
        <v>-4.5367455450355559E-2</v>
      </c>
      <c r="H52">
        <f t="shared" si="0"/>
        <v>-3.1034912002663451E-3</v>
      </c>
      <c r="I52" t="str">
        <f t="shared" si="1"/>
        <v/>
      </c>
      <c r="J52" t="str">
        <f t="shared" si="2"/>
        <v/>
      </c>
    </row>
    <row r="53" spans="1:10" x14ac:dyDescent="0.2">
      <c r="A53" s="3">
        <f>Data!A53</f>
        <v>39568</v>
      </c>
      <c r="B53">
        <f>Data!D53 - Factors!AB55</f>
        <v>-1.5805877325077988E-2</v>
      </c>
      <c r="C53">
        <f>Factors!G55</f>
        <v>3.5635901871284847E-2</v>
      </c>
      <c r="D53">
        <f>Factors!I55</f>
        <v>1.0000555006381306E-2</v>
      </c>
      <c r="G53" cm="1">
        <f t="array" ref="G53">TREND(B17:B52, C17:D52, C53:D53, TRUE)</f>
        <v>4.3556823770266054E-2</v>
      </c>
      <c r="H53">
        <f t="shared" si="0"/>
        <v>-5.9362701095344042E-2</v>
      </c>
      <c r="I53" t="str">
        <f t="shared" si="1"/>
        <v/>
      </c>
      <c r="J53" t="str">
        <f t="shared" si="2"/>
        <v/>
      </c>
    </row>
    <row r="54" spans="1:10" x14ac:dyDescent="0.2">
      <c r="A54" s="3">
        <f>Data!A54</f>
        <v>39598</v>
      </c>
      <c r="B54">
        <f>Data!D54 - Factors!AB56</f>
        <v>-6.8520171049309631E-2</v>
      </c>
      <c r="C54">
        <f>Factors!G56</f>
        <v>2.7339959739513642E-2</v>
      </c>
      <c r="D54">
        <f>Factors!I56</f>
        <v>1.5184348414409632E-2</v>
      </c>
      <c r="G54" cm="1">
        <f t="array" ref="G54">TREND(B18:B53, C18:D53, C54:D54, TRUE)</f>
        <v>3.8910613324353527E-2</v>
      </c>
      <c r="H54">
        <f t="shared" si="0"/>
        <v>-0.10743078437366316</v>
      </c>
      <c r="I54" t="str">
        <f t="shared" si="1"/>
        <v/>
      </c>
      <c r="J54" t="str">
        <f t="shared" si="2"/>
        <v/>
      </c>
    </row>
    <row r="55" spans="1:10" x14ac:dyDescent="0.2">
      <c r="A55" s="3">
        <f>Data!A55</f>
        <v>39629</v>
      </c>
      <c r="B55">
        <f>Data!D55 - Factors!AB57</f>
        <v>4.6194190970294091E-2</v>
      </c>
      <c r="C55">
        <f>Factors!G57</f>
        <v>9.0990040622232149E-2</v>
      </c>
      <c r="D55">
        <f>Factors!I57</f>
        <v>-1.5989686471403308E-2</v>
      </c>
      <c r="G55" cm="1">
        <f t="array" ref="G55">TREND(B19:B54, C19:D54, C55:D55, TRUE)</f>
        <v>6.2070897796717525E-2</v>
      </c>
      <c r="H55">
        <f t="shared" si="0"/>
        <v>-1.5876706826423434E-2</v>
      </c>
      <c r="I55" t="str">
        <f t="shared" si="1"/>
        <v/>
      </c>
      <c r="J55" t="str">
        <f t="shared" si="2"/>
        <v/>
      </c>
    </row>
    <row r="56" spans="1:10" x14ac:dyDescent="0.2">
      <c r="A56" s="3">
        <f>Data!A56</f>
        <v>39660</v>
      </c>
      <c r="B56">
        <f>Data!D56 - Factors!AB58</f>
        <v>-6.04705983538667E-2</v>
      </c>
      <c r="C56">
        <f>Factors!G58</f>
        <v>-0.1185424145646562</v>
      </c>
      <c r="D56">
        <f>Factors!I58</f>
        <v>-1.4316305322182088E-2</v>
      </c>
      <c r="G56" cm="1">
        <f t="array" ref="G56">TREND(B20:B55, C20:D55, C56:D56, TRUE)</f>
        <v>-8.0557848035816004E-2</v>
      </c>
      <c r="H56">
        <f t="shared" si="0"/>
        <v>2.0087249681949304E-2</v>
      </c>
      <c r="I56" t="str">
        <f t="shared" si="1"/>
        <v/>
      </c>
      <c r="J56" t="str">
        <f t="shared" si="2"/>
        <v/>
      </c>
    </row>
    <row r="57" spans="1:10" x14ac:dyDescent="0.2">
      <c r="A57" s="3">
        <f>Data!A57</f>
        <v>39689</v>
      </c>
      <c r="B57">
        <f>Data!D57 - Factors!AB59</f>
        <v>-6.4220796509821154E-2</v>
      </c>
      <c r="C57">
        <f>Factors!G59</f>
        <v>-7.2841922156990702E-2</v>
      </c>
      <c r="D57">
        <f>Factors!I59</f>
        <v>-5.0456983866700167E-3</v>
      </c>
      <c r="G57" cm="1">
        <f t="array" ref="G57">TREND(B21:B56, C21:D56, C57:D57, TRUE)</f>
        <v>-4.0635678929846764E-2</v>
      </c>
      <c r="H57">
        <f t="shared" si="0"/>
        <v>-2.3585117579974391E-2</v>
      </c>
      <c r="I57" t="str">
        <f t="shared" si="1"/>
        <v/>
      </c>
      <c r="J57" t="str">
        <f t="shared" si="2"/>
        <v/>
      </c>
    </row>
    <row r="58" spans="1:10" x14ac:dyDescent="0.2">
      <c r="A58" s="3">
        <f>Data!A58</f>
        <v>39721</v>
      </c>
      <c r="B58">
        <f>Data!D58 - Factors!AB60</f>
        <v>-0.13487168080226597</v>
      </c>
      <c r="C58">
        <f>Factors!G60</f>
        <v>-0.11527921242911654</v>
      </c>
      <c r="D58">
        <f>Factors!I60</f>
        <v>-6.0063508319736503E-2</v>
      </c>
      <c r="G58" cm="1">
        <f t="array" ref="G58">TREND(B22:B57, C22:D57, C58:D58, TRUE)</f>
        <v>-0.10801900635390341</v>
      </c>
      <c r="H58">
        <f t="shared" si="0"/>
        <v>-2.6852674448362562E-2</v>
      </c>
      <c r="I58" t="str">
        <f t="shared" si="1"/>
        <v/>
      </c>
      <c r="J58" t="str">
        <f t="shared" si="2"/>
        <v/>
      </c>
    </row>
    <row r="59" spans="1:10" x14ac:dyDescent="0.2">
      <c r="A59" s="3">
        <f>Data!A59</f>
        <v>39752</v>
      </c>
      <c r="B59">
        <f>Data!D59 - Factors!AB61</f>
        <v>-0.27005163281952838</v>
      </c>
      <c r="C59">
        <f>Factors!G61</f>
        <v>-0.21283224323004146</v>
      </c>
      <c r="D59">
        <f>Factors!I61</f>
        <v>-8.1909506896957196E-2</v>
      </c>
      <c r="G59" cm="1">
        <f t="array" ref="G59">TREND(B23:B58, C23:D58, C59:D59, TRUE)</f>
        <v>-0.20524807703846198</v>
      </c>
      <c r="H59">
        <f t="shared" si="0"/>
        <v>-6.4803555781066391E-2</v>
      </c>
      <c r="I59" t="str">
        <f t="shared" si="1"/>
        <v/>
      </c>
      <c r="J59" t="str">
        <f t="shared" si="2"/>
        <v/>
      </c>
    </row>
    <row r="60" spans="1:10" x14ac:dyDescent="0.2">
      <c r="A60" s="3">
        <f>Data!A60</f>
        <v>39780</v>
      </c>
      <c r="B60">
        <f>Data!D60 - Factors!AB62</f>
        <v>-0.10561752095588972</v>
      </c>
      <c r="C60">
        <f>Factors!G62</f>
        <v>-6.9582655416398742E-2</v>
      </c>
      <c r="D60">
        <f>Factors!I62</f>
        <v>-3.656644757432348E-2</v>
      </c>
      <c r="G60" cm="1">
        <f t="array" ref="G60">TREND(B24:B59, C24:D59, C60:D60, TRUE)</f>
        <v>-8.7349598566519249E-2</v>
      </c>
      <c r="H60">
        <f t="shared" si="0"/>
        <v>-1.8267922389370472E-2</v>
      </c>
      <c r="I60" t="str">
        <f t="shared" si="1"/>
        <v/>
      </c>
      <c r="J60" t="str">
        <f t="shared" si="2"/>
        <v/>
      </c>
    </row>
    <row r="61" spans="1:10" x14ac:dyDescent="0.2">
      <c r="A61" s="3">
        <f>Data!A61</f>
        <v>39813</v>
      </c>
      <c r="B61">
        <f>Data!D61 - Factors!AB63</f>
        <v>-9.9769986808883271E-2</v>
      </c>
      <c r="C61">
        <f>Factors!G63</f>
        <v>-4.483936559577073E-2</v>
      </c>
      <c r="D61">
        <f>Factors!I63</f>
        <v>-1.4988431307215277E-2</v>
      </c>
      <c r="G61" cm="1">
        <f t="array" ref="G61">TREND(B25:B60, C25:D60, C61:D61, TRUE)</f>
        <v>-4.8653430806726031E-2</v>
      </c>
      <c r="H61">
        <f t="shared" si="0"/>
        <v>-5.111655600215724E-2</v>
      </c>
      <c r="I61" t="str">
        <f t="shared" si="1"/>
        <v/>
      </c>
      <c r="J61" t="str">
        <f t="shared" si="2"/>
        <v/>
      </c>
    </row>
    <row r="62" spans="1:10" x14ac:dyDescent="0.2">
      <c r="A62" s="3">
        <f>Data!A62</f>
        <v>39843</v>
      </c>
      <c r="B62">
        <f>Data!D62 - Factors!AB64</f>
        <v>-5.6047349955689607E-2</v>
      </c>
      <c r="C62">
        <f>Factors!G64</f>
        <v>-5.3752224597018006E-2</v>
      </c>
      <c r="D62">
        <f>Factors!I64</f>
        <v>3.6957216704314177E-3</v>
      </c>
      <c r="G62" cm="1">
        <f t="array" ref="G62">TREND(B26:B61, C26:D61, C62:D62, TRUE)</f>
        <v>-4.0435759833474257E-2</v>
      </c>
      <c r="H62">
        <f t="shared" si="0"/>
        <v>-1.5611590122215351E-2</v>
      </c>
      <c r="I62" t="str">
        <f t="shared" si="1"/>
        <v/>
      </c>
      <c r="J62" t="str">
        <f t="shared" si="2"/>
        <v/>
      </c>
    </row>
    <row r="63" spans="1:10" x14ac:dyDescent="0.2">
      <c r="A63" s="3">
        <f>Data!A63</f>
        <v>39871</v>
      </c>
      <c r="B63">
        <f>Data!D63 - Factors!AB65</f>
        <v>-1.6602641075741387E-3</v>
      </c>
      <c r="C63">
        <f>Factors!G65</f>
        <v>-4.4333157854478555E-2</v>
      </c>
      <c r="D63">
        <f>Factors!I65</f>
        <v>-1.4119806964453585E-2</v>
      </c>
      <c r="G63" cm="1">
        <f t="array" ref="G63">TREND(B27:B62, C27:D62, C63:D63, TRUE)</f>
        <v>-5.1091358913198229E-2</v>
      </c>
      <c r="H63">
        <f t="shared" si="0"/>
        <v>4.943109480562409E-2</v>
      </c>
      <c r="I63" t="str">
        <f t="shared" si="1"/>
        <v/>
      </c>
      <c r="J63" t="str">
        <f t="shared" si="2"/>
        <v/>
      </c>
    </row>
    <row r="64" spans="1:10" x14ac:dyDescent="0.2">
      <c r="A64" s="3">
        <f>Data!A64</f>
        <v>39903</v>
      </c>
      <c r="B64">
        <f>Data!D64 - Factors!AB66</f>
        <v>0.11016141023961445</v>
      </c>
      <c r="C64">
        <f>Factors!G66</f>
        <v>3.6031752010395879E-2</v>
      </c>
      <c r="D64">
        <f>Factors!I66</f>
        <v>1.2767254166768272E-2</v>
      </c>
      <c r="G64" cm="1">
        <f t="array" ref="G64">TREND(B28:B63, C28:D63, C64:D64, TRUE)</f>
        <v>3.834515614657779E-2</v>
      </c>
      <c r="H64">
        <f t="shared" si="0"/>
        <v>7.1816254093036658E-2</v>
      </c>
      <c r="I64" t="str">
        <f t="shared" si="1"/>
        <v/>
      </c>
      <c r="J64" t="str">
        <f t="shared" si="2"/>
        <v/>
      </c>
    </row>
    <row r="65" spans="1:10" x14ac:dyDescent="0.2">
      <c r="A65" s="3">
        <f>Data!A65</f>
        <v>39933</v>
      </c>
      <c r="B65">
        <f>Data!D65 - Factors!AB67</f>
        <v>9.5866538039106164E-2</v>
      </c>
      <c r="C65">
        <f>Factors!G67</f>
        <v>7.3301855495822021E-3</v>
      </c>
      <c r="D65">
        <f>Factors!I67</f>
        <v>3.1902162062693806E-2</v>
      </c>
      <c r="G65" cm="1">
        <f t="array" ref="G65">TREND(B29:B64, C29:D64, C65:D65, TRUE)</f>
        <v>2.6541604518826804E-2</v>
      </c>
      <c r="H65">
        <f t="shared" si="0"/>
        <v>6.9324933520279353E-2</v>
      </c>
      <c r="I65" t="str">
        <f t="shared" si="1"/>
        <v/>
      </c>
      <c r="J65" t="str">
        <f t="shared" si="2"/>
        <v/>
      </c>
    </row>
    <row r="66" spans="1:10" x14ac:dyDescent="0.2">
      <c r="A66" s="3">
        <f>Data!A66</f>
        <v>39962</v>
      </c>
      <c r="B66">
        <f>Data!D66 - Factors!AB68</f>
        <v>5.675510545259943E-2</v>
      </c>
      <c r="C66">
        <f>Factors!G68</f>
        <v>0.13004484304932729</v>
      </c>
      <c r="D66">
        <f>Factors!I68</f>
        <v>4.7429671110515326E-2</v>
      </c>
      <c r="G66" cm="1">
        <f t="array" ref="G66">TREND(B30:B65, C30:D65, C66:D66, TRUE)</f>
        <v>0.13752870565833791</v>
      </c>
      <c r="H66">
        <f t="shared" si="0"/>
        <v>-8.0773600205738483E-2</v>
      </c>
      <c r="I66" t="str">
        <f t="shared" si="1"/>
        <v/>
      </c>
      <c r="J66" t="str">
        <f t="shared" si="2"/>
        <v/>
      </c>
    </row>
    <row r="67" spans="1:10" x14ac:dyDescent="0.2">
      <c r="A67" s="3">
        <f>Data!A67</f>
        <v>39994</v>
      </c>
      <c r="B67">
        <f>Data!D67 - Factors!AB69</f>
        <v>5.702583744982781E-2</v>
      </c>
      <c r="C67">
        <f>Factors!G69</f>
        <v>-1.902685957011907E-2</v>
      </c>
      <c r="D67">
        <f>Factors!I69</f>
        <v>1.5277816528961985E-2</v>
      </c>
      <c r="G67" cm="1">
        <f t="array" ref="G67">TREND(B31:B66, C31:D66, C67:D67, TRUE)</f>
        <v>-1.0116987302943555E-2</v>
      </c>
      <c r="H67">
        <f t="shared" si="0"/>
        <v>6.7142824752771363E-2</v>
      </c>
      <c r="I67" t="str">
        <f t="shared" si="1"/>
        <v/>
      </c>
      <c r="J67" t="str">
        <f t="shared" si="2"/>
        <v/>
      </c>
    </row>
    <row r="68" spans="1:10" x14ac:dyDescent="0.2">
      <c r="A68" s="3">
        <f>Data!A68</f>
        <v>40025</v>
      </c>
      <c r="B68">
        <f>Data!D68 - Factors!AB70</f>
        <v>0.1530684912467517</v>
      </c>
      <c r="C68">
        <f>Factors!G70</f>
        <v>3.2317008652053891E-2</v>
      </c>
      <c r="D68">
        <f>Factors!I70</f>
        <v>2.7961021759713711E-2</v>
      </c>
      <c r="G68" cm="1">
        <f t="array" ref="G68">TREND(B32:B67, C32:D67, C68:D68, TRUE)</f>
        <v>4.1514598542396981E-2</v>
      </c>
      <c r="H68">
        <f t="shared" si="0"/>
        <v>0.11155389270435473</v>
      </c>
      <c r="I68" t="str">
        <f t="shared" si="1"/>
        <v/>
      </c>
      <c r="J68" t="str">
        <f t="shared" si="2"/>
        <v/>
      </c>
    </row>
    <row r="69" spans="1:10" x14ac:dyDescent="0.2">
      <c r="A69" s="3">
        <f>Data!A69</f>
        <v>40056</v>
      </c>
      <c r="B69">
        <f>Data!D69 - Factors!AB71</f>
        <v>4.8729807864894115E-2</v>
      </c>
      <c r="C69">
        <f>Factors!G71</f>
        <v>-5.8266282429838556E-3</v>
      </c>
      <c r="D69">
        <f>Factors!I71</f>
        <v>2.3002813232854136E-2</v>
      </c>
      <c r="G69" cm="1">
        <f t="array" ref="G69">TREND(B33:B68, C33:D68, C69:D69, TRUE)</f>
        <v>1.7788201672350359E-2</v>
      </c>
      <c r="H69">
        <f t="shared" si="0"/>
        <v>3.0941606192543755E-2</v>
      </c>
      <c r="I69" t="str">
        <f t="shared" si="1"/>
        <v/>
      </c>
      <c r="J69" t="str">
        <f t="shared" si="2"/>
        <v/>
      </c>
    </row>
    <row r="70" spans="1:10" x14ac:dyDescent="0.2">
      <c r="A70" s="3">
        <f>Data!A70</f>
        <v>40086</v>
      </c>
      <c r="B70">
        <f>Data!D70 - Factors!AB72</f>
        <v>-7.2711188943754834E-3</v>
      </c>
      <c r="C70">
        <f>Factors!G72</f>
        <v>1.5734480639213455E-2</v>
      </c>
      <c r="D70">
        <f>Factors!I72</f>
        <v>3.7618026010251882E-2</v>
      </c>
      <c r="G70" cm="1">
        <f t="array" ref="G70">TREND(B34:B69, C34:D69, C70:D70, TRUE)</f>
        <v>4.8868870402592655E-2</v>
      </c>
      <c r="H70">
        <f t="shared" ref="H70:H101" si="3">B70 - G70</f>
        <v>-5.6139989296968139E-2</v>
      </c>
      <c r="I70" t="str">
        <f t="shared" ref="I70:I101" si="4">IF(OR(YEAR(A70)=2008, YEAR(A70)=2009), "", H70)</f>
        <v/>
      </c>
      <c r="J70" t="str">
        <f t="shared" ref="J70:J101" si="5">IF(OR(YEAR(A70)=2008, YEAR(A70)=2009), "", B70)</f>
        <v/>
      </c>
    </row>
    <row r="71" spans="1:10" x14ac:dyDescent="0.2">
      <c r="A71" s="3">
        <f>Data!A71</f>
        <v>40116</v>
      </c>
      <c r="B71">
        <f>Data!D71 - Factors!AB73</f>
        <v>3.8768618584750225E-2</v>
      </c>
      <c r="C71">
        <f>Factors!G73</f>
        <v>3.2796414642811023E-2</v>
      </c>
      <c r="D71">
        <f>Factors!I73</f>
        <v>5.3664050280093356E-3</v>
      </c>
      <c r="G71" cm="1">
        <f t="array" ref="G71">TREND(B35:B70, C35:D70, C71:D71, TRUE)</f>
        <v>2.158426270647552E-2</v>
      </c>
      <c r="H71">
        <f t="shared" si="3"/>
        <v>1.7184355878274705E-2</v>
      </c>
      <c r="I71" t="str">
        <f t="shared" si="4"/>
        <v/>
      </c>
      <c r="J71" t="str">
        <f t="shared" si="5"/>
        <v/>
      </c>
    </row>
    <row r="72" spans="1:10" x14ac:dyDescent="0.2">
      <c r="A72" s="3">
        <f>Data!A72</f>
        <v>40147</v>
      </c>
      <c r="B72">
        <f>Data!D72 - Factors!AB74</f>
        <v>4.6442856481567096E-2</v>
      </c>
      <c r="C72">
        <f>Factors!G74</f>
        <v>3.5174306634678132E-2</v>
      </c>
      <c r="D72">
        <f>Factors!I74</f>
        <v>1.2591315316613727E-2</v>
      </c>
      <c r="G72" cm="1">
        <f t="array" ref="G72">TREND(B36:B71, C36:D71, C72:D72, TRUE)</f>
        <v>2.9639493444417651E-2</v>
      </c>
      <c r="H72">
        <f t="shared" si="3"/>
        <v>1.6803363037149445E-2</v>
      </c>
      <c r="I72" t="str">
        <f t="shared" si="4"/>
        <v/>
      </c>
      <c r="J72" t="str">
        <f t="shared" si="5"/>
        <v/>
      </c>
    </row>
    <row r="73" spans="1:10" x14ac:dyDescent="0.2">
      <c r="A73" s="3">
        <f>Data!A73</f>
        <v>40178</v>
      </c>
      <c r="B73">
        <f>Data!D73 - Factors!AB75</f>
        <v>7.5519158638387429E-2</v>
      </c>
      <c r="C73">
        <f>Factors!G75</f>
        <v>1.9789351762254714E-2</v>
      </c>
      <c r="D73">
        <f>Factors!I75</f>
        <v>2.3586033376995275E-2</v>
      </c>
      <c r="G73" cm="1">
        <f t="array" ref="G73">TREND(B37:B72, C37:D72, C73:D73, TRUE)</f>
        <v>3.1323547200259573E-2</v>
      </c>
      <c r="H73">
        <f t="shared" si="3"/>
        <v>4.4195611438127856E-2</v>
      </c>
      <c r="I73" t="str">
        <f t="shared" si="4"/>
        <v/>
      </c>
      <c r="J73" t="str">
        <f t="shared" si="5"/>
        <v/>
      </c>
    </row>
    <row r="74" spans="1:10" x14ac:dyDescent="0.2">
      <c r="A74" s="3">
        <f>Data!A74</f>
        <v>40207</v>
      </c>
      <c r="B74">
        <f>Data!D74 - Factors!AB76</f>
        <v>-8.7663104948491166E-2</v>
      </c>
      <c r="C74">
        <f>Factors!G76</f>
        <v>-7.277921819371258E-2</v>
      </c>
      <c r="D74">
        <f>Factors!I76</f>
        <v>6.9215520360277338E-3</v>
      </c>
      <c r="G74" cm="1">
        <f t="array" ref="G74">TREND(B38:B73, C38:D73, C74:D74, TRUE)</f>
        <v>-4.8284258751177429E-2</v>
      </c>
      <c r="H74">
        <f t="shared" si="3"/>
        <v>-3.9378846197313737E-2</v>
      </c>
      <c r="I74">
        <f t="shared" si="4"/>
        <v>-3.9378846197313737E-2</v>
      </c>
      <c r="J74">
        <f t="shared" si="5"/>
        <v>-8.7663104948491166E-2</v>
      </c>
    </row>
    <row r="75" spans="1:10" x14ac:dyDescent="0.2">
      <c r="A75" s="3">
        <f>Data!A75</f>
        <v>40235</v>
      </c>
      <c r="B75">
        <f>Data!D75 - Factors!AB77</f>
        <v>6.0623913572412258E-2</v>
      </c>
      <c r="C75">
        <f>Factors!G77</f>
        <v>3.7127172014093768E-2</v>
      </c>
      <c r="D75">
        <f>Factors!I77</f>
        <v>8.0574999639675404E-3</v>
      </c>
      <c r="G75" cm="1">
        <f t="array" ref="G75">TREND(B39:B74, C39:D74, C75:D75, TRUE)</f>
        <v>3.2030423720922511E-2</v>
      </c>
      <c r="H75">
        <f t="shared" si="3"/>
        <v>2.8593489851489746E-2</v>
      </c>
      <c r="I75">
        <f t="shared" si="4"/>
        <v>2.8593489851489746E-2</v>
      </c>
      <c r="J75">
        <f t="shared" si="5"/>
        <v>6.0623913572412258E-2</v>
      </c>
    </row>
    <row r="76" spans="1:10" x14ac:dyDescent="0.2">
      <c r="A76" s="3">
        <f>Data!A76</f>
        <v>40268</v>
      </c>
      <c r="B76">
        <f>Data!D76 - Factors!AB78</f>
        <v>9.6553666104314706E-2</v>
      </c>
      <c r="C76">
        <f>Factors!G78</f>
        <v>-1.2423696993752897E-2</v>
      </c>
      <c r="D76">
        <f>Factors!I78</f>
        <v>3.0363647811136874E-2</v>
      </c>
      <c r="G76" cm="1">
        <f t="array" ref="G76">TREND(B40:B75, C40:D75, C76:D76, TRUE)</f>
        <v>1.8046906410139764E-2</v>
      </c>
      <c r="H76">
        <f t="shared" si="3"/>
        <v>7.8506759694174949E-2</v>
      </c>
      <c r="I76">
        <f t="shared" si="4"/>
        <v>7.8506759694174949E-2</v>
      </c>
      <c r="J76">
        <f t="shared" si="5"/>
        <v>9.6553666104314706E-2</v>
      </c>
    </row>
    <row r="77" spans="1:10" x14ac:dyDescent="0.2">
      <c r="A77" s="3">
        <f>Data!A77</f>
        <v>40298</v>
      </c>
      <c r="B77">
        <f>Data!D77 - Factors!AB79</f>
        <v>-3.2332824447677599E-2</v>
      </c>
      <c r="C77">
        <f>Factors!G79</f>
        <v>1.9442689159780979E-2</v>
      </c>
      <c r="D77">
        <f>Factors!I79</f>
        <v>1.7410033373849165E-2</v>
      </c>
      <c r="G77" cm="1">
        <f t="array" ref="G77">TREND(B41:B76, C41:D76, C77:D77, TRUE)</f>
        <v>3.1198008124960215E-2</v>
      </c>
      <c r="H77">
        <f t="shared" si="3"/>
        <v>-6.3530832572637808E-2</v>
      </c>
      <c r="I77">
        <f t="shared" si="4"/>
        <v>-6.3530832572637808E-2</v>
      </c>
      <c r="J77">
        <f t="shared" si="5"/>
        <v>-3.2332824447677599E-2</v>
      </c>
    </row>
    <row r="78" spans="1:10" x14ac:dyDescent="0.2">
      <c r="A78" s="3">
        <f>Data!A78</f>
        <v>40329</v>
      </c>
      <c r="B78">
        <f>Data!D78 - Factors!AB80</f>
        <v>-0.1133317361052506</v>
      </c>
      <c r="C78">
        <f>Factors!G80</f>
        <v>-6.922950608681766E-2</v>
      </c>
      <c r="D78">
        <f>Factors!I80</f>
        <v>-2.6637600426999364E-2</v>
      </c>
      <c r="G78" cm="1">
        <f t="array" ref="G78">TREND(B42:B77, C42:D77, C78:D78, TRUE)</f>
        <v>-8.1320309466444848E-2</v>
      </c>
      <c r="H78">
        <f t="shared" si="3"/>
        <v>-3.2011426638805754E-2</v>
      </c>
      <c r="I78">
        <f t="shared" si="4"/>
        <v>-3.2011426638805754E-2</v>
      </c>
      <c r="J78">
        <f t="shared" si="5"/>
        <v>-0.1133317361052506</v>
      </c>
    </row>
    <row r="79" spans="1:10" x14ac:dyDescent="0.2">
      <c r="A79" s="3">
        <f>Data!A79</f>
        <v>40359</v>
      </c>
      <c r="B79">
        <f>Data!D79 - Factors!AB81</f>
        <v>-5.7068275157028836E-2</v>
      </c>
      <c r="C79">
        <f>Factors!G81</f>
        <v>3.1823571296878406E-3</v>
      </c>
      <c r="D79">
        <f>Factors!I81</f>
        <v>-1.0903008272664438E-2</v>
      </c>
      <c r="G79" cm="1">
        <f t="array" ref="G79">TREND(B43:B78, C43:D78, C79:D79, TRUE)</f>
        <v>-1.4969236236099696E-2</v>
      </c>
      <c r="H79">
        <f t="shared" si="3"/>
        <v>-4.2099038920929144E-2</v>
      </c>
      <c r="I79">
        <f t="shared" si="4"/>
        <v>-4.2099038920929144E-2</v>
      </c>
      <c r="J79">
        <f t="shared" si="5"/>
        <v>-5.7068275157028836E-2</v>
      </c>
    </row>
    <row r="80" spans="1:10" x14ac:dyDescent="0.2">
      <c r="A80" s="3">
        <f>Data!A80</f>
        <v>40389</v>
      </c>
      <c r="B80">
        <f>Data!D80 - Factors!AB82</f>
        <v>0.10650889048461187</v>
      </c>
      <c r="C80">
        <f>Factors!G82</f>
        <v>6.7742386512124275E-2</v>
      </c>
      <c r="D80">
        <f>Factors!I82</f>
        <v>1.9715516593238558E-2</v>
      </c>
      <c r="G80" cm="1">
        <f t="array" ref="G80">TREND(B44:B79, C44:D79, C80:D80, TRUE)</f>
        <v>6.3973093717131932E-2</v>
      </c>
      <c r="H80">
        <f t="shared" si="3"/>
        <v>4.2535796767479941E-2</v>
      </c>
      <c r="I80">
        <f t="shared" si="4"/>
        <v>4.2535796767479941E-2</v>
      </c>
      <c r="J80">
        <f t="shared" si="5"/>
        <v>0.10650889048461187</v>
      </c>
    </row>
    <row r="81" spans="1:10" x14ac:dyDescent="0.2">
      <c r="A81" s="3">
        <f>Data!A81</f>
        <v>40421</v>
      </c>
      <c r="B81">
        <f>Data!D81 - Factors!AB83</f>
        <v>-1.4276597285545534E-2</v>
      </c>
      <c r="C81">
        <f>Factors!G83</f>
        <v>-2.545139973424615E-2</v>
      </c>
      <c r="D81">
        <f>Factors!I83</f>
        <v>-3.8365661018658903E-3</v>
      </c>
      <c r="G81" cm="1">
        <f t="array" ref="G81">TREND(B45:B80, C45:D80, C81:D81, TRUE)</f>
        <v>-2.6073754182087114E-2</v>
      </c>
      <c r="H81">
        <f t="shared" si="3"/>
        <v>1.179715689654158E-2</v>
      </c>
      <c r="I81">
        <f t="shared" si="4"/>
        <v>1.179715689654158E-2</v>
      </c>
      <c r="J81">
        <f t="shared" si="5"/>
        <v>-1.4276597285545534E-2</v>
      </c>
    </row>
    <row r="82" spans="1:10" x14ac:dyDescent="0.2">
      <c r="A82" s="3">
        <f>Data!A82</f>
        <v>40451</v>
      </c>
      <c r="B82">
        <f>Data!D82 - Factors!AB84</f>
        <v>0.10297343206147436</v>
      </c>
      <c r="C82">
        <f>Factors!G84</f>
        <v>7.2603189200629359E-2</v>
      </c>
      <c r="D82">
        <f>Factors!I84</f>
        <v>2.5192367834836249E-2</v>
      </c>
      <c r="G82" cm="1">
        <f t="array" ref="G82">TREND(B46:B81, C46:D81, C82:D82, TRUE)</f>
        <v>7.6335050402528276E-2</v>
      </c>
      <c r="H82">
        <f t="shared" si="3"/>
        <v>2.6638381658946081E-2</v>
      </c>
      <c r="I82">
        <f t="shared" si="4"/>
        <v>2.6638381658946081E-2</v>
      </c>
      <c r="J82">
        <f t="shared" si="5"/>
        <v>0.10297343206147436</v>
      </c>
    </row>
    <row r="83" spans="1:10" x14ac:dyDescent="0.2">
      <c r="A83" s="3">
        <f>Data!A83</f>
        <v>40480</v>
      </c>
      <c r="B83">
        <f>Data!D83 - Factors!AB85</f>
        <v>1.7387410616779508E-2</v>
      </c>
      <c r="C83">
        <f>Factors!G85</f>
        <v>4.9827652471580386E-2</v>
      </c>
      <c r="D83">
        <f>Factors!I85</f>
        <v>1.859392354387257E-2</v>
      </c>
      <c r="G83" cm="1">
        <f t="array" ref="G83">TREND(B47:B82, C47:D82, C83:D83, TRUE)</f>
        <v>5.6748442468753449E-2</v>
      </c>
      <c r="H83">
        <f t="shared" si="3"/>
        <v>-3.936103185197394E-2</v>
      </c>
      <c r="I83">
        <f t="shared" si="4"/>
        <v>-3.936103185197394E-2</v>
      </c>
      <c r="J83">
        <f t="shared" si="5"/>
        <v>1.7387410616779508E-2</v>
      </c>
    </row>
    <row r="84" spans="1:10" x14ac:dyDescent="0.2">
      <c r="A84" s="3">
        <f>Data!A84</f>
        <v>40512</v>
      </c>
      <c r="B84">
        <f>Data!D84 - Factors!AB86</f>
        <v>-1.8761196309583061E-2</v>
      </c>
      <c r="C84">
        <f>Factors!G86</f>
        <v>-3.5402567725623113E-3</v>
      </c>
      <c r="D84">
        <f>Factors!I86</f>
        <v>2.5923122530910891E-3</v>
      </c>
      <c r="G84" cm="1">
        <f t="array" ref="G84">TREND(B48:B83, C48:D83, C84:D84, TRUE)</f>
        <v>6.6875534806224682E-4</v>
      </c>
      <c r="H84">
        <f t="shared" si="3"/>
        <v>-1.9429951657645307E-2</v>
      </c>
      <c r="I84">
        <f t="shared" si="4"/>
        <v>-1.9429951657645307E-2</v>
      </c>
      <c r="J84">
        <f t="shared" si="5"/>
        <v>-1.8761196309583061E-2</v>
      </c>
    </row>
    <row r="85" spans="1:10" x14ac:dyDescent="0.2">
      <c r="A85" s="3">
        <f>Data!A85</f>
        <v>40543</v>
      </c>
      <c r="B85">
        <f>Data!D85 - Factors!AB87</f>
        <v>0.12599619812731566</v>
      </c>
      <c r="C85">
        <f>Factors!G87</f>
        <v>0.10688967689999318</v>
      </c>
      <c r="D85">
        <f>Factors!I87</f>
        <v>2.6746151116100458E-2</v>
      </c>
      <c r="G85" cm="1">
        <f t="array" ref="G85">TREND(B49:B84, C49:D84, C85:D85, TRUE)</f>
        <v>0.10819562550479862</v>
      </c>
      <c r="H85">
        <f t="shared" si="3"/>
        <v>1.7800572622517039E-2</v>
      </c>
      <c r="I85">
        <f t="shared" si="4"/>
        <v>1.7800572622517039E-2</v>
      </c>
      <c r="J85">
        <f t="shared" si="5"/>
        <v>0.12599619812731566</v>
      </c>
    </row>
    <row r="86" spans="1:10" x14ac:dyDescent="0.2">
      <c r="A86" s="3">
        <f>Data!A86</f>
        <v>40574</v>
      </c>
      <c r="B86">
        <f>Data!D86 - Factors!AB88</f>
        <v>1.6815157087997079E-2</v>
      </c>
      <c r="C86">
        <f>Factors!G88</f>
        <v>1.0030111481438952E-2</v>
      </c>
      <c r="D86">
        <f>Factors!I88</f>
        <v>1.6794436714026251E-2</v>
      </c>
      <c r="G86" cm="1">
        <f t="array" ref="G86">TREND(B50:B85, C50:D85, C86:D86, TRUE)</f>
        <v>2.8860758446131177E-2</v>
      </c>
      <c r="H86">
        <f t="shared" si="3"/>
        <v>-1.2045601358134098E-2</v>
      </c>
      <c r="I86">
        <f t="shared" si="4"/>
        <v>-1.2045601358134098E-2</v>
      </c>
      <c r="J86">
        <f t="shared" si="5"/>
        <v>1.6815157087997079E-2</v>
      </c>
    </row>
    <row r="87" spans="1:10" x14ac:dyDescent="0.2">
      <c r="A87" s="3">
        <f>Data!A87</f>
        <v>40602</v>
      </c>
      <c r="B87">
        <f>Data!D87 - Factors!AB89</f>
        <v>2.4283015313352418E-2</v>
      </c>
      <c r="C87">
        <f>Factors!G89</f>
        <v>1.3179079269887595E-2</v>
      </c>
      <c r="D87">
        <f>Factors!I89</f>
        <v>1.3636529942470776E-2</v>
      </c>
      <c r="G87" cm="1">
        <f t="array" ref="G87">TREND(B51:B86, C51:D86, C87:D87, TRUE)</f>
        <v>2.6790460908169226E-2</v>
      </c>
      <c r="H87">
        <f t="shared" si="3"/>
        <v>-2.5074455948168074E-3</v>
      </c>
      <c r="I87">
        <f t="shared" si="4"/>
        <v>-2.5074455948168074E-3</v>
      </c>
      <c r="J87">
        <f t="shared" si="5"/>
        <v>2.4283015313352418E-2</v>
      </c>
    </row>
    <row r="88" spans="1:10" x14ac:dyDescent="0.2">
      <c r="A88" s="3">
        <f>Data!A88</f>
        <v>40633</v>
      </c>
      <c r="B88">
        <f>Data!D88 - Factors!AB90</f>
        <v>-3.811470808844819E-2</v>
      </c>
      <c r="C88">
        <f>Factors!G90</f>
        <v>2.0645485896374272E-2</v>
      </c>
      <c r="D88">
        <f>Factors!I90</f>
        <v>3.5529420588067406E-3</v>
      </c>
      <c r="G88" cm="1">
        <f t="array" ref="G88">TREND(B52:B87, C52:D87, C88:D88, TRUE)</f>
        <v>1.3822352970612923E-2</v>
      </c>
      <c r="H88">
        <f t="shared" si="3"/>
        <v>-5.193706105906111E-2</v>
      </c>
      <c r="I88">
        <f t="shared" si="4"/>
        <v>-5.193706105906111E-2</v>
      </c>
      <c r="J88">
        <f t="shared" si="5"/>
        <v>-3.811470808844819E-2</v>
      </c>
    </row>
    <row r="89" spans="1:10" x14ac:dyDescent="0.2">
      <c r="A89" s="3">
        <f>Data!A89</f>
        <v>40662</v>
      </c>
      <c r="B89">
        <f>Data!D89 - Factors!AB91</f>
        <v>-5.1511250157206812E-3</v>
      </c>
      <c r="C89">
        <f>Factors!G91</f>
        <v>3.4630576375209721E-2</v>
      </c>
      <c r="D89">
        <f>Factors!I91</f>
        <v>1.1940531811792443E-2</v>
      </c>
      <c r="G89" cm="1">
        <f t="array" ref="G89">TREND(B53:B88, C53:D88, C89:D89, TRUE)</f>
        <v>3.2823328667725235E-2</v>
      </c>
      <c r="H89">
        <f t="shared" si="3"/>
        <v>-3.7974453683445916E-2</v>
      </c>
      <c r="I89">
        <f t="shared" si="4"/>
        <v>-3.7974453683445916E-2</v>
      </c>
      <c r="J89">
        <f t="shared" si="5"/>
        <v>-5.1511250157206812E-3</v>
      </c>
    </row>
    <row r="90" spans="1:10" x14ac:dyDescent="0.2">
      <c r="A90" s="3">
        <f>Data!A90</f>
        <v>40694</v>
      </c>
      <c r="B90">
        <f>Data!D90 - Factors!AB92</f>
        <v>-2.7489498190783723E-2</v>
      </c>
      <c r="C90">
        <f>Factors!G92</f>
        <v>-5.0582091672951024E-2</v>
      </c>
      <c r="D90">
        <f>Factors!I92</f>
        <v>-4.6510986692748224E-3</v>
      </c>
      <c r="G90" cm="1">
        <f t="array" ref="G90">TREND(B54:B89, C54:D89, C90:D90, TRUE)</f>
        <v>-4.0982238412782382E-2</v>
      </c>
      <c r="H90">
        <f t="shared" si="3"/>
        <v>1.3492740221998659E-2</v>
      </c>
      <c r="I90">
        <f t="shared" si="4"/>
        <v>1.3492740221998659E-2</v>
      </c>
      <c r="J90">
        <f t="shared" si="5"/>
        <v>-2.7489498190783723E-2</v>
      </c>
    </row>
    <row r="91" spans="1:10" x14ac:dyDescent="0.2">
      <c r="A91" s="3">
        <f>Data!A91</f>
        <v>40724</v>
      </c>
      <c r="B91">
        <f>Data!D91 - Factors!AB93</f>
        <v>-4.4730831946099281E-3</v>
      </c>
      <c r="C91">
        <f>Factors!G93</f>
        <v>-5.0442416282042379E-2</v>
      </c>
      <c r="D91">
        <f>Factors!I93</f>
        <v>-1.0231641019400994E-2</v>
      </c>
      <c r="G91" cm="1">
        <f t="array" ref="G91">TREND(B55:B90, C55:D90, C91:D91, TRUE)</f>
        <v>-4.7327312655217939E-2</v>
      </c>
      <c r="H91">
        <f t="shared" si="3"/>
        <v>4.2854229460608011E-2</v>
      </c>
      <c r="I91">
        <f t="shared" si="4"/>
        <v>4.2854229460608011E-2</v>
      </c>
      <c r="J91">
        <f t="shared" si="5"/>
        <v>-4.4730831946099281E-3</v>
      </c>
    </row>
    <row r="92" spans="1:10" x14ac:dyDescent="0.2">
      <c r="A92" s="3">
        <f>Data!A92</f>
        <v>40753</v>
      </c>
      <c r="B92">
        <f>Data!D92 - Factors!AB94</f>
        <v>4.5354584986781687E-2</v>
      </c>
      <c r="C92">
        <f>Factors!G94</f>
        <v>2.9617689324444418E-2</v>
      </c>
      <c r="D92">
        <f>Factors!I94</f>
        <v>-1.9253108511602113E-3</v>
      </c>
      <c r="G92" cm="1">
        <f t="array" ref="G92">TREND(B56:B91, C56:D91, C92:D92, TRUE)</f>
        <v>8.2470151253639431E-3</v>
      </c>
      <c r="H92">
        <f t="shared" si="3"/>
        <v>3.7107569861417743E-2</v>
      </c>
      <c r="I92">
        <f t="shared" si="4"/>
        <v>3.7107569861417743E-2</v>
      </c>
      <c r="J92">
        <f t="shared" si="5"/>
        <v>4.5354584986781687E-2</v>
      </c>
    </row>
    <row r="93" spans="1:10" x14ac:dyDescent="0.2">
      <c r="A93" s="3">
        <f>Data!A93</f>
        <v>40786</v>
      </c>
      <c r="B93">
        <f>Data!D93 - Factors!AB95</f>
        <v>-7.4941779281208265E-2</v>
      </c>
      <c r="C93">
        <f>Factors!G95</f>
        <v>9.9858719603633794E-3</v>
      </c>
      <c r="D93">
        <f>Factors!I95</f>
        <v>-3.7205475368279117E-2</v>
      </c>
      <c r="G93" cm="1">
        <f t="array" ref="G93">TREND(B57:B92, C57:D92, C93:D93, TRUE)</f>
        <v>-5.5465968781193045E-2</v>
      </c>
      <c r="H93">
        <f t="shared" si="3"/>
        <v>-1.947581050001522E-2</v>
      </c>
      <c r="I93">
        <f t="shared" si="4"/>
        <v>-1.947581050001522E-2</v>
      </c>
      <c r="J93">
        <f t="shared" si="5"/>
        <v>-7.4941779281208265E-2</v>
      </c>
    </row>
    <row r="94" spans="1:10" x14ac:dyDescent="0.2">
      <c r="A94" s="3">
        <f>Data!A94</f>
        <v>40816</v>
      </c>
      <c r="B94">
        <f>Data!D94 - Factors!AB96</f>
        <v>-0.20058644038488704</v>
      </c>
      <c r="C94">
        <f>Factors!G96</f>
        <v>-0.14734994208325436</v>
      </c>
      <c r="D94">
        <f>Factors!I96</f>
        <v>-3.9415250609949881E-2</v>
      </c>
      <c r="G94" cm="1">
        <f t="array" ref="G94">TREND(B58:B93, C58:D93, C94:D94, TRUE)</f>
        <v>-0.14803439328181456</v>
      </c>
      <c r="H94">
        <f t="shared" si="3"/>
        <v>-5.2552047103072486E-2</v>
      </c>
      <c r="I94">
        <f t="shared" si="4"/>
        <v>-5.2552047103072486E-2</v>
      </c>
      <c r="J94">
        <f t="shared" si="5"/>
        <v>-0.20058644038488704</v>
      </c>
    </row>
    <row r="95" spans="1:10" x14ac:dyDescent="0.2">
      <c r="A95" s="3">
        <f>Data!A95</f>
        <v>40847</v>
      </c>
      <c r="B95">
        <f>Data!D95 - Factors!AB97</f>
        <v>9.3165490211945201E-2</v>
      </c>
      <c r="C95">
        <f>Factors!G97</f>
        <v>6.6183529972758892E-2</v>
      </c>
      <c r="D95">
        <f>Factors!I97</f>
        <v>3.0256829242732541E-2</v>
      </c>
      <c r="G95" cm="1">
        <f t="array" ref="G95">TREND(B59:B94, C59:D94, C95:D95, TRUE)</f>
        <v>8.8444171924731321E-2</v>
      </c>
      <c r="H95">
        <f t="shared" si="3"/>
        <v>4.7213182872138798E-3</v>
      </c>
      <c r="I95">
        <f t="shared" si="4"/>
        <v>4.7213182872138798E-3</v>
      </c>
      <c r="J95">
        <f t="shared" si="5"/>
        <v>9.3165490211945201E-2</v>
      </c>
    </row>
    <row r="96" spans="1:10" x14ac:dyDescent="0.2">
      <c r="A96" s="3">
        <f>Data!A96</f>
        <v>40877</v>
      </c>
      <c r="B96">
        <f>Data!D96 - Factors!AB98</f>
        <v>-3.0156198018320812E-2</v>
      </c>
      <c r="C96">
        <f>Factors!G98</f>
        <v>-2.2190194824339926E-2</v>
      </c>
      <c r="D96">
        <f>Factors!I98</f>
        <v>-1.1847623913450844E-2</v>
      </c>
      <c r="G96" cm="1">
        <f t="array" ref="G96">TREND(B60:B95, C60:D95, C96:D96, TRUE)</f>
        <v>-3.9989478909133305E-2</v>
      </c>
      <c r="H96">
        <f t="shared" si="3"/>
        <v>9.833280890812493E-3</v>
      </c>
      <c r="I96">
        <f t="shared" si="4"/>
        <v>9.833280890812493E-3</v>
      </c>
      <c r="J96">
        <f t="shared" si="5"/>
        <v>-3.0156198018320812E-2</v>
      </c>
    </row>
    <row r="97" spans="1:10" x14ac:dyDescent="0.2">
      <c r="A97" s="3">
        <f>Data!A97</f>
        <v>40907</v>
      </c>
      <c r="B97">
        <f>Data!D97 - Factors!AB99</f>
        <v>-4.251515088373814E-2</v>
      </c>
      <c r="C97">
        <f>Factors!G99</f>
        <v>-3.7479116915664301E-2</v>
      </c>
      <c r="D97">
        <f>Factors!I99</f>
        <v>-2.1027664599208018E-3</v>
      </c>
      <c r="G97" cm="1">
        <f t="array" ref="G97">TREND(B61:B96, C61:D96, C97:D97, TRUE)</f>
        <v>-3.088192621140462E-2</v>
      </c>
      <c r="H97">
        <f t="shared" si="3"/>
        <v>-1.163322467233352E-2</v>
      </c>
      <c r="I97">
        <f t="shared" si="4"/>
        <v>-1.163322467233352E-2</v>
      </c>
      <c r="J97">
        <f t="shared" si="5"/>
        <v>-4.251515088373814E-2</v>
      </c>
    </row>
    <row r="98" spans="1:10" x14ac:dyDescent="0.2">
      <c r="A98" s="3">
        <f>Data!A98</f>
        <v>40939</v>
      </c>
      <c r="B98">
        <f>Data!D98 - Factors!AB100</f>
        <v>0.10917466712485657</v>
      </c>
      <c r="C98">
        <f>Factors!G100</f>
        <v>2.4728675455360172E-2</v>
      </c>
      <c r="D98">
        <f>Factors!I100</f>
        <v>2.5348004996498696E-2</v>
      </c>
      <c r="G98" cm="1">
        <f t="array" ref="G98">TREND(B62:B97, C62:D97, C98:D98, TRUE)</f>
        <v>5.6344602959219788E-2</v>
      </c>
      <c r="H98">
        <f t="shared" si="3"/>
        <v>5.2830064165636785E-2</v>
      </c>
      <c r="I98">
        <f t="shared" si="4"/>
        <v>5.2830064165636785E-2</v>
      </c>
      <c r="J98">
        <f t="shared" si="5"/>
        <v>0.10917466712485657</v>
      </c>
    </row>
    <row r="99" spans="1:10" x14ac:dyDescent="0.2">
      <c r="A99" s="3">
        <f>Data!A99</f>
        <v>40968</v>
      </c>
      <c r="B99">
        <f>Data!D99 - Factors!AB101</f>
        <v>7.8517511604270229E-3</v>
      </c>
      <c r="C99">
        <f>Factors!G101</f>
        <v>2.6986806266247276E-2</v>
      </c>
      <c r="D99">
        <f>Factors!I101</f>
        <v>1.8638052639932789E-2</v>
      </c>
      <c r="G99" cm="1">
        <f t="array" ref="G99">TREND(B63:B98, C63:D98, C99:D99, TRUE)</f>
        <v>4.820413609530004E-2</v>
      </c>
      <c r="H99">
        <f t="shared" si="3"/>
        <v>-4.0352384934873017E-2</v>
      </c>
      <c r="I99">
        <f t="shared" si="4"/>
        <v>-4.0352384934873017E-2</v>
      </c>
      <c r="J99">
        <f t="shared" si="5"/>
        <v>7.8517511604270229E-3</v>
      </c>
    </row>
    <row r="100" spans="1:10" x14ac:dyDescent="0.2">
      <c r="A100" s="3">
        <f>Data!A100</f>
        <v>40998</v>
      </c>
      <c r="B100">
        <f>Data!D100 - Factors!AB102</f>
        <v>-5.3980776476741155E-2</v>
      </c>
      <c r="C100">
        <f>Factors!G102</f>
        <v>-4.1365310590923743E-2</v>
      </c>
      <c r="D100">
        <f>Factors!I102</f>
        <v>3.9488332868424791E-3</v>
      </c>
      <c r="G100" cm="1">
        <f t="array" ref="G100">TREND(B64:B99, C64:D99, C100:D100, TRUE)</f>
        <v>-2.0449973398839576E-2</v>
      </c>
      <c r="H100">
        <f t="shared" si="3"/>
        <v>-3.3530803077901579E-2</v>
      </c>
      <c r="I100">
        <f t="shared" si="4"/>
        <v>-3.3530803077901579E-2</v>
      </c>
      <c r="J100">
        <f t="shared" si="5"/>
        <v>-5.3980776476741155E-2</v>
      </c>
    </row>
    <row r="101" spans="1:10" x14ac:dyDescent="0.2">
      <c r="A101" s="3">
        <f>Data!A101</f>
        <v>41029</v>
      </c>
      <c r="B101">
        <f>Data!D101 - Factors!AB103</f>
        <v>3.0428235311004137E-3</v>
      </c>
      <c r="C101">
        <f>Factors!G103</f>
        <v>-4.2323117162766932E-3</v>
      </c>
      <c r="D101">
        <f>Factors!I103</f>
        <v>-3.3190076789352263E-3</v>
      </c>
      <c r="G101" cm="1">
        <f t="array" ref="G101">TREND(B65:B100, C65:D100, C101:D101, TRUE)</f>
        <v>-1.7394820683460092E-2</v>
      </c>
      <c r="H101">
        <f t="shared" si="3"/>
        <v>2.0437644214560506E-2</v>
      </c>
      <c r="I101">
        <f t="shared" si="4"/>
        <v>2.0437644214560506E-2</v>
      </c>
      <c r="J101">
        <f t="shared" si="5"/>
        <v>3.0428235311004137E-3</v>
      </c>
    </row>
    <row r="102" spans="1:10" x14ac:dyDescent="0.2">
      <c r="A102" s="3">
        <f>Data!A102</f>
        <v>41060</v>
      </c>
      <c r="B102">
        <f>Data!D102 - Factors!AB104</f>
        <v>-9.6578583780657645E-2</v>
      </c>
      <c r="C102">
        <f>Factors!G104</f>
        <v>-9.1319863255492129E-2</v>
      </c>
      <c r="D102">
        <f>Factors!I104</f>
        <v>-2.3300716813589251E-2</v>
      </c>
      <c r="G102" cm="1">
        <f t="array" ref="G102">TREND(B66:B101, C66:D101, C102:D102, TRUE)</f>
        <v>-0.10385161756003919</v>
      </c>
      <c r="H102">
        <f t="shared" ref="H102:H121" si="6">B102 - G102</f>
        <v>7.2730337793815436E-3</v>
      </c>
      <c r="I102">
        <f t="shared" ref="I102:I121" si="7">IF(OR(YEAR(A102)=2008, YEAR(A102)=2009), "", H102)</f>
        <v>7.2730337793815436E-3</v>
      </c>
      <c r="J102">
        <f t="shared" ref="J102:J121" si="8">IF(OR(YEAR(A102)=2008, YEAR(A102)=2009), "", B102)</f>
        <v>-9.6578583780657645E-2</v>
      </c>
    </row>
    <row r="103" spans="1:10" x14ac:dyDescent="0.2">
      <c r="A103" s="3">
        <f>Data!A103</f>
        <v>41089</v>
      </c>
      <c r="B103">
        <f>Data!D103 - Factors!AB105</f>
        <v>3.7842422191132208E-3</v>
      </c>
      <c r="C103">
        <f>Factors!G105</f>
        <v>5.4929753128882819E-2</v>
      </c>
      <c r="D103">
        <f>Factors!I105</f>
        <v>1.7875513651273156E-3</v>
      </c>
      <c r="G103" cm="1">
        <f t="array" ref="G103">TREND(B67:B102, C67:D102, C103:D103, TRUE)</f>
        <v>3.5509172485854737E-2</v>
      </c>
      <c r="H103">
        <f t="shared" si="6"/>
        <v>-3.1724930266741516E-2</v>
      </c>
      <c r="I103">
        <f t="shared" si="7"/>
        <v>-3.1724930266741516E-2</v>
      </c>
      <c r="J103">
        <f t="shared" si="8"/>
        <v>3.7842422191132208E-3</v>
      </c>
    </row>
    <row r="104" spans="1:10" x14ac:dyDescent="0.2">
      <c r="A104" s="3">
        <f>Data!A104</f>
        <v>41121</v>
      </c>
      <c r="B104">
        <f>Data!D104 - Factors!AB106</f>
        <v>-2.4815047729092043E-2</v>
      </c>
      <c r="C104">
        <f>Factors!G106</f>
        <v>6.46861266860701E-2</v>
      </c>
      <c r="D104">
        <f>Factors!I106</f>
        <v>4.6644080283071432E-3</v>
      </c>
      <c r="G104" cm="1">
        <f t="array" ref="G104">TREND(B68:B103, C68:D103, C104:D104, TRUE)</f>
        <v>4.5596307660071819E-2</v>
      </c>
      <c r="H104">
        <f t="shared" si="6"/>
        <v>-7.0411355389163863E-2</v>
      </c>
      <c r="I104">
        <f t="shared" si="7"/>
        <v>-7.0411355389163863E-2</v>
      </c>
      <c r="J104">
        <f t="shared" si="8"/>
        <v>-2.4815047729092043E-2</v>
      </c>
    </row>
    <row r="105" spans="1:10" x14ac:dyDescent="0.2">
      <c r="A105" s="3">
        <f>Data!A105</f>
        <v>41152</v>
      </c>
      <c r="B105">
        <f>Data!D105 - Factors!AB107</f>
        <v>2.7611325480874083E-3</v>
      </c>
      <c r="C105">
        <f>Factors!G107</f>
        <v>1.2983559928048782E-2</v>
      </c>
      <c r="D105">
        <f>Factors!I107</f>
        <v>1.1362965210602205E-2</v>
      </c>
      <c r="G105" cm="1">
        <f t="array" ref="G105">TREND(B69:B104, C69:D104, C105:D105, TRUE)</f>
        <v>1.7855608539471379E-2</v>
      </c>
      <c r="H105">
        <f t="shared" si="6"/>
        <v>-1.5094475991383971E-2</v>
      </c>
      <c r="I105">
        <f t="shared" si="7"/>
        <v>-1.5094475991383971E-2</v>
      </c>
      <c r="J105">
        <f t="shared" si="8"/>
        <v>2.7611325480874083E-3</v>
      </c>
    </row>
    <row r="106" spans="1:10" x14ac:dyDescent="0.2">
      <c r="A106" s="3">
        <f>Data!A106</f>
        <v>41180</v>
      </c>
      <c r="B106">
        <f>Data!D106 - Factors!AB108</f>
        <v>0.11014705810817071</v>
      </c>
      <c r="C106">
        <f>Factors!G108</f>
        <v>1.705559998270556E-2</v>
      </c>
      <c r="D106">
        <f>Factors!I108</f>
        <v>1.275294932876947E-2</v>
      </c>
      <c r="G106" cm="1">
        <f t="array" ref="G106">TREND(B70:B105, C70:D105, C106:D106, TRUE)</f>
        <v>2.1729397714666959E-2</v>
      </c>
      <c r="H106">
        <f t="shared" si="6"/>
        <v>8.8417660393503753E-2</v>
      </c>
      <c r="I106">
        <f t="shared" si="7"/>
        <v>8.8417660393503753E-2</v>
      </c>
      <c r="J106">
        <f t="shared" si="8"/>
        <v>0.11014705810817071</v>
      </c>
    </row>
    <row r="107" spans="1:10" x14ac:dyDescent="0.2">
      <c r="A107" s="3">
        <f>Data!A107</f>
        <v>41213</v>
      </c>
      <c r="B107">
        <f>Data!D107 - Factors!AB109</f>
        <v>-9.2796302919460949E-2</v>
      </c>
      <c r="C107">
        <f>Factors!G109</f>
        <v>-3.8728806637808533E-2</v>
      </c>
      <c r="D107">
        <f>Factors!I109</f>
        <v>4.3365114767168755E-3</v>
      </c>
      <c r="G107" cm="1">
        <f t="array" ref="G107">TREND(B71:B106, C71:D106, C107:D107, TRUE)</f>
        <v>-2.124714761398571E-2</v>
      </c>
      <c r="H107">
        <f t="shared" si="6"/>
        <v>-7.1549155305475232E-2</v>
      </c>
      <c r="I107">
        <f t="shared" si="7"/>
        <v>-7.1549155305475232E-2</v>
      </c>
      <c r="J107">
        <f t="shared" si="8"/>
        <v>-9.2796302919460949E-2</v>
      </c>
    </row>
    <row r="108" spans="1:10" x14ac:dyDescent="0.2">
      <c r="A108" s="3">
        <f>Data!A108</f>
        <v>41243</v>
      </c>
      <c r="B108">
        <f>Data!D108 - Factors!AB110</f>
        <v>6.982098157202965E-2</v>
      </c>
      <c r="C108">
        <f>Factors!G110</f>
        <v>5.1605444687807811E-4</v>
      </c>
      <c r="D108">
        <f>Factors!I110</f>
        <v>1.0234473797340327E-2</v>
      </c>
      <c r="G108" cm="1">
        <f t="array" ref="G108">TREND(B72:B107, C72:D107, C108:D108, TRUE)</f>
        <v>1.0807671029791605E-2</v>
      </c>
      <c r="H108">
        <f t="shared" si="6"/>
        <v>5.9013310542238046E-2</v>
      </c>
      <c r="I108">
        <f t="shared" si="7"/>
        <v>5.9013310542238046E-2</v>
      </c>
      <c r="J108">
        <f t="shared" si="8"/>
        <v>6.982098157202965E-2</v>
      </c>
    </row>
    <row r="109" spans="1:10" x14ac:dyDescent="0.2">
      <c r="A109" s="3">
        <f>Data!A109</f>
        <v>41274</v>
      </c>
      <c r="B109">
        <f>Data!D109 - Factors!AB111</f>
        <v>-7.4757966172670498E-3</v>
      </c>
      <c r="C109">
        <f>Factors!G111</f>
        <v>-2.6071322172074196E-2</v>
      </c>
      <c r="D109">
        <f>Factors!I111</f>
        <v>1.9871607881609243E-2</v>
      </c>
      <c r="G109" cm="1">
        <f t="array" ref="G109">TREND(B73:B108, C73:D108, C109:D109, TRUE)</f>
        <v>1.873563345168449E-2</v>
      </c>
      <c r="H109">
        <f t="shared" si="6"/>
        <v>-2.621143006895154E-2</v>
      </c>
      <c r="I109">
        <f t="shared" si="7"/>
        <v>-2.621143006895154E-2</v>
      </c>
      <c r="J109">
        <f t="shared" si="8"/>
        <v>-7.4757966172670498E-3</v>
      </c>
    </row>
    <row r="110" spans="1:10" x14ac:dyDescent="0.2">
      <c r="A110" s="3">
        <f>Data!A110</f>
        <v>41305</v>
      </c>
      <c r="B110">
        <f>Data!D110 - Factors!AB112</f>
        <v>2.286054249587588E-2</v>
      </c>
      <c r="C110">
        <f>Factors!G112</f>
        <v>2.3972595396878571E-2</v>
      </c>
      <c r="D110">
        <f>Factors!I112</f>
        <v>2.2881695580633243E-2</v>
      </c>
      <c r="G110" cm="1">
        <f t="array" ref="G110">TREND(B74:B109, C74:D109, C110:D110, TRUE)</f>
        <v>5.1545595567131508E-2</v>
      </c>
      <c r="H110">
        <f t="shared" si="6"/>
        <v>-2.8685053071255628E-2</v>
      </c>
      <c r="I110">
        <f t="shared" si="7"/>
        <v>-2.8685053071255628E-2</v>
      </c>
      <c r="J110">
        <f t="shared" si="8"/>
        <v>2.286054249587588E-2</v>
      </c>
    </row>
    <row r="111" spans="1:10" x14ac:dyDescent="0.2">
      <c r="A111" s="3">
        <f>Data!A111</f>
        <v>41333</v>
      </c>
      <c r="B111">
        <f>Data!D111 - Factors!AB113</f>
        <v>-5.6316899264906461E-2</v>
      </c>
      <c r="C111">
        <f>Factors!G113</f>
        <v>-4.0867983552996701E-2</v>
      </c>
      <c r="D111">
        <f>Factors!I113</f>
        <v>3.6419568818162329E-3</v>
      </c>
      <c r="G111" cm="1">
        <f t="array" ref="G111">TREND(B75:B110, C75:D110, C111:D111, TRUE)</f>
        <v>-2.5705162020458458E-2</v>
      </c>
      <c r="H111">
        <f t="shared" si="6"/>
        <v>-3.0611737244448003E-2</v>
      </c>
      <c r="I111">
        <f t="shared" si="7"/>
        <v>-3.0611737244448003E-2</v>
      </c>
      <c r="J111">
        <f t="shared" si="8"/>
        <v>-5.6316899264906461E-2</v>
      </c>
    </row>
    <row r="112" spans="1:10" x14ac:dyDescent="0.2">
      <c r="A112" s="3">
        <f>Data!A112</f>
        <v>41362</v>
      </c>
      <c r="B112">
        <f>Data!D112 - Factors!AB114</f>
        <v>-4.5410230004328311E-2</v>
      </c>
      <c r="C112">
        <f>Factors!G114</f>
        <v>6.7382468187171529E-3</v>
      </c>
      <c r="D112">
        <f>Factors!I114</f>
        <v>1.0048194037672209E-2</v>
      </c>
      <c r="G112" cm="1">
        <f t="array" ref="G112">TREND(B76:B111, C76:D111, C112:D112, TRUE)</f>
        <v>1.2764529916061555E-2</v>
      </c>
      <c r="H112">
        <f t="shared" si="6"/>
        <v>-5.8174759920389868E-2</v>
      </c>
      <c r="I112">
        <f t="shared" si="7"/>
        <v>-5.8174759920389868E-2</v>
      </c>
      <c r="J112">
        <f t="shared" si="8"/>
        <v>-4.5410230004328311E-2</v>
      </c>
    </row>
    <row r="113" spans="1:10" x14ac:dyDescent="0.2">
      <c r="A113" s="3">
        <f>Data!A113</f>
        <v>41394</v>
      </c>
      <c r="B113">
        <f>Data!D113 - Factors!AB115</f>
        <v>-5.0701655971789328E-2</v>
      </c>
      <c r="C113">
        <f>Factors!G115</f>
        <v>-2.7909977375074835E-2</v>
      </c>
      <c r="D113">
        <f>Factors!I115</f>
        <v>9.918874697845137E-3</v>
      </c>
      <c r="G113" cm="1">
        <f t="array" ref="G113">TREND(B77:B112, C77:D112, C113:D113, TRUE)</f>
        <v>-1.4442045192166098E-2</v>
      </c>
      <c r="H113">
        <f t="shared" si="6"/>
        <v>-3.6259610779623232E-2</v>
      </c>
      <c r="I113">
        <f t="shared" si="7"/>
        <v>-3.6259610779623232E-2</v>
      </c>
      <c r="J113">
        <f t="shared" si="8"/>
        <v>-5.0701655971789328E-2</v>
      </c>
    </row>
    <row r="114" spans="1:10" x14ac:dyDescent="0.2">
      <c r="A114" s="3">
        <f>Data!A114</f>
        <v>41425</v>
      </c>
      <c r="B114">
        <f>Data!D114 - Factors!AB116</f>
        <v>1.6030636735775206E-2</v>
      </c>
      <c r="C114">
        <f>Factors!G116</f>
        <v>-2.2427933583602622E-2</v>
      </c>
      <c r="D114">
        <f>Factors!I116</f>
        <v>1.8402379258026569E-2</v>
      </c>
      <c r="G114" cm="1">
        <f t="array" ref="G114">TREND(B78:B113, C78:D113, C114:D114, TRUE)</f>
        <v>5.1868927396568724E-3</v>
      </c>
      <c r="H114">
        <f t="shared" si="6"/>
        <v>1.0843743996118333E-2</v>
      </c>
      <c r="I114">
        <f t="shared" si="7"/>
        <v>1.0843743996118333E-2</v>
      </c>
      <c r="J114">
        <f t="shared" si="8"/>
        <v>1.6030636735775206E-2</v>
      </c>
    </row>
    <row r="115" spans="1:10" x14ac:dyDescent="0.2">
      <c r="A115" s="3">
        <f>Data!A115</f>
        <v>41453</v>
      </c>
      <c r="B115">
        <f>Data!D115 - Factors!AB117</f>
        <v>-7.10578635133301E-2</v>
      </c>
      <c r="C115">
        <f>Factors!G117</f>
        <v>-4.7145757410487987E-2</v>
      </c>
      <c r="D115">
        <f>Factors!I117</f>
        <v>-1.0328273971258128E-2</v>
      </c>
      <c r="G115" cm="1">
        <f t="array" ref="G115">TREND(B79:B114, C79:D114, C115:D115, TRUE)</f>
        <v>-6.4006886380150133E-2</v>
      </c>
      <c r="H115">
        <f t="shared" si="6"/>
        <v>-7.050977133179967E-3</v>
      </c>
      <c r="I115">
        <f t="shared" si="7"/>
        <v>-7.050977133179967E-3</v>
      </c>
      <c r="J115">
        <f t="shared" si="8"/>
        <v>-7.10578635133301E-2</v>
      </c>
    </row>
    <row r="116" spans="1:10" x14ac:dyDescent="0.2">
      <c r="A116" s="3">
        <f>Data!A116</f>
        <v>41486</v>
      </c>
      <c r="B116">
        <f>Data!D116 - Factors!AB118</f>
        <v>9.1936816408033639E-3</v>
      </c>
      <c r="C116">
        <f>Factors!G118</f>
        <v>1.3624427376102366E-2</v>
      </c>
      <c r="D116">
        <f>Factors!I118</f>
        <v>1.3919979417109651E-2</v>
      </c>
      <c r="G116" cm="1">
        <f t="array" ref="G116">TREND(B80:B115, C80:D115, C116:D116, TRUE)</f>
        <v>2.1522101473449962E-2</v>
      </c>
      <c r="H116">
        <f t="shared" si="6"/>
        <v>-1.2328419832646598E-2</v>
      </c>
      <c r="I116">
        <f t="shared" si="7"/>
        <v>-1.2328419832646598E-2</v>
      </c>
      <c r="J116">
        <f t="shared" si="8"/>
        <v>9.1936816408033639E-3</v>
      </c>
    </row>
    <row r="117" spans="1:10" x14ac:dyDescent="0.2">
      <c r="A117" s="3">
        <f>Data!A117</f>
        <v>41516</v>
      </c>
      <c r="B117">
        <f>Data!D117 - Factors!AB119</f>
        <v>1.7324692661104146E-2</v>
      </c>
      <c r="C117">
        <f>Factors!G119</f>
        <v>3.4023013309380845E-2</v>
      </c>
      <c r="D117">
        <f>Factors!I119</f>
        <v>-2.3983542157581805E-3</v>
      </c>
      <c r="G117" cm="1">
        <f t="array" ref="G117">TREND(B81:B116, C81:D116, C117:D117, TRUE)</f>
        <v>3.4301737263685919E-3</v>
      </c>
      <c r="H117">
        <f t="shared" si="6"/>
        <v>1.3894518934735554E-2</v>
      </c>
      <c r="I117">
        <f t="shared" si="7"/>
        <v>1.3894518934735554E-2</v>
      </c>
      <c r="J117">
        <f t="shared" si="8"/>
        <v>1.7324692661104146E-2</v>
      </c>
    </row>
    <row r="118" spans="1:10" x14ac:dyDescent="0.2">
      <c r="A118" s="3">
        <f>Data!A118</f>
        <v>41547</v>
      </c>
      <c r="B118">
        <f>Data!D118 - Factors!AB120</f>
        <v>1.5724227676923608E-2</v>
      </c>
      <c r="C118">
        <f>Factors!G120</f>
        <v>-2.5541835752324493E-2</v>
      </c>
      <c r="D118">
        <f>Factors!I120</f>
        <v>1.5428710928314215E-2</v>
      </c>
      <c r="G118" cm="1">
        <f t="array" ref="G118">TREND(B82:B117, C82:D117, C118:D118, TRUE)</f>
        <v>-3.8998090399884368E-3</v>
      </c>
      <c r="H118">
        <f t="shared" si="6"/>
        <v>1.9624036716912045E-2</v>
      </c>
      <c r="I118">
        <f t="shared" si="7"/>
        <v>1.9624036716912045E-2</v>
      </c>
      <c r="J118">
        <f t="shared" si="8"/>
        <v>1.5724227676923608E-2</v>
      </c>
    </row>
    <row r="119" spans="1:10" x14ac:dyDescent="0.2">
      <c r="A119" s="3">
        <f>Data!A119</f>
        <v>41578</v>
      </c>
      <c r="B119">
        <f>Data!D119 - Factors!AB121</f>
        <v>4.1885267856307529E-3</v>
      </c>
      <c r="C119">
        <f>Factors!G121</f>
        <v>-1.4766192828094882E-2</v>
      </c>
      <c r="D119">
        <f>Factors!I121</f>
        <v>1.5061970063147134E-2</v>
      </c>
      <c r="G119" cm="1">
        <f t="array" ref="G119">TREND(B83:B118, C83:D118, C119:D119, TRUE)</f>
        <v>3.2877034553597355E-3</v>
      </c>
      <c r="H119">
        <f t="shared" si="6"/>
        <v>9.0082333027101738E-4</v>
      </c>
      <c r="I119">
        <f t="shared" si="7"/>
        <v>9.0082333027101738E-4</v>
      </c>
      <c r="J119">
        <f t="shared" si="8"/>
        <v>4.1885267856307529E-3</v>
      </c>
    </row>
    <row r="120" spans="1:10" x14ac:dyDescent="0.2">
      <c r="A120" s="3">
        <f>Data!A120</f>
        <v>41607</v>
      </c>
      <c r="B120">
        <f>Data!D120 - Factors!AB122</f>
        <v>-4.8009687129550782E-2</v>
      </c>
      <c r="C120">
        <f>Factors!G122</f>
        <v>-8.0034620715150329E-3</v>
      </c>
      <c r="D120">
        <f>Factors!I122</f>
        <v>1.037102495281883E-2</v>
      </c>
      <c r="G120" cm="1">
        <f t="array" ref="G120">TREND(B84:B119, C84:D119, C120:D120, TRUE)</f>
        <v>-2.2082981570558866E-5</v>
      </c>
      <c r="H120">
        <f t="shared" si="6"/>
        <v>-4.7987604147980222E-2</v>
      </c>
      <c r="I120">
        <f t="shared" si="7"/>
        <v>-4.7987604147980222E-2</v>
      </c>
      <c r="J120">
        <f t="shared" si="8"/>
        <v>-4.8009687129550782E-2</v>
      </c>
    </row>
    <row r="121" spans="1:10" x14ac:dyDescent="0.2">
      <c r="A121" s="3">
        <f>Data!A121</f>
        <v>41639</v>
      </c>
      <c r="B121">
        <f>Data!D121 - Factors!AB123</f>
        <v>4.8886453779031225E-2</v>
      </c>
      <c r="C121">
        <f>Factors!G123</f>
        <v>1.2398949640063384E-2</v>
      </c>
      <c r="D121">
        <f>Factors!I123</f>
        <v>1.1934679026654127E-2</v>
      </c>
      <c r="G121" cm="1">
        <f t="array" ref="G121">TREND(B85:B120, C85:D120, C121:D121, TRUE)</f>
        <v>1.4733294288176988E-2</v>
      </c>
      <c r="H121">
        <f t="shared" si="6"/>
        <v>3.4153159490854235E-2</v>
      </c>
      <c r="I121">
        <f t="shared" si="7"/>
        <v>3.4153159490854235E-2</v>
      </c>
      <c r="J121">
        <f t="shared" si="8"/>
        <v>4.8886453779031225E-2</v>
      </c>
    </row>
    <row r="122" spans="1:10" x14ac:dyDescent="0.2">
      <c r="A122" s="3"/>
    </row>
    <row r="123" spans="1:10" x14ac:dyDescent="0.2">
      <c r="A123" s="3"/>
    </row>
    <row r="124" spans="1:10" x14ac:dyDescent="0.2">
      <c r="A124" s="3"/>
    </row>
  </sheetData>
  <mergeCells count="1">
    <mergeCell ref="G37:J37"/>
  </mergeCells>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8F697-E868-41B4-B513-266548C10055}">
  <sheetPr>
    <tabColor theme="9" tint="0.59999389629810485"/>
  </sheetPr>
  <dimension ref="A1:Q124"/>
  <sheetViews>
    <sheetView workbookViewId="0">
      <selection activeCell="B1" sqref="B1:B1048576"/>
    </sheetView>
  </sheetViews>
  <sheetFormatPr baseColWidth="10" defaultColWidth="8.83203125" defaultRowHeight="15" x14ac:dyDescent="0.2"/>
  <cols>
    <col min="1" max="1" width="9.33203125" bestFit="1" customWidth="1"/>
    <col min="2" max="2" width="12.6640625" bestFit="1" customWidth="1"/>
    <col min="3" max="3" width="12.83203125" bestFit="1" customWidth="1"/>
    <col min="4" max="4" width="14.1640625" bestFit="1" customWidth="1"/>
    <col min="5" max="5" width="27.5" bestFit="1" customWidth="1"/>
    <col min="6" max="6" width="14.1640625" customWidth="1"/>
    <col min="7" max="8" width="12.6640625" customWidth="1"/>
    <col min="9" max="9" width="27.5" bestFit="1" customWidth="1"/>
    <col min="10" max="10" width="12.6640625" customWidth="1"/>
    <col min="11" max="11" width="13.5" bestFit="1" customWidth="1"/>
    <col min="12" max="12" width="15.1640625" bestFit="1" customWidth="1"/>
    <col min="13" max="13" width="12.6640625" customWidth="1"/>
    <col min="14" max="14" width="20.5" bestFit="1" customWidth="1"/>
    <col min="15" max="15" width="17.6640625" bestFit="1" customWidth="1"/>
    <col min="16" max="16" width="12.6640625" bestFit="1" customWidth="1"/>
    <col min="17" max="17" width="14.6640625" bestFit="1" customWidth="1"/>
    <col min="18" max="18" width="12.6640625" bestFit="1" customWidth="1"/>
    <col min="19" max="19" width="12" bestFit="1" customWidth="1"/>
    <col min="20" max="20" width="13.6640625" bestFit="1" customWidth="1"/>
    <col min="21" max="21" width="12.6640625" bestFit="1" customWidth="1"/>
    <col min="22" max="23" width="12.83203125" bestFit="1" customWidth="1"/>
  </cols>
  <sheetData>
    <row r="1" spans="1:17" x14ac:dyDescent="0.2">
      <c r="A1" s="14" t="s">
        <v>65</v>
      </c>
      <c r="B1" s="7" t="s">
        <v>152</v>
      </c>
      <c r="C1" s="13" t="s">
        <v>29</v>
      </c>
      <c r="D1" s="13" t="s">
        <v>13</v>
      </c>
      <c r="E1" s="15" t="s">
        <v>153</v>
      </c>
      <c r="F1" s="13" t="s">
        <v>6</v>
      </c>
      <c r="H1" s="14" t="s">
        <v>129</v>
      </c>
      <c r="I1" s="14" t="s">
        <v>118</v>
      </c>
      <c r="J1" s="14" t="s">
        <v>130</v>
      </c>
      <c r="K1" s="14" t="s">
        <v>131</v>
      </c>
      <c r="O1" s="2"/>
      <c r="P1" s="2"/>
      <c r="Q1" s="2"/>
    </row>
    <row r="2" spans="1:17" x14ac:dyDescent="0.2">
      <c r="A2" s="3">
        <f>Data!A2</f>
        <v>38016</v>
      </c>
      <c r="B2">
        <f>Data!E2 - Factors!AB4</f>
        <v>5.7286923079391538E-3</v>
      </c>
      <c r="C2">
        <f>Factors!Z4</f>
        <v>-3.1291370802744023E-2</v>
      </c>
      <c r="D2">
        <f>Factors!J4</f>
        <v>1.5380019766567221E-2</v>
      </c>
      <c r="E2">
        <f>Factors!J4 - Factors!K4</f>
        <v>3.2700205686655437E-3</v>
      </c>
      <c r="F2">
        <f>Factors!C4</f>
        <v>2.1072107724726674E-3</v>
      </c>
      <c r="O2" s="2"/>
    </row>
    <row r="3" spans="1:17" x14ac:dyDescent="0.2">
      <c r="A3" s="3">
        <f>Data!A3</f>
        <v>38044</v>
      </c>
      <c r="B3">
        <f>Data!E3 - Factors!AB5</f>
        <v>1.9259224350265836E-2</v>
      </c>
      <c r="C3">
        <f>Factors!Z5</f>
        <v>-1.5654118524040306E-2</v>
      </c>
      <c r="D3">
        <f>Factors!J5</f>
        <v>1.0909982882428171E-2</v>
      </c>
      <c r="E3">
        <f>Factors!J5 - Factors!K5</f>
        <v>5.4099751638561067E-3</v>
      </c>
      <c r="F3">
        <f>Factors!C5</f>
        <v>5.0261565288749477E-3</v>
      </c>
      <c r="O3" s="2"/>
    </row>
    <row r="4" spans="1:17" x14ac:dyDescent="0.2">
      <c r="A4" s="3">
        <f>Data!A4</f>
        <v>38077</v>
      </c>
      <c r="B4">
        <f>Data!E4 - Factors!AB6</f>
        <v>1.043890853045526E-2</v>
      </c>
      <c r="C4">
        <f>Factors!Z6</f>
        <v>7.6486179477470717E-2</v>
      </c>
      <c r="D4">
        <f>Factors!J6</f>
        <v>4.4400218583666717E-3</v>
      </c>
      <c r="E4">
        <f>Factors!J6 - Factors!K6</f>
        <v>1.1003247716878661E-4</v>
      </c>
      <c r="F4">
        <f>Factors!C6</f>
        <v>3.2149418248621497E-3</v>
      </c>
      <c r="O4" s="2"/>
    </row>
    <row r="5" spans="1:17" x14ac:dyDescent="0.2">
      <c r="A5" s="3">
        <f>Data!A5</f>
        <v>38107</v>
      </c>
      <c r="B5">
        <f>Data!E5 - Factors!AB7</f>
        <v>-2.919046412692472E-2</v>
      </c>
      <c r="C5">
        <f>Factors!Z7</f>
        <v>-9.3094149372728308E-2</v>
      </c>
      <c r="D5">
        <f>Factors!J7</f>
        <v>-7.0900013461940858E-3</v>
      </c>
      <c r="E5">
        <f>Factors!J7 - Factors!K7</f>
        <v>-2.0300025951655032E-3</v>
      </c>
      <c r="F5">
        <f>Factors!C7</f>
        <v>-1.0071722875019007E-2</v>
      </c>
      <c r="H5" t="s">
        <v>104</v>
      </c>
      <c r="O5" s="2"/>
    </row>
    <row r="6" spans="1:17" ht="16" thickBot="1" x14ac:dyDescent="0.25">
      <c r="A6" s="3">
        <f>Data!A6</f>
        <v>38138</v>
      </c>
      <c r="B6">
        <f>Data!E6 - Factors!AB8</f>
        <v>-7.739837617513845E-3</v>
      </c>
      <c r="C6">
        <f>Factors!Z8</f>
        <v>2.2753716871363849E-2</v>
      </c>
      <c r="D6">
        <f>Factors!J8</f>
        <v>-8.7800170451353132E-3</v>
      </c>
      <c r="E6">
        <f>Factors!J8 - Factors!K8</f>
        <v>-5.3300232453854512E-3</v>
      </c>
      <c r="F6">
        <f>Factors!C8</f>
        <v>-1.1304660603259631E-3</v>
      </c>
    </row>
    <row r="7" spans="1:17" x14ac:dyDescent="0.2">
      <c r="A7" s="3">
        <f>Data!A7</f>
        <v>38168</v>
      </c>
      <c r="B7">
        <f>Data!E7 - Factors!AB9</f>
        <v>-1.7678050233127518E-3</v>
      </c>
      <c r="C7">
        <f>Factors!Z9</f>
        <v>-3.2865630135254786E-3</v>
      </c>
      <c r="D7">
        <f>Factors!J9</f>
        <v>3.6000125969946062E-3</v>
      </c>
      <c r="E7">
        <f>Factors!J9 - Factors!K9</f>
        <v>1.9900115237942995E-3</v>
      </c>
      <c r="F7">
        <f>Factors!C9</f>
        <v>-1.0288595092333708E-4</v>
      </c>
      <c r="H7" s="6" t="s">
        <v>105</v>
      </c>
      <c r="I7" s="6"/>
    </row>
    <row r="8" spans="1:17" x14ac:dyDescent="0.2">
      <c r="A8" s="3">
        <f>Data!A8</f>
        <v>38198</v>
      </c>
      <c r="B8">
        <f>Data!E8 - Factors!AB10</f>
        <v>-4.2606935921434275E-3</v>
      </c>
      <c r="C8">
        <f>Factors!Z10</f>
        <v>-8.1166772352567751E-3</v>
      </c>
      <c r="D8">
        <f>Factors!J10</f>
        <v>-5.649998580187221E-3</v>
      </c>
      <c r="E8">
        <f>Factors!J10 - Factors!K10</f>
        <v>-1.216998511697942E-2</v>
      </c>
      <c r="F8">
        <f>Factors!C10</f>
        <v>3.6528270823688036E-3</v>
      </c>
      <c r="H8" t="s">
        <v>106</v>
      </c>
      <c r="I8">
        <v>0.79980604204228789</v>
      </c>
    </row>
    <row r="9" spans="1:17" x14ac:dyDescent="0.2">
      <c r="A9" s="3">
        <f>Data!A9</f>
        <v>38230</v>
      </c>
      <c r="B9">
        <f>Data!E9 - Factors!AB11</f>
        <v>-3.4209798769805344E-3</v>
      </c>
      <c r="C9">
        <f>Factors!Z11</f>
        <v>4.8075693645313944E-2</v>
      </c>
      <c r="D9">
        <f>Factors!J11</f>
        <v>-9.0006462964087319E-5</v>
      </c>
      <c r="E9">
        <f>Factors!J11 - Factors!K11</f>
        <v>-8.3400215477897888E-3</v>
      </c>
      <c r="F9">
        <f>Factors!C11</f>
        <v>7.1252819356160124E-3</v>
      </c>
      <c r="H9" t="s">
        <v>107</v>
      </c>
      <c r="I9">
        <v>0.63968970488735</v>
      </c>
    </row>
    <row r="10" spans="1:17" x14ac:dyDescent="0.2">
      <c r="A10" s="3">
        <f>Data!A10</f>
        <v>38260</v>
      </c>
      <c r="B10">
        <f>Data!E10 - Factors!AB12</f>
        <v>7.1391284360360352E-3</v>
      </c>
      <c r="C10">
        <f>Factors!Z12</f>
        <v>2.0495303159692613E-2</v>
      </c>
      <c r="D10">
        <f>Factors!J12</f>
        <v>8.2399999444353611E-3</v>
      </c>
      <c r="E10">
        <f>Factors!J12 - Factors!K12</f>
        <v>4.6800139095997118E-3</v>
      </c>
      <c r="F10">
        <f>Factors!C12</f>
        <v>-8.1437369572956442E-4</v>
      </c>
      <c r="H10" t="s">
        <v>108</v>
      </c>
      <c r="I10">
        <v>0.62715717288343176</v>
      </c>
    </row>
    <row r="11" spans="1:17" x14ac:dyDescent="0.2">
      <c r="A11" s="3">
        <f>Data!A11</f>
        <v>38289</v>
      </c>
      <c r="B11">
        <f>Data!E11 - Factors!AB13</f>
        <v>7.1705913184787473E-3</v>
      </c>
      <c r="C11">
        <f>Factors!Z13</f>
        <v>2.462641960549905E-2</v>
      </c>
      <c r="D11">
        <f>Factors!J13</f>
        <v>7.7799953911141806E-3</v>
      </c>
      <c r="E11">
        <f>Factors!J13 - Factors!K13</f>
        <v>4.6699963296139568E-3</v>
      </c>
      <c r="F11">
        <f>Factors!C13</f>
        <v>3.1582700830319332E-3</v>
      </c>
      <c r="H11" t="s">
        <v>109</v>
      </c>
      <c r="I11">
        <v>8.4699221114422404E-3</v>
      </c>
    </row>
    <row r="12" spans="1:17" ht="16" thickBot="1" x14ac:dyDescent="0.25">
      <c r="A12" s="3">
        <f>Data!A12</f>
        <v>38321</v>
      </c>
      <c r="B12">
        <f>Data!E12 - Factors!AB14</f>
        <v>2.6660861335426E-2</v>
      </c>
      <c r="C12">
        <f>Factors!Z14</f>
        <v>5.2269280130673224E-2</v>
      </c>
      <c r="D12">
        <f>Factors!J14</f>
        <v>2.6389990525552465E-2</v>
      </c>
      <c r="E12">
        <f>Factors!J14 - Factors!K14</f>
        <v>1.5719983907416024E-2</v>
      </c>
      <c r="F12">
        <f>Factors!C14</f>
        <v>-5.1287259432286625E-3</v>
      </c>
      <c r="H12" s="4" t="s">
        <v>110</v>
      </c>
      <c r="I12" s="4">
        <v>120</v>
      </c>
    </row>
    <row r="13" spans="1:17" x14ac:dyDescent="0.2">
      <c r="A13" s="3">
        <f>Data!A13</f>
        <v>38352</v>
      </c>
      <c r="B13">
        <f>Data!E13 - Factors!AB15</f>
        <v>4.1299612665233187E-3</v>
      </c>
      <c r="C13">
        <f>Factors!Z15</f>
        <v>-2.7719259341390412E-2</v>
      </c>
      <c r="D13">
        <f>Factors!J15</f>
        <v>1.5049999769568556E-2</v>
      </c>
      <c r="E13">
        <f>Factors!J15 - Factors!K15</f>
        <v>7.5899935769789817E-3</v>
      </c>
      <c r="F13">
        <f>Factors!C15</f>
        <v>2.1437321355655126E-3</v>
      </c>
    </row>
    <row r="14" spans="1:17" ht="16" thickBot="1" x14ac:dyDescent="0.25">
      <c r="A14" s="3">
        <f>Data!A14</f>
        <v>38383</v>
      </c>
      <c r="B14">
        <f>Data!E14 - Factors!AB16</f>
        <v>-7.4455304976432934E-3</v>
      </c>
      <c r="C14">
        <f>Factors!Z16</f>
        <v>-3.615007412475757E-2</v>
      </c>
      <c r="D14">
        <f>Factors!J16</f>
        <v>1.700118604137657E-4</v>
      </c>
      <c r="E14">
        <f>Factors!J16 - Factors!K16</f>
        <v>-2.8399794031672698E-3</v>
      </c>
      <c r="F14">
        <f>Factors!C16</f>
        <v>-4.0745645309159251E-4</v>
      </c>
      <c r="H14" t="s">
        <v>111</v>
      </c>
    </row>
    <row r="15" spans="1:17" x14ac:dyDescent="0.2">
      <c r="A15" s="3">
        <f>Data!A15</f>
        <v>38411</v>
      </c>
      <c r="B15">
        <f>Data!E15 - Factors!AB17</f>
        <v>1.6437410909368344E-2</v>
      </c>
      <c r="C15">
        <f>Factors!Z17</f>
        <v>3.0880265026029141E-2</v>
      </c>
      <c r="D15">
        <f>Factors!J17</f>
        <v>1.4190008623000905E-2</v>
      </c>
      <c r="E15">
        <f>Factors!J17 - Factors!K17</f>
        <v>6.3600110545871669E-3</v>
      </c>
      <c r="F15">
        <f>Factors!C17</f>
        <v>-2.4457352491592532E-3</v>
      </c>
      <c r="H15" s="5"/>
      <c r="I15" s="5" t="s">
        <v>112</v>
      </c>
      <c r="J15" s="5" t="s">
        <v>113</v>
      </c>
      <c r="K15" s="5" t="s">
        <v>114</v>
      </c>
      <c r="L15" s="5" t="s">
        <v>115</v>
      </c>
      <c r="M15" s="5" t="s">
        <v>116</v>
      </c>
    </row>
    <row r="16" spans="1:17" x14ac:dyDescent="0.2">
      <c r="A16" s="3">
        <f>Data!A16</f>
        <v>38442</v>
      </c>
      <c r="B16">
        <f>Data!E16 - Factors!AB18</f>
        <v>-8.2899574515765684E-3</v>
      </c>
      <c r="C16">
        <f>Factors!Z18</f>
        <v>-1.675657064156999E-2</v>
      </c>
      <c r="D16">
        <f>Factors!J18</f>
        <v>-5.1600136702056876E-3</v>
      </c>
      <c r="E16">
        <f>Factors!J18 - Factors!K18</f>
        <v>-1.6600209895392126E-3</v>
      </c>
      <c r="F16">
        <f>Factors!C18</f>
        <v>-5.1077740320759624E-5</v>
      </c>
      <c r="H16" t="s">
        <v>117</v>
      </c>
      <c r="I16">
        <v>4</v>
      </c>
      <c r="J16">
        <v>1.4647022999569916E-2</v>
      </c>
      <c r="K16">
        <v>3.6617557498924789E-3</v>
      </c>
      <c r="L16">
        <v>51.042335633960718</v>
      </c>
      <c r="M16">
        <v>1.2195380729463112E-24</v>
      </c>
    </row>
    <row r="17" spans="1:16" x14ac:dyDescent="0.2">
      <c r="A17" s="3">
        <f>Data!A17</f>
        <v>38471</v>
      </c>
      <c r="B17">
        <f>Data!E17 - Factors!AB19</f>
        <v>-1.2824907896132887E-2</v>
      </c>
      <c r="C17">
        <f>Factors!Z19</f>
        <v>1.4100618652970631E-2</v>
      </c>
      <c r="D17">
        <f>Factors!J19</f>
        <v>-1.5129993096155925E-2</v>
      </c>
      <c r="E17">
        <f>Factors!J19 - Factors!K19</f>
        <v>-6.6899932505322113E-3</v>
      </c>
      <c r="F17">
        <f>Factors!C19</f>
        <v>5.8231598304132604E-3</v>
      </c>
      <c r="H17" t="s">
        <v>118</v>
      </c>
      <c r="I17">
        <v>115</v>
      </c>
      <c r="J17">
        <v>8.2500517659982904E-3</v>
      </c>
      <c r="K17">
        <v>7.1739580573898173E-5</v>
      </c>
    </row>
    <row r="18" spans="1:16" ht="16" thickBot="1" x14ac:dyDescent="0.25">
      <c r="A18" s="3">
        <f>Data!A18</f>
        <v>38503</v>
      </c>
      <c r="B18">
        <f>Data!E18 - Factors!AB20</f>
        <v>1.0608021571816284E-3</v>
      </c>
      <c r="C18">
        <f>Factors!Z20</f>
        <v>-3.9457630240106734E-2</v>
      </c>
      <c r="D18">
        <f>Factors!J20</f>
        <v>2.1699911997266064E-3</v>
      </c>
      <c r="E18">
        <f>Factors!J20 - Factors!K20</f>
        <v>3.2099952196215087E-3</v>
      </c>
      <c r="F18">
        <f>Factors!C20</f>
        <v>3.8088466812249422E-3</v>
      </c>
      <c r="H18" s="4" t="s">
        <v>119</v>
      </c>
      <c r="I18" s="4">
        <v>119</v>
      </c>
      <c r="J18" s="4">
        <v>2.2897074765568206E-2</v>
      </c>
      <c r="K18" s="4"/>
      <c r="L18" s="4"/>
      <c r="M18" s="4"/>
    </row>
    <row r="19" spans="1:16" ht="16" thickBot="1" x14ac:dyDescent="0.25">
      <c r="A19" s="3">
        <f>Data!A19</f>
        <v>38533</v>
      </c>
      <c r="B19">
        <f>Data!E19 - Factors!AB21</f>
        <v>8.2856708716096961E-3</v>
      </c>
      <c r="C19">
        <f>Factors!Z21</f>
        <v>4.3738765727980855E-2</v>
      </c>
      <c r="D19">
        <f>Factors!J21</f>
        <v>1.3040001049762218E-2</v>
      </c>
      <c r="E19">
        <f>Factors!J21 - Factors!K21</f>
        <v>3.449991045725298E-3</v>
      </c>
      <c r="F19">
        <f>Factors!C21</f>
        <v>1.8719012445613803E-3</v>
      </c>
    </row>
    <row r="20" spans="1:16" x14ac:dyDescent="0.2">
      <c r="A20" s="3">
        <f>Data!A20</f>
        <v>38562</v>
      </c>
      <c r="B20">
        <f>Data!E20 - Factors!AB22</f>
        <v>4.9724202396477235E-3</v>
      </c>
      <c r="C20">
        <f>Factors!Z22</f>
        <v>-1.3088404133180243E-2</v>
      </c>
      <c r="D20">
        <f>Factors!J22</f>
        <v>1.8030012270868534E-2</v>
      </c>
      <c r="E20">
        <f>Factors!J22 - Factors!K22</f>
        <v>4.6300243355219539E-3</v>
      </c>
      <c r="F20">
        <f>Factors!C22</f>
        <v>-2.9793465636519523E-3</v>
      </c>
      <c r="H20" s="5"/>
      <c r="I20" s="5" t="s">
        <v>120</v>
      </c>
      <c r="J20" s="5" t="s">
        <v>109</v>
      </c>
      <c r="K20" s="5" t="s">
        <v>121</v>
      </c>
      <c r="L20" s="5" t="s">
        <v>122</v>
      </c>
      <c r="M20" s="5" t="s">
        <v>123</v>
      </c>
      <c r="N20" s="5" t="s">
        <v>124</v>
      </c>
      <c r="O20" s="5" t="s">
        <v>125</v>
      </c>
      <c r="P20" s="5" t="s">
        <v>126</v>
      </c>
    </row>
    <row r="21" spans="1:16" x14ac:dyDescent="0.2">
      <c r="A21" s="3">
        <f>Data!A21</f>
        <v>38595</v>
      </c>
      <c r="B21">
        <f>Data!E21 - Factors!AB23</f>
        <v>4.4625004696154935E-3</v>
      </c>
      <c r="C21">
        <f>Factors!Z23</f>
        <v>1.2563983248022215E-2</v>
      </c>
      <c r="D21">
        <f>Factors!J23</f>
        <v>8.4599893882217891E-3</v>
      </c>
      <c r="E21">
        <f>Factors!J23 - Factors!K23</f>
        <v>1.5499907765241794E-3</v>
      </c>
      <c r="F21">
        <f>Factors!C23</f>
        <v>6.2803889789304623E-3</v>
      </c>
      <c r="H21" t="s">
        <v>127</v>
      </c>
      <c r="I21">
        <v>1.082109043558649E-3</v>
      </c>
      <c r="J21">
        <v>1.0025581534646808E-3</v>
      </c>
      <c r="K21">
        <v>1.0793479059733873</v>
      </c>
      <c r="L21">
        <v>0.28269124670321688</v>
      </c>
      <c r="M21">
        <v>-9.0376570721940213E-4</v>
      </c>
      <c r="N21">
        <v>3.0679837943367004E-3</v>
      </c>
      <c r="O21">
        <v>-9.0376570721940213E-4</v>
      </c>
      <c r="P21">
        <v>3.0679837943367004E-3</v>
      </c>
    </row>
    <row r="22" spans="1:16" x14ac:dyDescent="0.2">
      <c r="A22" s="3">
        <f>Data!A22</f>
        <v>38625</v>
      </c>
      <c r="B22">
        <f>Data!E22 - Factors!AB24</f>
        <v>1.8122825517558283E-2</v>
      </c>
      <c r="C22">
        <f>Factors!Z24</f>
        <v>7.8354779411764719E-2</v>
      </c>
      <c r="D22">
        <f>Factors!J24</f>
        <v>1.5259997371717793E-2</v>
      </c>
      <c r="E22">
        <f>Factors!J24 - Factors!K24</f>
        <v>3.5099832824203592E-3</v>
      </c>
      <c r="F22">
        <f>Factors!C24</f>
        <v>-2.6676062009260981E-3</v>
      </c>
      <c r="H22" t="s">
        <v>29</v>
      </c>
      <c r="I22">
        <v>7.7160974345242037E-2</v>
      </c>
      <c r="J22">
        <v>1.5705229469810355E-2</v>
      </c>
      <c r="K22">
        <v>4.9130752590126772</v>
      </c>
      <c r="L22" s="10">
        <v>2.9975421713010773E-6</v>
      </c>
      <c r="M22">
        <v>4.6051937376674318E-2</v>
      </c>
      <c r="N22">
        <v>0.10827001131380976</v>
      </c>
      <c r="O22">
        <v>4.6051937376674318E-2</v>
      </c>
      <c r="P22">
        <v>0.10827001131380976</v>
      </c>
    </row>
    <row r="23" spans="1:16" x14ac:dyDescent="0.2">
      <c r="A23" s="3">
        <f>Data!A23</f>
        <v>38656</v>
      </c>
      <c r="B23">
        <f>Data!E23 - Factors!AB25</f>
        <v>-8.9936197122291173E-3</v>
      </c>
      <c r="C23">
        <f>Factors!Z25</f>
        <v>-8.7577242701897262E-3</v>
      </c>
      <c r="D23">
        <f>Factors!J25</f>
        <v>-1.5100003441222198E-2</v>
      </c>
      <c r="E23">
        <f>Factors!J25 - Factors!K25</f>
        <v>-1.1550001434881607E-2</v>
      </c>
      <c r="F23">
        <f>Factors!C25</f>
        <v>-2.0186727226845225E-4</v>
      </c>
      <c r="H23" t="s">
        <v>13</v>
      </c>
      <c r="I23">
        <v>0.35815158660988572</v>
      </c>
      <c r="J23">
        <v>6.3026208165623709E-2</v>
      </c>
      <c r="K23">
        <v>5.6825818502156347</v>
      </c>
      <c r="L23" s="10">
        <v>1.0179037722697294E-7</v>
      </c>
      <c r="M23">
        <v>0.23330879818823344</v>
      </c>
      <c r="N23">
        <v>0.48299437503153797</v>
      </c>
      <c r="O23">
        <v>0.23330879818823344</v>
      </c>
      <c r="P23">
        <v>0.48299437503153797</v>
      </c>
    </row>
    <row r="24" spans="1:16" x14ac:dyDescent="0.2">
      <c r="A24" s="3">
        <f>Data!A24</f>
        <v>38686</v>
      </c>
      <c r="B24">
        <f>Data!E24 - Factors!AB26</f>
        <v>1.1561723282379477E-2</v>
      </c>
      <c r="C24">
        <f>Factors!Z26</f>
        <v>5.9953997291429362E-2</v>
      </c>
      <c r="D24">
        <f>Factors!J26</f>
        <v>1.7020022033619187E-2</v>
      </c>
      <c r="E24">
        <f>Factors!J26 - Factors!K26</f>
        <v>8.7800296204909589E-3</v>
      </c>
      <c r="F24">
        <f>Factors!C26</f>
        <v>3.2810055019936168E-3</v>
      </c>
      <c r="H24" t="s">
        <v>153</v>
      </c>
      <c r="I24">
        <v>0.75409715839734925</v>
      </c>
      <c r="J24">
        <v>0.11008279781578785</v>
      </c>
      <c r="K24">
        <v>6.8502724618178101</v>
      </c>
      <c r="L24" s="10">
        <v>3.8486920838817843E-10</v>
      </c>
      <c r="M24">
        <v>0.53604432233801957</v>
      </c>
      <c r="N24">
        <v>0.97214999445667893</v>
      </c>
      <c r="O24">
        <v>0.53604432233801957</v>
      </c>
      <c r="P24">
        <v>0.97214999445667893</v>
      </c>
    </row>
    <row r="25" spans="1:16" ht="16" thickBot="1" x14ac:dyDescent="0.25">
      <c r="A25" s="3">
        <f>Data!A25</f>
        <v>38716</v>
      </c>
      <c r="B25">
        <f>Data!E25 - Factors!AB27</f>
        <v>9.5251369491837767E-3</v>
      </c>
      <c r="C25">
        <f>Factors!Z27</f>
        <v>4.8511397744787965E-2</v>
      </c>
      <c r="D25">
        <f>Factors!J27</f>
        <v>2.0079989311307056E-2</v>
      </c>
      <c r="E25">
        <f>Factors!J27 - Factors!K27</f>
        <v>5.3299862399158737E-3</v>
      </c>
      <c r="F25">
        <f>Factors!C27</f>
        <v>3.8740189172872252E-3</v>
      </c>
      <c r="H25" s="4" t="s">
        <v>6</v>
      </c>
      <c r="I25" s="4">
        <v>0.50089527787729493</v>
      </c>
      <c r="J25" s="4">
        <v>0.21977848531323543</v>
      </c>
      <c r="K25" s="4">
        <v>2.279091500532469</v>
      </c>
      <c r="L25" s="12">
        <v>2.4506710295551296E-2</v>
      </c>
      <c r="M25" s="4">
        <v>6.5556396796443206E-2</v>
      </c>
      <c r="N25" s="4">
        <v>0.93623415895814666</v>
      </c>
      <c r="O25" s="4">
        <v>6.5556396796443206E-2</v>
      </c>
      <c r="P25" s="4">
        <v>0.93623415895814666</v>
      </c>
    </row>
    <row r="26" spans="1:16" x14ac:dyDescent="0.2">
      <c r="A26" s="3">
        <f>Data!A26</f>
        <v>38748</v>
      </c>
      <c r="B26">
        <f>Data!E26 - Factors!AB28</f>
        <v>2.0795498712823823E-2</v>
      </c>
      <c r="C26">
        <f>Factors!Z28</f>
        <v>0.10038684719535773</v>
      </c>
      <c r="D26">
        <f>Factors!J28</f>
        <v>2.8360008065332343E-2</v>
      </c>
      <c r="E26">
        <f>Factors!J28 - Factors!K28</f>
        <v>6.370002523866658E-3</v>
      </c>
      <c r="F26">
        <f>Factors!C28</f>
        <v>1.5035333032626941E-3</v>
      </c>
    </row>
    <row r="27" spans="1:16" x14ac:dyDescent="0.2">
      <c r="A27" s="3">
        <f>Data!A27</f>
        <v>38776</v>
      </c>
      <c r="B27">
        <f>Data!E27 - Factors!AB29</f>
        <v>-7.9241859652037228E-3</v>
      </c>
      <c r="C27">
        <f>Factors!Z29</f>
        <v>-1.2919669537704404E-2</v>
      </c>
      <c r="D27">
        <f>Factors!J29</f>
        <v>3.4699830436075718E-3</v>
      </c>
      <c r="E27">
        <f>Factors!J29 - Factors!K29</f>
        <v>-2.7600065209820723E-3</v>
      </c>
      <c r="F27">
        <f>Factors!C29</f>
        <v>7.5063804233588272E-4</v>
      </c>
    </row>
    <row r="28" spans="1:16" x14ac:dyDescent="0.2">
      <c r="A28" s="3">
        <f>Data!A28</f>
        <v>38807</v>
      </c>
      <c r="B28">
        <f>Data!E28 - Factors!AB30</f>
        <v>7.6372396051327396E-3</v>
      </c>
      <c r="C28">
        <f>Factors!Z30</f>
        <v>3.9355355711868878E-2</v>
      </c>
      <c r="D28">
        <f>Factors!J30</f>
        <v>1.6610014203980672E-2</v>
      </c>
      <c r="E28">
        <f>Factors!J30 - Factors!K30</f>
        <v>3.270006321279384E-3</v>
      </c>
      <c r="F28">
        <f>Factors!C30</f>
        <v>1.2001200120013156E-3</v>
      </c>
    </row>
    <row r="29" spans="1:16" x14ac:dyDescent="0.2">
      <c r="A29" s="3">
        <f>Data!A29</f>
        <v>38835</v>
      </c>
      <c r="B29">
        <f>Data!E29 - Factors!AB31</f>
        <v>2.3879732286085087E-2</v>
      </c>
      <c r="C29">
        <f>Factors!Z31</f>
        <v>0.12125417630429203</v>
      </c>
      <c r="D29">
        <f>Factors!J31</f>
        <v>1.7169992265817502E-2</v>
      </c>
      <c r="E29">
        <f>Factors!J31 - Factors!K31</f>
        <v>6.0199914344778449E-3</v>
      </c>
      <c r="F29">
        <f>Factors!C31</f>
        <v>3.0965937468785398E-3</v>
      </c>
    </row>
    <row r="30" spans="1:16" x14ac:dyDescent="0.2">
      <c r="A30" s="3">
        <f>Data!A30</f>
        <v>38868</v>
      </c>
      <c r="B30">
        <f>Data!E30 - Factors!AB32</f>
        <v>-1.7616716771781227E-2</v>
      </c>
      <c r="C30">
        <f>Factors!Z32</f>
        <v>-1.4088811466642093E-2</v>
      </c>
      <c r="D30">
        <f>Factors!J32</f>
        <v>-1.9659986305595956E-2</v>
      </c>
      <c r="E30">
        <f>Factors!J32 - Factors!K32</f>
        <v>-2.16999772446127E-2</v>
      </c>
      <c r="F30">
        <f>Factors!C32</f>
        <v>1.4439354710216179E-3</v>
      </c>
      <c r="I30" s="7" t="s">
        <v>136</v>
      </c>
      <c r="J30" s="7">
        <f>1 - SUMSQ(I38:I121) / DEVSQ(B38:B121)</f>
        <v>0.47151813353949545</v>
      </c>
    </row>
    <row r="31" spans="1:16" x14ac:dyDescent="0.2">
      <c r="A31" s="3">
        <f>Data!A31</f>
        <v>38898</v>
      </c>
      <c r="B31">
        <f>Data!E31 - Factors!AB33</f>
        <v>-8.8009587418047541E-3</v>
      </c>
      <c r="C31">
        <f>Factors!Z33</f>
        <v>-4.5489770613763247E-2</v>
      </c>
      <c r="D31">
        <f>Factors!J33</f>
        <v>-6.2600113383721734E-3</v>
      </c>
      <c r="E31">
        <f>Factors!J33 - Factors!K33</f>
        <v>-1.1780019686965515E-2</v>
      </c>
      <c r="F31">
        <f>Factors!C33</f>
        <v>1.7898871376722525E-3</v>
      </c>
      <c r="I31" s="7" t="s">
        <v>137</v>
      </c>
      <c r="J31" s="7">
        <f>SQRT( SUMSQ(I38:I121) / COUNT(I38:I121) )</f>
        <v>1.0454963267967465E-2</v>
      </c>
    </row>
    <row r="32" spans="1:16" x14ac:dyDescent="0.2">
      <c r="A32" s="3">
        <f>Data!A32</f>
        <v>38929</v>
      </c>
      <c r="B32">
        <f>Data!E32 - Factors!AB34</f>
        <v>-6.6596944235139954E-3</v>
      </c>
      <c r="C32">
        <f>Factors!Z34</f>
        <v>3.3936835268328247E-2</v>
      </c>
      <c r="D32">
        <f>Factors!J34</f>
        <v>-2.2099992923791945E-3</v>
      </c>
      <c r="E32">
        <f>Factors!J34 - Factors!K34</f>
        <v>-6.3899906906006443E-3</v>
      </c>
      <c r="F32">
        <f>Factors!C34</f>
        <v>7.4941684450839929E-3</v>
      </c>
      <c r="I32" s="7" t="s">
        <v>138</v>
      </c>
      <c r="J32" s="7">
        <f>1 - SUMSQ(J38:J121) / DEVSQ(K38:K121)</f>
        <v>0.55590002911642467</v>
      </c>
    </row>
    <row r="33" spans="1:11" x14ac:dyDescent="0.2">
      <c r="A33" s="3">
        <f>Data!A33</f>
        <v>38960</v>
      </c>
      <c r="B33">
        <f>Data!E33 - Factors!AB35</f>
        <v>-1.9510745344661906E-3</v>
      </c>
      <c r="C33">
        <f>Factors!Z35</f>
        <v>-1.4840989399293347E-2</v>
      </c>
      <c r="D33">
        <f>Factors!J35</f>
        <v>8.1299984132738867E-3</v>
      </c>
      <c r="E33">
        <f>Factors!J35 - Factors!K35</f>
        <v>1.0199931029595266E-3</v>
      </c>
      <c r="F33">
        <f>Factors!C35</f>
        <v>7.1428571428571175E-3</v>
      </c>
    </row>
    <row r="34" spans="1:11" x14ac:dyDescent="0.2">
      <c r="A34" s="3">
        <f>Data!A34</f>
        <v>38989</v>
      </c>
      <c r="B34">
        <f>Data!E34 - Factors!AB36</f>
        <v>-1.1966320285637044E-2</v>
      </c>
      <c r="C34">
        <f>Factors!Z36</f>
        <v>-4.6229874063446474E-2</v>
      </c>
      <c r="D34">
        <f>Factors!J36</f>
        <v>7.499931159544726E-4</v>
      </c>
      <c r="E34">
        <f>Factors!J36 - Factors!K36</f>
        <v>-2.9499987938994554E-3</v>
      </c>
      <c r="F34">
        <f>Factors!C36</f>
        <v>5.1357300073369139E-3</v>
      </c>
    </row>
    <row r="35" spans="1:11" x14ac:dyDescent="0.2">
      <c r="A35" s="3">
        <f>Data!A35</f>
        <v>39021</v>
      </c>
      <c r="B35">
        <f>Data!E35 - Factors!AB37</f>
        <v>7.4743409557123108E-3</v>
      </c>
      <c r="C35">
        <f>Factors!Z37</f>
        <v>1.3872639144242083E-2</v>
      </c>
      <c r="D35">
        <f>Factors!J37</f>
        <v>1.6250018524567089E-2</v>
      </c>
      <c r="E35">
        <f>Factors!J37 - Factors!K37</f>
        <v>3.9800122674329419E-3</v>
      </c>
      <c r="F35">
        <f>Factors!C37</f>
        <v>3.8442822384427977E-3</v>
      </c>
    </row>
    <row r="36" spans="1:11" x14ac:dyDescent="0.2">
      <c r="A36" s="3">
        <f>Data!A36</f>
        <v>39051</v>
      </c>
      <c r="B36">
        <f>Data!E36 - Factors!AB38</f>
        <v>1.9408257670699758E-2</v>
      </c>
      <c r="C36">
        <f>Factors!Z38</f>
        <v>6.8249258160237414E-2</v>
      </c>
      <c r="D36">
        <f>Factors!J38</f>
        <v>1.7829984452331971E-2</v>
      </c>
      <c r="E36">
        <f>Factors!J38 - Factors!K38</f>
        <v>4.0999812460860152E-3</v>
      </c>
      <c r="F36">
        <f>Factors!C38</f>
        <v>5.1383974017160661E-3</v>
      </c>
    </row>
    <row r="37" spans="1:11" x14ac:dyDescent="0.2">
      <c r="A37" s="3">
        <f>Data!A37</f>
        <v>39080</v>
      </c>
      <c r="B37">
        <f>Data!E37 - Factors!AB39</f>
        <v>8.3874781696628986E-3</v>
      </c>
      <c r="C37">
        <f>Factors!Z39</f>
        <v>-1.743827160493816E-2</v>
      </c>
      <c r="D37">
        <f>Factors!J39</f>
        <v>1.7860009511927233E-2</v>
      </c>
      <c r="E37">
        <f>Factors!J39 - Factors!K39</f>
        <v>1.7500130235001965E-3</v>
      </c>
      <c r="F37">
        <f>Factors!C39</f>
        <v>4.8227634434683253E-5</v>
      </c>
      <c r="H37" s="147" t="s">
        <v>139</v>
      </c>
      <c r="I37" s="147"/>
      <c r="J37" s="147"/>
      <c r="K37" s="147"/>
    </row>
    <row r="38" spans="1:11" x14ac:dyDescent="0.2">
      <c r="A38" s="3">
        <f>Data!A38</f>
        <v>39113</v>
      </c>
      <c r="B38">
        <f>Data!E38 - Factors!AB40</f>
        <v>-4.0867297795266211E-4</v>
      </c>
      <c r="C38">
        <f>Factors!Z40</f>
        <v>2.5914873566828867E-2</v>
      </c>
      <c r="D38">
        <f>Factors!J40</f>
        <v>1.2942254448817581E-2</v>
      </c>
      <c r="E38">
        <f>Factors!J40 - Factors!K40</f>
        <v>-7.2645542786409223E-4</v>
      </c>
      <c r="F38">
        <f>Factors!C40</f>
        <v>2.0736882716048122E-3</v>
      </c>
      <c r="H38" cm="1">
        <f t="array" ref="H38">TREND(B2:B37, C2:F37, C38:F38, TRUE)</f>
        <v>7.1813153474798701E-3</v>
      </c>
      <c r="I38">
        <f t="shared" ref="I38:I69" si="0">B38 - H38</f>
        <v>-7.5899883254325323E-3</v>
      </c>
      <c r="J38">
        <f t="shared" ref="J38:J69" si="1">IF(OR(YEAR(A38)=2008, YEAR(A38)=2009), "", I38)</f>
        <v>-7.5899883254325323E-3</v>
      </c>
      <c r="K38">
        <f t="shared" ref="K38:K69" si="2">IF(OR(YEAR(A38)=2008, YEAR(A38)=2009), "", B38)</f>
        <v>-4.0867297795266211E-4</v>
      </c>
    </row>
    <row r="39" spans="1:11" x14ac:dyDescent="0.2">
      <c r="A39" s="3">
        <f>Data!A39</f>
        <v>39141</v>
      </c>
      <c r="B39">
        <f>Data!E39 - Factors!AB41</f>
        <v>-1.5428829245927034E-3</v>
      </c>
      <c r="C39">
        <f>Factors!Z41</f>
        <v>2.4724433557868908E-2</v>
      </c>
      <c r="D39">
        <f>Factors!J41</f>
        <v>8.1972118953617112E-3</v>
      </c>
      <c r="E39">
        <f>Factors!J41 - Factors!K41</f>
        <v>6.3454804920937136E-4</v>
      </c>
      <c r="F39">
        <f>Factors!C41</f>
        <v>8.0850859040377809E-3</v>
      </c>
      <c r="H39" cm="1">
        <f t="array" ref="H39">TREND(B3:B38, C3:F38, C39:F39, TRUE)</f>
        <v>5.8641102965891045E-3</v>
      </c>
      <c r="I39">
        <f t="shared" si="0"/>
        <v>-7.4069932211818078E-3</v>
      </c>
      <c r="J39">
        <f t="shared" si="1"/>
        <v>-7.4069932211818078E-3</v>
      </c>
      <c r="K39">
        <f t="shared" si="2"/>
        <v>-1.5428829245927034E-3</v>
      </c>
    </row>
    <row r="40" spans="1:11" x14ac:dyDescent="0.2">
      <c r="A40" s="3">
        <f>Data!A40</f>
        <v>39171</v>
      </c>
      <c r="B40">
        <f>Data!E40 - Factors!AB42</f>
        <v>-5.3784363693408777E-3</v>
      </c>
      <c r="C40">
        <f>Factors!Z42</f>
        <v>-8.3065660715621048E-3</v>
      </c>
      <c r="D40">
        <f>Factors!J42</f>
        <v>1.1549314300771663E-2</v>
      </c>
      <c r="E40">
        <f>Factors!J42 - Factors!K42</f>
        <v>4.0145878304049809E-3</v>
      </c>
      <c r="F40">
        <f>Factors!C42</f>
        <v>3.8669021816966076E-3</v>
      </c>
      <c r="H40" cm="1">
        <f t="array" ref="H40">TREND(B4:B39, C4:F39, C40:F40, TRUE)</f>
        <v>2.2150465997609206E-3</v>
      </c>
      <c r="I40">
        <f t="shared" si="0"/>
        <v>-7.5934829691017983E-3</v>
      </c>
      <c r="J40">
        <f t="shared" si="1"/>
        <v>-7.5934829691017983E-3</v>
      </c>
      <c r="K40">
        <f t="shared" si="2"/>
        <v>-5.3784363693408777E-3</v>
      </c>
    </row>
    <row r="41" spans="1:11" x14ac:dyDescent="0.2">
      <c r="A41" s="3">
        <f>Data!A41</f>
        <v>39202</v>
      </c>
      <c r="B41">
        <f>Data!E41 - Factors!AB43</f>
        <v>1.1976878489052156E-2</v>
      </c>
      <c r="C41">
        <f>Factors!Z43</f>
        <v>2.2085298061133907E-2</v>
      </c>
      <c r="D41">
        <f>Factors!J43</f>
        <v>1.67607619123884E-2</v>
      </c>
      <c r="E41">
        <f>Factors!J43 - Factors!K43</f>
        <v>2.5702188138221338E-3</v>
      </c>
      <c r="F41">
        <f>Factors!C43</f>
        <v>3.5191173673199128E-3</v>
      </c>
      <c r="H41" cm="1">
        <f t="array" ref="H41">TREND(B5:B40, C5:F40, C41:F41, TRUE)</f>
        <v>7.9140128955419321E-3</v>
      </c>
      <c r="I41">
        <f t="shared" si="0"/>
        <v>4.0628655935102242E-3</v>
      </c>
      <c r="J41">
        <f t="shared" si="1"/>
        <v>4.0628655935102242E-3</v>
      </c>
      <c r="K41">
        <f t="shared" si="2"/>
        <v>1.1976878489052156E-2</v>
      </c>
    </row>
    <row r="42" spans="1:11" x14ac:dyDescent="0.2">
      <c r="A42" s="3">
        <f>Data!A42</f>
        <v>39233</v>
      </c>
      <c r="B42">
        <f>Data!E42 - Factors!AB44</f>
        <v>1.3884227015438677E-2</v>
      </c>
      <c r="C42">
        <f>Factors!Z44</f>
        <v>-2.6457366054978282E-2</v>
      </c>
      <c r="D42">
        <f>Factors!J44</f>
        <v>2.1465347532600321E-2</v>
      </c>
      <c r="E42">
        <f>Factors!J44 - Factors!K44</f>
        <v>6.5919347317506816E-3</v>
      </c>
      <c r="F42">
        <f>Factors!C44</f>
        <v>-9.9516633494456386E-4</v>
      </c>
      <c r="H42" cm="1">
        <f t="array" ref="H42">TREND(B6:B41, C6:F41, C42:F42, TRUE)</f>
        <v>7.7778263538063087E-3</v>
      </c>
      <c r="I42">
        <f t="shared" si="0"/>
        <v>6.1064006616323684E-3</v>
      </c>
      <c r="J42">
        <f t="shared" si="1"/>
        <v>6.1064006616323684E-3</v>
      </c>
      <c r="K42">
        <f t="shared" si="2"/>
        <v>1.3884227015438677E-2</v>
      </c>
    </row>
    <row r="43" spans="1:11" x14ac:dyDescent="0.2">
      <c r="A43" s="3">
        <f>Data!A43</f>
        <v>39262</v>
      </c>
      <c r="B43">
        <f>Data!E43 - Factors!AB45</f>
        <v>1.1078126401868227E-2</v>
      </c>
      <c r="C43">
        <f>Factors!Z45</f>
        <v>-1.6426949280847869E-2</v>
      </c>
      <c r="D43">
        <f>Factors!J45</f>
        <v>5.2586548845623415E-3</v>
      </c>
      <c r="E43">
        <f>Factors!J45 - Factors!K45</f>
        <v>-3.6297874574997557E-4</v>
      </c>
      <c r="F43">
        <f>Factors!C45</f>
        <v>4.3641193491770203E-3</v>
      </c>
      <c r="H43" cm="1">
        <f t="array" ref="H43">TREND(B7:B42, C7:F42, C43:F43, TRUE)</f>
        <v>-2.9899225059199109E-3</v>
      </c>
      <c r="I43">
        <f t="shared" si="0"/>
        <v>1.4068048907788138E-2</v>
      </c>
      <c r="J43">
        <f t="shared" si="1"/>
        <v>1.4068048907788138E-2</v>
      </c>
      <c r="K43">
        <f t="shared" si="2"/>
        <v>1.1078126401868227E-2</v>
      </c>
    </row>
    <row r="44" spans="1:11" x14ac:dyDescent="0.2">
      <c r="A44" s="3">
        <f>Data!A44</f>
        <v>39294</v>
      </c>
      <c r="B44">
        <f>Data!E44 - Factors!AB46</f>
        <v>4.1229099206852027E-3</v>
      </c>
      <c r="C44">
        <f>Factors!Z46</f>
        <v>2.2550604171476918E-2</v>
      </c>
      <c r="D44">
        <f>Factors!J46</f>
        <v>1.9128343868641817E-3</v>
      </c>
      <c r="E44">
        <f>Factors!J46 - Factors!K46</f>
        <v>7.7167154955903872E-3</v>
      </c>
      <c r="F44">
        <f>Factors!C46</f>
        <v>8.9264629480942936E-3</v>
      </c>
      <c r="H44" cm="1">
        <f t="array" ref="H44">TREND(B8:B43, C8:F43, C44:F44, TRUE)</f>
        <v>5.4125292482810135E-4</v>
      </c>
      <c r="I44">
        <f t="shared" si="0"/>
        <v>3.5816569958571015E-3</v>
      </c>
      <c r="J44">
        <f t="shared" si="1"/>
        <v>3.5816569958571015E-3</v>
      </c>
      <c r="K44">
        <f t="shared" si="2"/>
        <v>4.1229099206852027E-3</v>
      </c>
    </row>
    <row r="45" spans="1:11" x14ac:dyDescent="0.2">
      <c r="A45" s="3">
        <f>Data!A45</f>
        <v>39325</v>
      </c>
      <c r="B45">
        <f>Data!E45 - Factors!AB47</f>
        <v>-2.6040932352910162E-2</v>
      </c>
      <c r="C45">
        <f>Factors!Z47</f>
        <v>1.3548095739876587E-2</v>
      </c>
      <c r="D45">
        <f>Factors!J47</f>
        <v>-2.1834293319518805E-2</v>
      </c>
      <c r="E45">
        <f>Factors!J47 - Factors!K47</f>
        <v>-1.4952908364068818E-2</v>
      </c>
      <c r="F45">
        <f>Factors!C47</f>
        <v>1.03922853665388E-2</v>
      </c>
      <c r="H45" cm="1">
        <f t="array" ref="H45">TREND(B9:B44, C9:F44, C45:F45, TRUE)</f>
        <v>-1.9013851826716281E-2</v>
      </c>
      <c r="I45">
        <f t="shared" si="0"/>
        <v>-7.0270805261938817E-3</v>
      </c>
      <c r="J45">
        <f t="shared" si="1"/>
        <v>-7.0270805261938817E-3</v>
      </c>
      <c r="K45">
        <f t="shared" si="2"/>
        <v>-2.6040932352910162E-2</v>
      </c>
    </row>
    <row r="46" spans="1:11" x14ac:dyDescent="0.2">
      <c r="A46" s="3">
        <f>Data!A46</f>
        <v>39353</v>
      </c>
      <c r="B46">
        <f>Data!E46 - Factors!AB48</f>
        <v>2.8787165507307311E-2</v>
      </c>
      <c r="C46">
        <f>Factors!Z48</f>
        <v>0.1044111094608644</v>
      </c>
      <c r="D46">
        <f>Factors!J48</f>
        <v>1.8790037969382833E-2</v>
      </c>
      <c r="E46">
        <f>Factors!J48 - Factors!K48</f>
        <v>5.2881996361964223E-3</v>
      </c>
      <c r="F46">
        <f>Factors!C48</f>
        <v>6.9495922905855601E-3</v>
      </c>
      <c r="H46" cm="1">
        <f t="array" ref="H46">TREND(B10:B45, C10:F45, C46:F46, TRUE)</f>
        <v>1.586156441049745E-2</v>
      </c>
      <c r="I46">
        <f t="shared" si="0"/>
        <v>1.2925601096809861E-2</v>
      </c>
      <c r="J46">
        <f t="shared" si="1"/>
        <v>1.2925601096809861E-2</v>
      </c>
      <c r="K46">
        <f t="shared" si="2"/>
        <v>2.8787165507307311E-2</v>
      </c>
    </row>
    <row r="47" spans="1:11" x14ac:dyDescent="0.2">
      <c r="A47" s="3">
        <f>Data!A47</f>
        <v>39386</v>
      </c>
      <c r="B47">
        <f>Data!E47 - Factors!AB49</f>
        <v>2.956701257864891E-2</v>
      </c>
      <c r="C47">
        <f>Factors!Z49</f>
        <v>7.1543840774609846E-2</v>
      </c>
      <c r="D47">
        <f>Factors!J49</f>
        <v>3.0656165055060747E-2</v>
      </c>
      <c r="E47">
        <f>Factors!J49 - Factors!K49</f>
        <v>9.6536195957961368E-3</v>
      </c>
      <c r="F47">
        <f>Factors!C49</f>
        <v>3.910922977822695E-3</v>
      </c>
      <c r="H47" cm="1">
        <f t="array" ref="H47">TREND(B11:B46, C11:F46, C47:F47, TRUE)</f>
        <v>2.302010397325293E-2</v>
      </c>
      <c r="I47">
        <f t="shared" si="0"/>
        <v>6.5469086053959805E-3</v>
      </c>
      <c r="J47">
        <f t="shared" si="1"/>
        <v>6.5469086053959805E-3</v>
      </c>
      <c r="K47">
        <f t="shared" si="2"/>
        <v>2.956701257864891E-2</v>
      </c>
    </row>
    <row r="48" spans="1:11" x14ac:dyDescent="0.2">
      <c r="A48" s="3">
        <f>Data!A48</f>
        <v>39416</v>
      </c>
      <c r="B48">
        <f>Data!E48 - Factors!AB50</f>
        <v>-1.2781412924715574E-2</v>
      </c>
      <c r="C48">
        <f>Factors!Z50</f>
        <v>-1.6629016064257041E-2</v>
      </c>
      <c r="D48">
        <f>Factors!J50</f>
        <v>-1.4675704327976047E-2</v>
      </c>
      <c r="E48">
        <f>Factors!J50 - Factors!K50</f>
        <v>-9.3557817349954053E-3</v>
      </c>
      <c r="F48">
        <f>Factors!C50</f>
        <v>1.7324350336862304E-2</v>
      </c>
      <c r="H48" cm="1">
        <f t="array" ref="H48">TREND(B12:B47, C12:F47, C48:F48, TRUE)</f>
        <v>-2.0956972136898167E-2</v>
      </c>
      <c r="I48">
        <f t="shared" si="0"/>
        <v>8.1755592121825933E-3</v>
      </c>
      <c r="J48">
        <f t="shared" si="1"/>
        <v>8.1755592121825933E-3</v>
      </c>
      <c r="K48">
        <f t="shared" si="2"/>
        <v>-1.2781412924715574E-2</v>
      </c>
    </row>
    <row r="49" spans="1:11" x14ac:dyDescent="0.2">
      <c r="A49" s="3">
        <f>Data!A49</f>
        <v>39447</v>
      </c>
      <c r="B49">
        <f>Data!E49 - Factors!AB51</f>
        <v>7.0711374109098113E-3</v>
      </c>
      <c r="C49">
        <f>Factors!Z51</f>
        <v>6.4003573479676001E-2</v>
      </c>
      <c r="D49">
        <f>Factors!J51</f>
        <v>3.3379196444245363E-3</v>
      </c>
      <c r="E49">
        <f>Factors!J51 - Factors!K51</f>
        <v>-3.0985504013767429E-3</v>
      </c>
      <c r="F49">
        <f>Factors!C51</f>
        <v>2.4778123169797439E-3</v>
      </c>
      <c r="H49" cm="1">
        <f t="array" ref="H49">TREND(B13:B48, C13:F48, C49:F49, TRUE)</f>
        <v>5.4134567091676895E-3</v>
      </c>
      <c r="I49">
        <f t="shared" si="0"/>
        <v>1.6576807017421218E-3</v>
      </c>
      <c r="J49">
        <f t="shared" si="1"/>
        <v>1.6576807017421218E-3</v>
      </c>
      <c r="K49">
        <f t="shared" si="2"/>
        <v>7.0711374109098113E-3</v>
      </c>
    </row>
    <row r="50" spans="1:11" x14ac:dyDescent="0.2">
      <c r="A50" s="3">
        <f>Data!A50</f>
        <v>39478</v>
      </c>
      <c r="B50">
        <f>Data!E50 - Factors!AB52</f>
        <v>7.0476875638760816E-3</v>
      </c>
      <c r="C50">
        <f>Factors!Z52</f>
        <v>0.11083123425692687</v>
      </c>
      <c r="D50">
        <f>Factors!J52</f>
        <v>-2.8342341803256788E-2</v>
      </c>
      <c r="E50">
        <f>Factors!J52 - Factors!K52</f>
        <v>-1.5423060983967729E-2</v>
      </c>
      <c r="F50">
        <f>Factors!C52</f>
        <v>1.7391695128527562E-2</v>
      </c>
      <c r="H50" cm="1">
        <f t="array" ref="H50">TREND(B14:B49, C14:F49, C50:F50, TRUE)</f>
        <v>-1.2931926705547613E-2</v>
      </c>
      <c r="I50">
        <f t="shared" si="0"/>
        <v>1.9979614269423695E-2</v>
      </c>
      <c r="J50" t="str">
        <f t="shared" si="1"/>
        <v/>
      </c>
      <c r="K50" t="str">
        <f t="shared" si="2"/>
        <v/>
      </c>
    </row>
    <row r="51" spans="1:11" x14ac:dyDescent="0.2">
      <c r="A51" s="3">
        <f>Data!A51</f>
        <v>39507</v>
      </c>
      <c r="B51">
        <f>Data!E51 - Factors!AB53</f>
        <v>4.0866911003281547E-2</v>
      </c>
      <c r="C51">
        <f>Factors!Z53</f>
        <v>5.1614296512255686E-2</v>
      </c>
      <c r="D51">
        <f>Factors!J53</f>
        <v>1.2406877158998464E-2</v>
      </c>
      <c r="E51">
        <f>Factors!J53 - Factors!K53</f>
        <v>1.3329300345202411E-2</v>
      </c>
      <c r="F51">
        <f>Factors!C53</f>
        <v>1.0468660276514052E-2</v>
      </c>
      <c r="H51" cm="1">
        <f t="array" ref="H51">TREND(B15:B50, C15:F50, C51:F51, TRUE)</f>
        <v>1.4838368202110023E-2</v>
      </c>
      <c r="I51">
        <f t="shared" si="0"/>
        <v>2.6028542801171527E-2</v>
      </c>
      <c r="J51" t="str">
        <f t="shared" si="1"/>
        <v/>
      </c>
      <c r="K51" t="str">
        <f t="shared" si="2"/>
        <v/>
      </c>
    </row>
    <row r="52" spans="1:11" x14ac:dyDescent="0.2">
      <c r="A52" s="3">
        <f>Data!A52</f>
        <v>39538</v>
      </c>
      <c r="B52">
        <f>Data!E52 - Factors!AB54</f>
        <v>-1.4329799550588218E-2</v>
      </c>
      <c r="C52">
        <f>Factors!Z54</f>
        <v>-5.8527569565663851E-2</v>
      </c>
      <c r="D52">
        <f>Factors!J54</f>
        <v>-2.5935990429313827E-2</v>
      </c>
      <c r="E52">
        <f>Factors!J54 - Factors!K54</f>
        <v>-6.0066705310083401E-3</v>
      </c>
      <c r="F52">
        <f>Factors!C54</f>
        <v>2.5354082881623441E-3</v>
      </c>
      <c r="H52" cm="1">
        <f t="array" ref="H52">TREND(B16:B51, C16:F51, C52:F52, TRUE)</f>
        <v>-1.871831159686918E-2</v>
      </c>
      <c r="I52">
        <f t="shared" si="0"/>
        <v>4.3885120462809624E-3</v>
      </c>
      <c r="J52" t="str">
        <f t="shared" si="1"/>
        <v/>
      </c>
      <c r="K52" t="str">
        <f t="shared" si="2"/>
        <v/>
      </c>
    </row>
    <row r="53" spans="1:11" x14ac:dyDescent="0.2">
      <c r="A53" s="3">
        <f>Data!A53</f>
        <v>39568</v>
      </c>
      <c r="B53">
        <f>Data!E53 - Factors!AB55</f>
        <v>-1.4906110402959083E-3</v>
      </c>
      <c r="C53">
        <f>Factors!Z55</f>
        <v>-4.2916348565819606E-2</v>
      </c>
      <c r="D53">
        <f>Factors!J55</f>
        <v>9.7373502364541675E-3</v>
      </c>
      <c r="E53">
        <f>Factors!J55 - Factors!K55</f>
        <v>-4.1186373351576044E-3</v>
      </c>
      <c r="F53">
        <f>Factors!C55</f>
        <v>-8.851486875381509E-3</v>
      </c>
      <c r="H53" cm="1">
        <f t="array" ref="H53">TREND(B17:B52, C17:F52, C53:F53, TRUE)</f>
        <v>-7.9453006573412741E-3</v>
      </c>
      <c r="I53">
        <f t="shared" si="0"/>
        <v>6.4546896170453658E-3</v>
      </c>
      <c r="J53" t="str">
        <f t="shared" si="1"/>
        <v/>
      </c>
      <c r="K53" t="str">
        <f t="shared" si="2"/>
        <v/>
      </c>
    </row>
    <row r="54" spans="1:11" x14ac:dyDescent="0.2">
      <c r="A54" s="3">
        <f>Data!A54</f>
        <v>39598</v>
      </c>
      <c r="B54">
        <f>Data!E54 - Factors!AB56</f>
        <v>1.1464986713504821E-2</v>
      </c>
      <c r="C54">
        <f>Factors!Z56</f>
        <v>1.0198849068429272E-2</v>
      </c>
      <c r="D54">
        <f>Factors!J56</f>
        <v>1.8462281598387476E-2</v>
      </c>
      <c r="E54">
        <f>Factors!J56 - Factors!K56</f>
        <v>5.7464236497848376E-3</v>
      </c>
      <c r="F54">
        <f>Factors!C56</f>
        <v>-3.5194228146584461E-3</v>
      </c>
      <c r="H54" cm="1">
        <f t="array" ref="H54">TREND(B18:B53, C18:F53, C54:F54, TRUE)</f>
        <v>1.0971093854478392E-2</v>
      </c>
      <c r="I54">
        <f t="shared" si="0"/>
        <v>4.938928590264291E-4</v>
      </c>
      <c r="J54" t="str">
        <f t="shared" si="1"/>
        <v/>
      </c>
      <c r="K54" t="str">
        <f t="shared" si="2"/>
        <v/>
      </c>
    </row>
    <row r="55" spans="1:11" x14ac:dyDescent="0.2">
      <c r="A55" s="3">
        <f>Data!A55</f>
        <v>39629</v>
      </c>
      <c r="B55">
        <f>Data!E55 - Factors!AB57</f>
        <v>1.0182424592799721E-2</v>
      </c>
      <c r="C55">
        <f>Factors!Z57</f>
        <v>4.3880428652002257E-2</v>
      </c>
      <c r="D55">
        <f>Factors!J57</f>
        <v>-8.081337807452682E-3</v>
      </c>
      <c r="E55">
        <f>Factors!J57 - Factors!K57</f>
        <v>-1.8010987760349595E-3</v>
      </c>
      <c r="F55">
        <f>Factors!C57</f>
        <v>2.8254823186615319E-3</v>
      </c>
      <c r="H55" cm="1">
        <f t="array" ref="H55">TREND(B19:B54, C19:F54, C55:F55, TRUE)</f>
        <v>5.4828541473083622E-3</v>
      </c>
      <c r="I55">
        <f t="shared" si="0"/>
        <v>4.6995704454913592E-3</v>
      </c>
      <c r="J55" t="str">
        <f t="shared" si="1"/>
        <v/>
      </c>
      <c r="K55" t="str">
        <f t="shared" si="2"/>
        <v/>
      </c>
    </row>
    <row r="56" spans="1:11" x14ac:dyDescent="0.2">
      <c r="A56" s="3">
        <f>Data!A56</f>
        <v>39660</v>
      </c>
      <c r="B56">
        <f>Data!E56 - Factors!AB58</f>
        <v>-2.7922462738658171E-2</v>
      </c>
      <c r="C56">
        <f>Factors!Z58</f>
        <v>-1.2210935811540868E-2</v>
      </c>
      <c r="D56">
        <f>Factors!J58</f>
        <v>-2.6122942477532662E-2</v>
      </c>
      <c r="E56">
        <f>Factors!J58 - Factors!K58</f>
        <v>-1.7971957154108709E-2</v>
      </c>
      <c r="F56">
        <f>Factors!C58</f>
        <v>4.0942108738719618E-3</v>
      </c>
      <c r="H56" cm="1">
        <f t="array" ref="H56">TREND(B20:B55, C20:F55, C56:F56, TRUE)</f>
        <v>-1.9345484210628552E-2</v>
      </c>
      <c r="I56">
        <f t="shared" si="0"/>
        <v>-8.576978528029619E-3</v>
      </c>
      <c r="J56" t="str">
        <f t="shared" si="1"/>
        <v/>
      </c>
      <c r="K56" t="str">
        <f t="shared" si="2"/>
        <v/>
      </c>
    </row>
    <row r="57" spans="1:11" x14ac:dyDescent="0.2">
      <c r="A57" s="3">
        <f>Data!A57</f>
        <v>39689</v>
      </c>
      <c r="B57">
        <f>Data!E57 - Factors!AB59</f>
        <v>-1.3153990600262344E-2</v>
      </c>
      <c r="C57">
        <f>Factors!Z59</f>
        <v>-9.0744995077125079E-2</v>
      </c>
      <c r="D57">
        <f>Factors!J59</f>
        <v>-1.3897780726167874E-2</v>
      </c>
      <c r="E57">
        <f>Factors!J59 - Factors!K59</f>
        <v>-1.2457661602195635E-2</v>
      </c>
      <c r="F57">
        <f>Factors!C59</f>
        <v>4.9544019642231429E-3</v>
      </c>
      <c r="H57" cm="1">
        <f t="array" ref="H57">TREND(B21:B56, C21:F56, C57:F57, TRUE)</f>
        <v>-2.5608042248052968E-2</v>
      </c>
      <c r="I57">
        <f t="shared" si="0"/>
        <v>1.2454051647790624E-2</v>
      </c>
      <c r="J57" t="str">
        <f t="shared" si="1"/>
        <v/>
      </c>
      <c r="K57" t="str">
        <f t="shared" si="2"/>
        <v/>
      </c>
    </row>
    <row r="58" spans="1:11" x14ac:dyDescent="0.2">
      <c r="A58" s="3">
        <f>Data!A58</f>
        <v>39721</v>
      </c>
      <c r="B58">
        <f>Data!E58 - Factors!AB60</f>
        <v>-1.4086686970596562E-2</v>
      </c>
      <c r="C58">
        <f>Factors!Z60</f>
        <v>4.7885459904950967E-2</v>
      </c>
      <c r="D58">
        <f>Factors!J60</f>
        <v>-6.5295530508631461E-2</v>
      </c>
      <c r="E58">
        <f>Factors!J60 - Factors!K60</f>
        <v>-6.3147057827476205E-3</v>
      </c>
      <c r="F58">
        <f>Factors!C60</f>
        <v>7.8530605121940322E-3</v>
      </c>
      <c r="H58" cm="1">
        <f t="array" ref="H58">TREND(B22:B57, C22:F57, C58:F58, TRUE)</f>
        <v>-3.5473370123120839E-3</v>
      </c>
      <c r="I58">
        <f t="shared" si="0"/>
        <v>-1.0539349958284479E-2</v>
      </c>
      <c r="J58" t="str">
        <f t="shared" si="1"/>
        <v/>
      </c>
      <c r="K58" t="str">
        <f t="shared" si="2"/>
        <v/>
      </c>
    </row>
    <row r="59" spans="1:11" x14ac:dyDescent="0.2">
      <c r="A59" s="3">
        <f>Data!A59</f>
        <v>39752</v>
      </c>
      <c r="B59">
        <f>Data!E59 - Factors!AB61</f>
        <v>1.5112046362782072E-2</v>
      </c>
      <c r="C59">
        <f>Factors!Z61</f>
        <v>-0.16889603306734025</v>
      </c>
      <c r="D59">
        <f>Factors!J61</f>
        <v>-5.7196273130460606E-2</v>
      </c>
      <c r="E59">
        <f>Factors!J61 - Factors!K61</f>
        <v>2.3115465795631951E-2</v>
      </c>
      <c r="F59">
        <f>Factors!C61</f>
        <v>9.5666854248734889E-3</v>
      </c>
      <c r="H59" cm="1">
        <f t="array" ref="H59">TREND(B23:B58, C23:F58, C59:F59, TRUE)</f>
        <v>-9.9850301745366583E-3</v>
      </c>
      <c r="I59">
        <f t="shared" si="0"/>
        <v>2.5097076537318731E-2</v>
      </c>
      <c r="J59" t="str">
        <f t="shared" si="1"/>
        <v/>
      </c>
      <c r="K59" t="str">
        <f t="shared" si="2"/>
        <v/>
      </c>
    </row>
    <row r="60" spans="1:11" x14ac:dyDescent="0.2">
      <c r="A60" s="3">
        <f>Data!A60</f>
        <v>39780</v>
      </c>
      <c r="B60">
        <f>Data!E60 - Factors!AB62</f>
        <v>6.7004776575583236E-3</v>
      </c>
      <c r="C60">
        <f>Factors!Z62</f>
        <v>0.13013745941838772</v>
      </c>
      <c r="D60">
        <f>Factors!J62</f>
        <v>-2.6423082314796176E-2</v>
      </c>
      <c r="E60">
        <f>Factors!J62 - Factors!K62</f>
        <v>1.6013293299830256E-3</v>
      </c>
      <c r="F60">
        <f>Factors!C62</f>
        <v>1.2091587342423438E-2</v>
      </c>
      <c r="H60" cm="1">
        <f t="array" ref="H60">TREND(B24:B59, C24:F59, C60:F60, TRUE)</f>
        <v>1.5056429851971346E-2</v>
      </c>
      <c r="I60">
        <f t="shared" si="0"/>
        <v>-8.355952194413022E-3</v>
      </c>
      <c r="J60" t="str">
        <f t="shared" si="1"/>
        <v/>
      </c>
      <c r="K60" t="str">
        <f t="shared" si="2"/>
        <v/>
      </c>
    </row>
    <row r="61" spans="1:11" x14ac:dyDescent="0.2">
      <c r="A61" s="3">
        <f>Data!A61</f>
        <v>39813</v>
      </c>
      <c r="B61">
        <f>Data!E61 - Factors!AB63</f>
        <v>1.1075280778467311E-2</v>
      </c>
      <c r="C61">
        <f>Factors!Z63</f>
        <v>7.8234826722082929E-2</v>
      </c>
      <c r="D61">
        <f>Factors!J63</f>
        <v>-1.7190822580770204E-2</v>
      </c>
      <c r="E61">
        <f>Factors!J63 - Factors!K63</f>
        <v>-1.4831622188643534E-2</v>
      </c>
      <c r="F61">
        <f>Factors!C63</f>
        <v>5.6346381969158976E-3</v>
      </c>
      <c r="H61" cm="1">
        <f t="array" ref="H61">TREND(B25:B60, C25:F60, C61:F61, TRUE)</f>
        <v>-9.9159214128301688E-3</v>
      </c>
      <c r="I61">
        <f t="shared" si="0"/>
        <v>2.0991202191297478E-2</v>
      </c>
      <c r="J61" t="str">
        <f t="shared" si="1"/>
        <v/>
      </c>
      <c r="K61" t="str">
        <f t="shared" si="2"/>
        <v/>
      </c>
    </row>
    <row r="62" spans="1:11" x14ac:dyDescent="0.2">
      <c r="A62" s="3">
        <f>Data!A62</f>
        <v>39843</v>
      </c>
      <c r="B62">
        <f>Data!E62 - Factors!AB64</f>
        <v>-9.4248079123571138E-4</v>
      </c>
      <c r="C62">
        <f>Factors!Z64</f>
        <v>5.192449407629951E-2</v>
      </c>
      <c r="D62">
        <f>Factors!J64</f>
        <v>1.1136160111223647E-2</v>
      </c>
      <c r="E62">
        <f>Factors!J64 - Factors!K64</f>
        <v>-9.4108660552010281E-3</v>
      </c>
      <c r="F62">
        <f>Factors!C64</f>
        <v>-3.1174958924885532E-3</v>
      </c>
      <c r="H62" cm="1">
        <f t="array" ref="H62">TREND(B26:B61, C26:F61, C62:F62, TRUE)</f>
        <v>-8.8100595514909331E-4</v>
      </c>
      <c r="I62">
        <f t="shared" si="0"/>
        <v>-6.1474836086618072E-5</v>
      </c>
      <c r="J62" t="str">
        <f t="shared" si="1"/>
        <v/>
      </c>
      <c r="K62" t="str">
        <f t="shared" si="2"/>
        <v/>
      </c>
    </row>
    <row r="63" spans="1:11" x14ac:dyDescent="0.2">
      <c r="A63" s="3">
        <f>Data!A63</f>
        <v>39871</v>
      </c>
      <c r="B63">
        <f>Data!E63 - Factors!AB65</f>
        <v>-1.4340593447443872E-3</v>
      </c>
      <c r="C63">
        <f>Factors!Z65</f>
        <v>1.559519318855429E-2</v>
      </c>
      <c r="D63">
        <f>Factors!J65</f>
        <v>-2.1065470394521224E-3</v>
      </c>
      <c r="E63">
        <f>Factors!J65 - Factors!K65</f>
        <v>-7.2900244780822465E-3</v>
      </c>
      <c r="F63">
        <f>Factors!C65</f>
        <v>-1.0142416430715118E-3</v>
      </c>
      <c r="H63" cm="1">
        <f t="array" ref="H63">TREND(B27:B62, C27:F62, C63:F63, TRUE)</f>
        <v>-3.4150410243535697E-3</v>
      </c>
      <c r="I63">
        <f t="shared" si="0"/>
        <v>1.9809816796091824E-3</v>
      </c>
      <c r="J63" t="str">
        <f t="shared" si="1"/>
        <v/>
      </c>
      <c r="K63" t="str">
        <f t="shared" si="2"/>
        <v/>
      </c>
    </row>
    <row r="64" spans="1:11" x14ac:dyDescent="0.2">
      <c r="A64" s="3">
        <f>Data!A64</f>
        <v>39903</v>
      </c>
      <c r="B64">
        <f>Data!E64 - Factors!AB66</f>
        <v>-6.3546821775313234E-3</v>
      </c>
      <c r="C64">
        <f>Factors!Z66</f>
        <v>-2.4376008150097661E-2</v>
      </c>
      <c r="D64">
        <f>Factors!J66</f>
        <v>3.4840468824759441E-4</v>
      </c>
      <c r="E64">
        <f>Factors!J66 - Factors!K66</f>
        <v>-9.6086353601596564E-3</v>
      </c>
      <c r="F64">
        <f>Factors!C66</f>
        <v>5.4993866068784314E-3</v>
      </c>
      <c r="H64" cm="1">
        <f t="array" ref="H64">TREND(B28:B63, C28:F63, C64:F64, TRUE)</f>
        <v>-9.7001490187009452E-3</v>
      </c>
      <c r="I64">
        <f t="shared" si="0"/>
        <v>3.3454668411696219E-3</v>
      </c>
      <c r="J64" t="str">
        <f t="shared" si="1"/>
        <v/>
      </c>
      <c r="K64" t="str">
        <f t="shared" si="2"/>
        <v/>
      </c>
    </row>
    <row r="65" spans="1:11" x14ac:dyDescent="0.2">
      <c r="A65" s="3">
        <f>Data!A65</f>
        <v>39933</v>
      </c>
      <c r="B65">
        <f>Data!E65 - Factors!AB67</f>
        <v>-1.1532240322855714E-3</v>
      </c>
      <c r="C65">
        <f>Factors!Z67</f>
        <v>-3.3882634470005946E-2</v>
      </c>
      <c r="D65">
        <f>Factors!J67</f>
        <v>7.9822961908986301E-3</v>
      </c>
      <c r="E65">
        <f>Factors!J67 - Factors!K67</f>
        <v>-2.3014830486682403E-2</v>
      </c>
      <c r="F65">
        <f>Factors!C67</f>
        <v>-1.4725062055618299E-3</v>
      </c>
      <c r="H65" cm="1">
        <f t="array" ref="H65">TREND(B29:B64, C29:F64, C65:F65, TRUE)</f>
        <v>-2.4155638775930518E-2</v>
      </c>
      <c r="I65">
        <f t="shared" si="0"/>
        <v>2.3002414743644947E-2</v>
      </c>
      <c r="J65" t="str">
        <f t="shared" si="1"/>
        <v/>
      </c>
      <c r="K65" t="str">
        <f t="shared" si="2"/>
        <v/>
      </c>
    </row>
    <row r="66" spans="1:11" x14ac:dyDescent="0.2">
      <c r="A66" s="3">
        <f>Data!A66</f>
        <v>39962</v>
      </c>
      <c r="B66">
        <f>Data!E66 - Factors!AB68</f>
        <v>3.5300189726129139E-2</v>
      </c>
      <c r="C66">
        <f>Factors!Z68</f>
        <v>0.10242062598513835</v>
      </c>
      <c r="D66">
        <f>Factors!J68</f>
        <v>2.8634142135389284E-2</v>
      </c>
      <c r="E66">
        <f>Factors!J68 - Factors!K68</f>
        <v>-1.0694938737042081E-2</v>
      </c>
      <c r="F66">
        <f>Factors!C68</f>
        <v>1.6853459172494478E-3</v>
      </c>
      <c r="H66" cm="1">
        <f t="array" ref="H66">TREND(B30:B65, C30:F65, C66:F66, TRUE)</f>
        <v>7.6926447842682747E-3</v>
      </c>
      <c r="I66">
        <f t="shared" si="0"/>
        <v>2.7607544941860865E-2</v>
      </c>
      <c r="J66" t="str">
        <f t="shared" si="1"/>
        <v/>
      </c>
      <c r="K66" t="str">
        <f t="shared" si="2"/>
        <v/>
      </c>
    </row>
    <row r="67" spans="1:11" x14ac:dyDescent="0.2">
      <c r="A67" s="3">
        <f>Data!A67</f>
        <v>39994</v>
      </c>
      <c r="B67">
        <f>Data!E67 - Factors!AB69</f>
        <v>-1.1794631084505847E-2</v>
      </c>
      <c r="C67">
        <f>Factors!Z69</f>
        <v>-5.3790455181429109E-2</v>
      </c>
      <c r="D67">
        <f>Factors!J69</f>
        <v>4.597507104333598E-3</v>
      </c>
      <c r="E67">
        <f>Factors!J69 - Factors!K69</f>
        <v>-1.086287347218029E-2</v>
      </c>
      <c r="F67">
        <f>Factors!C69</f>
        <v>-1.598384790106766E-3</v>
      </c>
      <c r="H67" cm="1">
        <f t="array" ref="H67">TREND(B31:B66, C31:F66, C67:F67, TRUE)</f>
        <v>-9.4253420209847207E-3</v>
      </c>
      <c r="I67">
        <f t="shared" si="0"/>
        <v>-2.369289063521126E-3</v>
      </c>
      <c r="J67" t="str">
        <f t="shared" si="1"/>
        <v/>
      </c>
      <c r="K67" t="str">
        <f t="shared" si="2"/>
        <v/>
      </c>
    </row>
    <row r="68" spans="1:11" x14ac:dyDescent="0.2">
      <c r="A68" s="3">
        <f>Data!A68</f>
        <v>40025</v>
      </c>
      <c r="B68">
        <f>Data!E68 - Factors!AB70</f>
        <v>4.7626416731338939E-3</v>
      </c>
      <c r="C68">
        <f>Factors!Z70</f>
        <v>2.9681597409606075E-2</v>
      </c>
      <c r="D68">
        <f>Factors!J70</f>
        <v>1.4734159911400146E-2</v>
      </c>
      <c r="E68">
        <f>Factors!J70 - Factors!K70</f>
        <v>-1.4958338659874615E-2</v>
      </c>
      <c r="F68">
        <f>Factors!C70</f>
        <v>1.4745534209639199E-3</v>
      </c>
      <c r="H68" cm="1">
        <f t="array" ref="H68">TREND(B32:B67, C32:F67, C68:F68, TRUE)</f>
        <v>-2.9628641001955341E-3</v>
      </c>
      <c r="I68">
        <f t="shared" si="0"/>
        <v>7.725505773329428E-3</v>
      </c>
      <c r="J68" t="str">
        <f t="shared" si="1"/>
        <v/>
      </c>
      <c r="K68" t="str">
        <f t="shared" si="2"/>
        <v/>
      </c>
    </row>
    <row r="69" spans="1:11" x14ac:dyDescent="0.2">
      <c r="A69" s="3">
        <f>Data!A69</f>
        <v>40056</v>
      </c>
      <c r="B69">
        <f>Data!E69 - Factors!AB71</f>
        <v>3.5378123481093482E-3</v>
      </c>
      <c r="C69">
        <f>Factors!Z71</f>
        <v>-2.945492662473792E-3</v>
      </c>
      <c r="D69">
        <f>Factors!J71</f>
        <v>1.1457930825694573E-2</v>
      </c>
      <c r="E69">
        <f>Factors!J71 - Factors!K71</f>
        <v>-6.0643564508267023E-3</v>
      </c>
      <c r="F69">
        <f>Factors!C71</f>
        <v>3.9123301501828855E-3</v>
      </c>
      <c r="H69" cm="1">
        <f t="array" ref="H69">TREND(B33:B68, C33:F68, C69:F69, TRUE)</f>
        <v>1.5390622063788349E-3</v>
      </c>
      <c r="I69">
        <f t="shared" si="0"/>
        <v>1.9987501417305133E-3</v>
      </c>
      <c r="J69" t="str">
        <f t="shared" si="1"/>
        <v/>
      </c>
      <c r="K69" t="str">
        <f t="shared" si="2"/>
        <v/>
      </c>
    </row>
    <row r="70" spans="1:11" x14ac:dyDescent="0.2">
      <c r="A70" s="3">
        <f>Data!A70</f>
        <v>40086</v>
      </c>
      <c r="B70">
        <f>Data!E70 - Factors!AB72</f>
        <v>1.6932291632936192E-2</v>
      </c>
      <c r="C70">
        <f>Factors!Z72</f>
        <v>5.9409791944827095E-2</v>
      </c>
      <c r="D70">
        <f>Factors!J72</f>
        <v>1.6931328115874722E-2</v>
      </c>
      <c r="E70">
        <f>Factors!J72 - Factors!K72</f>
        <v>-7.5793043747116595E-3</v>
      </c>
      <c r="F70">
        <f>Factors!C72</f>
        <v>2.3885350318473275E-3</v>
      </c>
      <c r="H70" cm="1">
        <f t="array" ref="H70">TREND(B34:B69, C34:F69, C70:F70, TRUE)</f>
        <v>8.4183950789138446E-3</v>
      </c>
      <c r="I70">
        <f t="shared" ref="I70:I101" si="3">B70 - H70</f>
        <v>8.5138965540223471E-3</v>
      </c>
      <c r="J70" t="str">
        <f t="shared" ref="J70:J101" si="4">IF(OR(YEAR(A70)=2008, YEAR(A70)=2009), "", I70)</f>
        <v/>
      </c>
      <c r="K70" t="str">
        <f t="shared" ref="K70:K101" si="5">IF(OR(YEAR(A70)=2008, YEAR(A70)=2009), "", B70)</f>
        <v/>
      </c>
    </row>
    <row r="71" spans="1:11" x14ac:dyDescent="0.2">
      <c r="A71" s="3">
        <f>Data!A71</f>
        <v>40116</v>
      </c>
      <c r="B71">
        <f>Data!E71 - Factors!AB73</f>
        <v>-5.2600330414919183E-3</v>
      </c>
      <c r="C71">
        <f>Factors!Z73</f>
        <v>3.7461546095068021E-2</v>
      </c>
      <c r="D71">
        <f>Factors!J73</f>
        <v>-3.9690569861128289E-4</v>
      </c>
      <c r="E71">
        <f>Factors!J73 - Factors!K73</f>
        <v>-1.2954070660404771E-2</v>
      </c>
      <c r="F71">
        <f>Factors!C73</f>
        <v>2.2156264370218892E-3</v>
      </c>
      <c r="H71" cm="1">
        <f t="array" ref="H71">TREND(B35:B70, C35:F70, C71:F71, TRUE)</f>
        <v>-1.8560509819525468E-3</v>
      </c>
      <c r="I71">
        <f t="shared" si="3"/>
        <v>-3.4039820595393715E-3</v>
      </c>
      <c r="J71" t="str">
        <f t="shared" si="4"/>
        <v/>
      </c>
      <c r="K71" t="str">
        <f t="shared" si="5"/>
        <v/>
      </c>
    </row>
    <row r="72" spans="1:11" x14ac:dyDescent="0.2">
      <c r="A72" s="3">
        <f>Data!A72</f>
        <v>40147</v>
      </c>
      <c r="B72">
        <f>Data!E72 - Factors!AB74</f>
        <v>2.1647657747396076E-2</v>
      </c>
      <c r="C72">
        <f>Factors!Z74</f>
        <v>0.12834664498541293</v>
      </c>
      <c r="D72">
        <f>Factors!J74</f>
        <v>7.9809861968849205E-3</v>
      </c>
      <c r="E72">
        <f>Factors!J74 - Factors!K74</f>
        <v>1.8764205720722682E-3</v>
      </c>
      <c r="F72">
        <f>Factors!C74</f>
        <v>6.0899307583215379E-3</v>
      </c>
      <c r="H72" cm="1">
        <f t="array" ref="H72">TREND(B36:B71, C36:F71, C72:F72, TRUE)</f>
        <v>2.2169885073570025E-2</v>
      </c>
      <c r="I72">
        <f t="shared" si="3"/>
        <v>-5.2222732617394907E-4</v>
      </c>
      <c r="J72" t="str">
        <f t="shared" si="4"/>
        <v/>
      </c>
      <c r="K72" t="str">
        <f t="shared" si="5"/>
        <v/>
      </c>
    </row>
    <row r="73" spans="1:11" x14ac:dyDescent="0.2">
      <c r="A73" s="3">
        <f>Data!A73</f>
        <v>40178</v>
      </c>
      <c r="B73">
        <f>Data!E73 - Factors!AB75</f>
        <v>-1.3023219320867363E-2</v>
      </c>
      <c r="C73">
        <f>Factors!Z75</f>
        <v>-7.0072819443384837E-2</v>
      </c>
      <c r="D73">
        <f>Factors!J75</f>
        <v>8.092985115390583E-3</v>
      </c>
      <c r="E73">
        <f>Factors!J75 - Factors!K75</f>
        <v>-1.2419243330031193E-2</v>
      </c>
      <c r="F73">
        <f>Factors!C75</f>
        <v>-7.9601990049750215E-3</v>
      </c>
      <c r="H73" cm="1">
        <f t="array" ref="H73">TREND(B37:B72, C37:F72, C73:F73, TRUE)</f>
        <v>-1.0809694571232943E-2</v>
      </c>
      <c r="I73">
        <f t="shared" si="3"/>
        <v>-2.2135247496344202E-3</v>
      </c>
      <c r="J73" t="str">
        <f t="shared" si="4"/>
        <v/>
      </c>
      <c r="K73" t="str">
        <f t="shared" si="5"/>
        <v/>
      </c>
    </row>
    <row r="74" spans="1:11" x14ac:dyDescent="0.2">
      <c r="A74" s="3">
        <f>Data!A74</f>
        <v>40207</v>
      </c>
      <c r="B74">
        <f>Data!E74 - Factors!AB76</f>
        <v>-1.963500950850805E-2</v>
      </c>
      <c r="C74">
        <f>Factors!Z76</f>
        <v>-1.4375962879568216E-2</v>
      </c>
      <c r="D74">
        <f>Factors!J76</f>
        <v>-1.1812019209289648E-3</v>
      </c>
      <c r="E74">
        <f>Factors!J76 - Factors!K76</f>
        <v>-1.6498858759911528E-2</v>
      </c>
      <c r="F74">
        <f>Factors!C76</f>
        <v>7.6897358742895605E-3</v>
      </c>
      <c r="H74" cm="1">
        <f t="array" ref="H74">TREND(B38:B73, C38:F73, C74:F74, TRUE)</f>
        <v>-9.9577188420463016E-3</v>
      </c>
      <c r="I74">
        <f t="shared" si="3"/>
        <v>-9.6772906664617485E-3</v>
      </c>
      <c r="J74">
        <f t="shared" si="4"/>
        <v>-9.6772906664617485E-3</v>
      </c>
      <c r="K74">
        <f t="shared" si="5"/>
        <v>-1.963500950850805E-2</v>
      </c>
    </row>
    <row r="75" spans="1:11" x14ac:dyDescent="0.2">
      <c r="A75" s="3">
        <f>Data!A75</f>
        <v>40235</v>
      </c>
      <c r="B75">
        <f>Data!E75 - Factors!AB77</f>
        <v>1.5972913859152449E-3</v>
      </c>
      <c r="C75">
        <f>Factors!Z77</f>
        <v>3.36570477247502E-2</v>
      </c>
      <c r="D75">
        <f>Factors!J77</f>
        <v>1.2472976154498383E-3</v>
      </c>
      <c r="E75">
        <f>Factors!J77 - Factors!K77</f>
        <v>-4.3769582493360382E-3</v>
      </c>
      <c r="F75">
        <f>Factors!C77</f>
        <v>1.9077637690776417E-3</v>
      </c>
      <c r="H75" cm="1">
        <f t="array" ref="H75">TREND(B39:B74, C39:F74, C75:F75, TRUE)</f>
        <v>5.7743461548091018E-3</v>
      </c>
      <c r="I75">
        <f t="shared" si="3"/>
        <v>-4.1770547688938569E-3</v>
      </c>
      <c r="J75">
        <f t="shared" si="4"/>
        <v>-4.1770547688938569E-3</v>
      </c>
      <c r="K75">
        <f t="shared" si="5"/>
        <v>1.5972913859152449E-3</v>
      </c>
    </row>
    <row r="76" spans="1:11" x14ac:dyDescent="0.2">
      <c r="A76" s="3">
        <f>Data!A76</f>
        <v>40268</v>
      </c>
      <c r="B76">
        <f>Data!E76 - Factors!AB78</f>
        <v>1.5849567639139917E-2</v>
      </c>
      <c r="C76">
        <f>Factors!Z78</f>
        <v>-3.8833561502875646E-3</v>
      </c>
      <c r="D76">
        <f>Factors!J78</f>
        <v>1.5559272311045147E-2</v>
      </c>
      <c r="E76">
        <f>Factors!J78 - Factors!K78</f>
        <v>-6.4636733003187175E-4</v>
      </c>
      <c r="F76">
        <f>Factors!C78</f>
        <v>-2.5664376190082105E-3</v>
      </c>
      <c r="H76" cm="1">
        <f t="array" ref="H76">TREND(B40:B75, C40:F75, C76:F76, TRUE)</f>
        <v>8.8359869001214154E-3</v>
      </c>
      <c r="I76">
        <f t="shared" si="3"/>
        <v>7.0135807390185011E-3</v>
      </c>
      <c r="J76">
        <f t="shared" si="4"/>
        <v>7.0135807390185011E-3</v>
      </c>
      <c r="K76">
        <f t="shared" si="5"/>
        <v>1.5849567639139917E-2</v>
      </c>
    </row>
    <row r="77" spans="1:11" x14ac:dyDescent="0.2">
      <c r="A77" s="3">
        <f>Data!A77</f>
        <v>40298</v>
      </c>
      <c r="B77">
        <f>Data!E77 - Factors!AB79</f>
        <v>8.0716412240007251E-3</v>
      </c>
      <c r="C77">
        <f>Factors!Z79</f>
        <v>5.9088255108915355E-2</v>
      </c>
      <c r="D77">
        <f>Factors!J79</f>
        <v>8.7067818642223571E-3</v>
      </c>
      <c r="E77">
        <f>Factors!J79 - Factors!K79</f>
        <v>-5.190765947365561E-3</v>
      </c>
      <c r="F77">
        <f>Factors!C79</f>
        <v>2.7805444887116781E-3</v>
      </c>
      <c r="H77" cm="1">
        <f t="array" ref="H77">TREND(B41:B76, C41:F76, C77:F77, TRUE)</f>
        <v>1.0276884756294798E-2</v>
      </c>
      <c r="I77">
        <f t="shared" si="3"/>
        <v>-2.2052435322940725E-3</v>
      </c>
      <c r="J77">
        <f t="shared" si="4"/>
        <v>-2.2052435322940725E-3</v>
      </c>
      <c r="K77">
        <f t="shared" si="5"/>
        <v>8.0716412240007251E-3</v>
      </c>
    </row>
    <row r="78" spans="1:11" x14ac:dyDescent="0.2">
      <c r="A78" s="3">
        <f>Data!A78</f>
        <v>40329</v>
      </c>
      <c r="B78">
        <f>Data!E78 - Factors!AB80</f>
        <v>-1.5987796100666807E-2</v>
      </c>
      <c r="C78">
        <f>Factors!Z80</f>
        <v>3.161073085502486E-2</v>
      </c>
      <c r="D78">
        <f>Factors!J80</f>
        <v>-2.299986753860217E-2</v>
      </c>
      <c r="E78">
        <f>Factors!J80 - Factors!K80</f>
        <v>-5.10550524466169E-3</v>
      </c>
      <c r="F78">
        <f>Factors!C80</f>
        <v>4.5524148491495886E-3</v>
      </c>
      <c r="H78" cm="1">
        <f t="array" ref="H78">TREND(B42:B77, C42:F77, C78:F78, TRUE)</f>
        <v>-1.326823470642992E-3</v>
      </c>
      <c r="I78">
        <f t="shared" si="3"/>
        <v>-1.4660972630023816E-2</v>
      </c>
      <c r="J78">
        <f t="shared" si="4"/>
        <v>-1.4660972630023816E-2</v>
      </c>
      <c r="K78">
        <f t="shared" si="5"/>
        <v>-1.5987796100666807E-2</v>
      </c>
    </row>
    <row r="79" spans="1:11" x14ac:dyDescent="0.2">
      <c r="A79" s="3">
        <f>Data!A79</f>
        <v>40359</v>
      </c>
      <c r="B79">
        <f>Data!E79 - Factors!AB81</f>
        <v>-1.2637729322501068E-3</v>
      </c>
      <c r="C79">
        <f>Factors!Z81</f>
        <v>2.1442078434596779E-2</v>
      </c>
      <c r="D79">
        <f>Factors!J81</f>
        <v>-1.0224874718030352E-2</v>
      </c>
      <c r="E79">
        <f>Factors!J81 - Factors!K81</f>
        <v>-1.3880931583502343E-2</v>
      </c>
      <c r="F79">
        <f>Factors!C81</f>
        <v>4.6553784039879975E-3</v>
      </c>
      <c r="H79" cm="1">
        <f t="array" ref="H79">TREND(B43:B78, C43:F78, C79:F79, TRUE)</f>
        <v>-7.8000850737619098E-3</v>
      </c>
      <c r="I79">
        <f t="shared" si="3"/>
        <v>6.536312141511803E-3</v>
      </c>
      <c r="J79">
        <f t="shared" si="4"/>
        <v>6.536312141511803E-3</v>
      </c>
      <c r="K79">
        <f t="shared" si="5"/>
        <v>-1.2637729322501068E-3</v>
      </c>
    </row>
    <row r="80" spans="1:11" x14ac:dyDescent="0.2">
      <c r="A80" s="3">
        <f>Data!A80</f>
        <v>40389</v>
      </c>
      <c r="B80">
        <f>Data!E80 - Factors!AB82</f>
        <v>-8.3186414711855505E-4</v>
      </c>
      <c r="C80">
        <f>Factors!Z82</f>
        <v>-4.9405173940340386E-2</v>
      </c>
      <c r="D80">
        <f>Factors!J82</f>
        <v>6.445471881599607E-3</v>
      </c>
      <c r="E80">
        <f>Factors!J82 - Factors!K82</f>
        <v>-1.0569480096350059E-2</v>
      </c>
      <c r="F80">
        <f>Factors!C82</f>
        <v>2.6654637906995404E-3</v>
      </c>
      <c r="H80" cm="1">
        <f t="array" ref="H80">TREND(B44:B79, C44:F79, C80:F80, TRUE)</f>
        <v>-5.2711322758218788E-3</v>
      </c>
      <c r="I80">
        <f t="shared" si="3"/>
        <v>4.4392681287033237E-3</v>
      </c>
      <c r="J80">
        <f t="shared" si="4"/>
        <v>4.4392681287033237E-3</v>
      </c>
      <c r="K80">
        <f t="shared" si="5"/>
        <v>-8.3186414711855505E-4</v>
      </c>
    </row>
    <row r="81" spans="1:11" x14ac:dyDescent="0.2">
      <c r="A81" s="3">
        <f>Data!A81</f>
        <v>40421</v>
      </c>
      <c r="B81">
        <f>Data!E81 - Factors!AB83</f>
        <v>1.6786382415671763E-2</v>
      </c>
      <c r="C81">
        <f>Factors!Z83</f>
        <v>5.6223539373412512E-2</v>
      </c>
      <c r="D81">
        <f>Factors!J83</f>
        <v>1.4777954820992534E-3</v>
      </c>
      <c r="E81">
        <f>Factors!J83 - Factors!K83</f>
        <v>-6.7100306840071067E-3</v>
      </c>
      <c r="F81">
        <f>Factors!C83</f>
        <v>1.9631098932559876E-3</v>
      </c>
      <c r="H81" cm="1">
        <f t="array" ref="H81">TREND(B45:B80, C45:F80, C81:F81, TRUE)</f>
        <v>6.0230343260898843E-3</v>
      </c>
      <c r="I81">
        <f t="shared" si="3"/>
        <v>1.0763348089581879E-2</v>
      </c>
      <c r="J81">
        <f t="shared" si="4"/>
        <v>1.0763348089581879E-2</v>
      </c>
      <c r="K81">
        <f t="shared" si="5"/>
        <v>1.6786382415671763E-2</v>
      </c>
    </row>
    <row r="82" spans="1:11" x14ac:dyDescent="0.2">
      <c r="A82" s="3">
        <f>Data!A82</f>
        <v>40451</v>
      </c>
      <c r="B82">
        <f>Data!E82 - Factors!AB84</f>
        <v>2.7248533923662999E-2</v>
      </c>
      <c r="C82">
        <f>Factors!Z84</f>
        <v>4.9013949013948954E-2</v>
      </c>
      <c r="D82">
        <f>Factors!J84</f>
        <v>1.9913805509131688E-2</v>
      </c>
      <c r="E82">
        <f>Factors!J84 - Factors!K84</f>
        <v>3.5992978396723885E-3</v>
      </c>
      <c r="F82">
        <f>Factors!C84</f>
        <v>1.714355687987279E-3</v>
      </c>
      <c r="H82" cm="1">
        <f t="array" ref="H82">TREND(B46:B81, C46:F81, C82:F82, TRUE)</f>
        <v>2.2615680678935057E-2</v>
      </c>
      <c r="I82">
        <f t="shared" si="3"/>
        <v>4.632853244727942E-3</v>
      </c>
      <c r="J82">
        <f t="shared" si="4"/>
        <v>4.632853244727942E-3</v>
      </c>
      <c r="K82">
        <f t="shared" si="5"/>
        <v>2.7248533923662999E-2</v>
      </c>
    </row>
    <row r="83" spans="1:11" x14ac:dyDescent="0.2">
      <c r="A83" s="3">
        <f>Data!A83</f>
        <v>40480</v>
      </c>
      <c r="B83">
        <f>Data!E83 - Factors!AB85</f>
        <v>2.2203811201051193E-2</v>
      </c>
      <c r="C83">
        <f>Factors!Z85</f>
        <v>3.8867745731884451E-2</v>
      </c>
      <c r="D83">
        <f>Factors!J85</f>
        <v>1.387358691908358E-2</v>
      </c>
      <c r="E83">
        <f>Factors!J85 - Factors!K85</f>
        <v>-1.7340740810456445E-3</v>
      </c>
      <c r="F83">
        <f>Factors!C85</f>
        <v>2.281895603276185E-3</v>
      </c>
      <c r="H83" cm="1">
        <f t="array" ref="H83">TREND(B47:B82, C47:F82, C83:F83, TRUE)</f>
        <v>1.5088403231849401E-2</v>
      </c>
      <c r="I83">
        <f t="shared" si="3"/>
        <v>7.1154079692017924E-3</v>
      </c>
      <c r="J83">
        <f t="shared" si="4"/>
        <v>7.1154079692017924E-3</v>
      </c>
      <c r="K83">
        <f t="shared" si="5"/>
        <v>2.2203811201051193E-2</v>
      </c>
    </row>
    <row r="84" spans="1:11" x14ac:dyDescent="0.2">
      <c r="A84" s="3">
        <f>Data!A84</f>
        <v>40512</v>
      </c>
      <c r="B84">
        <f>Data!E84 - Factors!AB86</f>
        <v>-9.2671775500139386E-3</v>
      </c>
      <c r="C84">
        <f>Factors!Z86</f>
        <v>1.9729292334853543E-2</v>
      </c>
      <c r="D84">
        <f>Factors!J86</f>
        <v>-1.8671455939112125E-4</v>
      </c>
      <c r="E84">
        <f>Factors!J86 - Factors!K86</f>
        <v>-4.8239227650591632E-3</v>
      </c>
      <c r="F84">
        <f>Factors!C86</f>
        <v>-1.8701467658658322E-3</v>
      </c>
      <c r="H84" cm="1">
        <f t="array" ref="H84">TREND(B48:B83, C48:F83, C84:F84, TRUE)</f>
        <v>3.9478979380559781E-3</v>
      </c>
      <c r="I84">
        <f t="shared" si="3"/>
        <v>-1.3215075488069918E-2</v>
      </c>
      <c r="J84">
        <f t="shared" si="4"/>
        <v>-1.3215075488069918E-2</v>
      </c>
      <c r="K84">
        <f t="shared" si="5"/>
        <v>-9.2671775500139386E-3</v>
      </c>
    </row>
    <row r="85" spans="1:11" x14ac:dyDescent="0.2">
      <c r="A85" s="3">
        <f>Data!A85</f>
        <v>40543</v>
      </c>
      <c r="B85">
        <f>Data!E85 - Factors!AB87</f>
        <v>3.3187395288934551E-2</v>
      </c>
      <c r="C85">
        <f>Factors!Z87</f>
        <v>2.5378367070162167E-2</v>
      </c>
      <c r="D85">
        <f>Factors!J87</f>
        <v>2.1734780853239322E-2</v>
      </c>
      <c r="E85">
        <f>Factors!J87 - Factors!K87</f>
        <v>1.1061618089067693E-2</v>
      </c>
      <c r="F85">
        <f>Factors!C87</f>
        <v>-1.9551138446498584E-3</v>
      </c>
      <c r="H85" cm="1">
        <f t="array" ref="H85">TREND(B49:B84, C49:F84, C85:F85, TRUE)</f>
        <v>2.7868961626373815E-2</v>
      </c>
      <c r="I85">
        <f t="shared" si="3"/>
        <v>5.3184336625607363E-3</v>
      </c>
      <c r="J85">
        <f t="shared" si="4"/>
        <v>5.3184336625607363E-3</v>
      </c>
      <c r="K85">
        <f t="shared" si="5"/>
        <v>3.3187395288934551E-2</v>
      </c>
    </row>
    <row r="86" spans="1:11" x14ac:dyDescent="0.2">
      <c r="A86" s="3">
        <f>Data!A86</f>
        <v>40574</v>
      </c>
      <c r="B86">
        <f>Data!E86 - Factors!AB88</f>
        <v>-7.2646312546593705E-3</v>
      </c>
      <c r="C86">
        <f>Factors!Z88</f>
        <v>-6.2424370339102309E-2</v>
      </c>
      <c r="D86">
        <f>Factors!J88</f>
        <v>2.5613937636308481E-3</v>
      </c>
      <c r="E86">
        <f>Factors!J88 - Factors!K88</f>
        <v>-8.8929202417624698E-3</v>
      </c>
      <c r="F86">
        <f>Factors!C88</f>
        <v>1.5916418397745602E-3</v>
      </c>
      <c r="H86" cm="1">
        <f t="array" ref="H86">TREND(B50:B85, C50:F85, C86:F86, TRUE)</f>
        <v>-3.1452712938782514E-3</v>
      </c>
      <c r="I86">
        <f t="shared" si="3"/>
        <v>-4.1193599607811191E-3</v>
      </c>
      <c r="J86">
        <f t="shared" si="4"/>
        <v>-4.1193599607811191E-3</v>
      </c>
      <c r="K86">
        <f t="shared" si="5"/>
        <v>-7.2646312546593705E-3</v>
      </c>
    </row>
    <row r="87" spans="1:11" x14ac:dyDescent="0.2">
      <c r="A87" s="3">
        <f>Data!A87</f>
        <v>40602</v>
      </c>
      <c r="B87">
        <f>Data!E87 - Factors!AB89</f>
        <v>1.2596517393219875E-2</v>
      </c>
      <c r="C87">
        <f>Factors!Z89</f>
        <v>5.9024364621399039E-2</v>
      </c>
      <c r="D87">
        <f>Factors!J89</f>
        <v>8.9363873758778745E-3</v>
      </c>
      <c r="E87">
        <f>Factors!J89 - Factors!K89</f>
        <v>-1.4079908037456512E-4</v>
      </c>
      <c r="F87">
        <f>Factors!C89</f>
        <v>-9.3716893488704489E-4</v>
      </c>
      <c r="H87" cm="1">
        <f t="array" ref="H87">TREND(B51:B86, C51:F86, C87:F87, TRUE)</f>
        <v>1.5074996199523105E-2</v>
      </c>
      <c r="I87">
        <f t="shared" si="3"/>
        <v>-2.47847880630323E-3</v>
      </c>
      <c r="J87">
        <f t="shared" si="4"/>
        <v>-2.47847880630323E-3</v>
      </c>
      <c r="K87">
        <f t="shared" si="5"/>
        <v>1.2596517393219875E-2</v>
      </c>
    </row>
    <row r="88" spans="1:11" x14ac:dyDescent="0.2">
      <c r="A88" s="3">
        <f>Data!A88</f>
        <v>40633</v>
      </c>
      <c r="B88">
        <f>Data!E88 - Factors!AB90</f>
        <v>-1.1061941426263378E-2</v>
      </c>
      <c r="C88">
        <f>Factors!Z90</f>
        <v>1.478746997513003E-2</v>
      </c>
      <c r="D88">
        <f>Factors!J90</f>
        <v>-6.9007107654817101E-4</v>
      </c>
      <c r="E88">
        <f>Factors!J90 - Factors!K90</f>
        <v>-3.546865812682376E-3</v>
      </c>
      <c r="F88">
        <f>Factors!C90</f>
        <v>-4.8941637097765778E-4</v>
      </c>
      <c r="H88" cm="1">
        <f t="array" ref="H88">TREND(B52:B87, C52:F87, C88:F88, TRUE)</f>
        <v>4.3064622446569636E-3</v>
      </c>
      <c r="I88">
        <f t="shared" si="3"/>
        <v>-1.5368403670920341E-2</v>
      </c>
      <c r="J88">
        <f t="shared" si="4"/>
        <v>-1.5368403670920341E-2</v>
      </c>
      <c r="K88">
        <f t="shared" si="5"/>
        <v>-1.1061941426263378E-2</v>
      </c>
    </row>
    <row r="89" spans="1:11" x14ac:dyDescent="0.2">
      <c r="A89" s="3">
        <f>Data!A89</f>
        <v>40662</v>
      </c>
      <c r="B89">
        <f>Data!E89 - Factors!AB91</f>
        <v>2.3604093954620486E-2</v>
      </c>
      <c r="C89">
        <f>Factors!Z91</f>
        <v>9.1816785365172349E-2</v>
      </c>
      <c r="D89">
        <f>Factors!J91</f>
        <v>1.1135294881996716E-2</v>
      </c>
      <c r="E89">
        <f>Factors!J91 - Factors!K91</f>
        <v>2.869876713991415E-3</v>
      </c>
      <c r="F89">
        <f>Factors!C91</f>
        <v>4.4477088178886959E-3</v>
      </c>
      <c r="H89" cm="1">
        <f t="array" ref="H89">TREND(B53:B88, C53:F88, C89:F89, TRUE)</f>
        <v>2.4669494045310561E-2</v>
      </c>
      <c r="I89">
        <f t="shared" si="3"/>
        <v>-1.0654000906900746E-3</v>
      </c>
      <c r="J89">
        <f t="shared" si="4"/>
        <v>-1.0654000906900746E-3</v>
      </c>
      <c r="K89">
        <f t="shared" si="5"/>
        <v>2.3604093954620486E-2</v>
      </c>
    </row>
    <row r="90" spans="1:11" x14ac:dyDescent="0.2">
      <c r="A90" s="3">
        <f>Data!A90</f>
        <v>40694</v>
      </c>
      <c r="B90">
        <f>Data!E90 - Factors!AB92</f>
        <v>-2.3066998018216212E-2</v>
      </c>
      <c r="C90">
        <f>Factors!Z92</f>
        <v>-1.789345782439089E-2</v>
      </c>
      <c r="D90">
        <f>Factors!J92</f>
        <v>-9.876820707390932E-3</v>
      </c>
      <c r="E90">
        <f>Factors!J92 - Factors!K92</f>
        <v>-1.0873187113345173E-2</v>
      </c>
      <c r="F90">
        <f>Factors!C92</f>
        <v>3.696782580435487E-3</v>
      </c>
      <c r="H90" cm="1">
        <f t="array" ref="H90">TREND(B54:B89, C54:F89, C90:F90, TRUE)</f>
        <v>-6.7923819453507318E-3</v>
      </c>
      <c r="I90">
        <f t="shared" si="3"/>
        <v>-1.627461607286548E-2</v>
      </c>
      <c r="J90">
        <f t="shared" si="4"/>
        <v>-1.627461607286548E-2</v>
      </c>
      <c r="K90">
        <f t="shared" si="5"/>
        <v>-2.3066998018216212E-2</v>
      </c>
    </row>
    <row r="91" spans="1:11" x14ac:dyDescent="0.2">
      <c r="A91" s="3">
        <f>Data!A91</f>
        <v>40724</v>
      </c>
      <c r="B91">
        <f>Data!E91 - Factors!AB93</f>
        <v>-1.7460618278639317E-2</v>
      </c>
      <c r="C91">
        <f>Factors!Z93</f>
        <v>-2.3148751074414609E-2</v>
      </c>
      <c r="D91">
        <f>Factors!J93</f>
        <v>-1.2971422260582011E-2</v>
      </c>
      <c r="E91">
        <f>Factors!J93 - Factors!K93</f>
        <v>-1.046439447679004E-2</v>
      </c>
      <c r="F91">
        <f>Factors!C93</f>
        <v>2.0237179746640521E-4</v>
      </c>
      <c r="H91" cm="1">
        <f t="array" ref="H91">TREND(B55:B90, C55:F90, C91:F91, TRUE)</f>
        <v>-1.1534822199419485E-2</v>
      </c>
      <c r="I91">
        <f t="shared" si="3"/>
        <v>-5.9257960792198326E-3</v>
      </c>
      <c r="J91">
        <f t="shared" si="4"/>
        <v>-5.9257960792198326E-3</v>
      </c>
      <c r="K91">
        <f t="shared" si="5"/>
        <v>-1.7460618278639317E-2</v>
      </c>
    </row>
    <row r="92" spans="1:11" x14ac:dyDescent="0.2">
      <c r="A92" s="3">
        <f>Data!A92</f>
        <v>40753</v>
      </c>
      <c r="B92">
        <f>Data!E92 - Factors!AB94</f>
        <v>1.6608689013653533E-2</v>
      </c>
      <c r="C92">
        <f>Factors!Z94</f>
        <v>8.4577081264123333E-2</v>
      </c>
      <c r="D92">
        <f>Factors!J94</f>
        <v>3.4010100506687291E-3</v>
      </c>
      <c r="E92">
        <f>Factors!J94 - Factors!K94</f>
        <v>3.4345024117495848E-3</v>
      </c>
      <c r="F92">
        <f>Factors!C94</f>
        <v>2.8326319197151673E-3</v>
      </c>
      <c r="H92" cm="1">
        <f t="array" ref="H92">TREND(B56:B91, C56:F91, C92:F92, TRUE)</f>
        <v>2.0422915603871931E-2</v>
      </c>
      <c r="I92">
        <f t="shared" si="3"/>
        <v>-3.8142265902183989E-3</v>
      </c>
      <c r="J92">
        <f t="shared" si="4"/>
        <v>-3.8142265902183989E-3</v>
      </c>
      <c r="K92">
        <f t="shared" si="5"/>
        <v>1.6608689013653533E-2</v>
      </c>
    </row>
    <row r="93" spans="1:11" x14ac:dyDescent="0.2">
      <c r="A93" s="3">
        <f>Data!A93</f>
        <v>40786</v>
      </c>
      <c r="B93">
        <f>Data!E93 - Factors!AB95</f>
        <v>-5.2164075416469835E-3</v>
      </c>
      <c r="C93">
        <f>Factors!Z95</f>
        <v>0.12199993853907376</v>
      </c>
      <c r="D93">
        <f>Factors!J95</f>
        <v>-2.4465804041879369E-2</v>
      </c>
      <c r="E93">
        <f>Factors!J95 - Factors!K95</f>
        <v>-2.7617308491720838E-3</v>
      </c>
      <c r="F93">
        <f>Factors!C95</f>
        <v>3.510612541360647E-3</v>
      </c>
      <c r="H93" cm="1">
        <f t="array" ref="H93">TREND(B57:B92, C57:F92, C93:F93, TRUE)</f>
        <v>3.2730636265395192E-3</v>
      </c>
      <c r="I93">
        <f t="shared" si="3"/>
        <v>-8.4894711681865031E-3</v>
      </c>
      <c r="J93">
        <f t="shared" si="4"/>
        <v>-8.4894711681865031E-3</v>
      </c>
      <c r="K93">
        <f t="shared" si="5"/>
        <v>-5.2164075416469835E-3</v>
      </c>
    </row>
    <row r="94" spans="1:11" x14ac:dyDescent="0.2">
      <c r="A94" s="3">
        <f>Data!A94</f>
        <v>40816</v>
      </c>
      <c r="B94">
        <f>Data!E94 - Factors!AB96</f>
        <v>-1.2433538373822772E-2</v>
      </c>
      <c r="C94">
        <f>Factors!Z96</f>
        <v>-0.11052011722494592</v>
      </c>
      <c r="D94">
        <f>Factors!J96</f>
        <v>-2.2738241229829148E-2</v>
      </c>
      <c r="E94">
        <f>Factors!J96 - Factors!K96</f>
        <v>-5.9400443721741025E-3</v>
      </c>
      <c r="F94">
        <f>Factors!C96</f>
        <v>-1.3671639390405721E-3</v>
      </c>
      <c r="H94" cm="1">
        <f t="array" ref="H94">TREND(B58:B93, C58:F93, C94:F94, TRUE)</f>
        <v>-1.8466137553903684E-2</v>
      </c>
      <c r="I94">
        <f t="shared" si="3"/>
        <v>6.0325991800809116E-3</v>
      </c>
      <c r="J94">
        <f t="shared" si="4"/>
        <v>6.0325991800809116E-3</v>
      </c>
      <c r="K94">
        <f t="shared" si="5"/>
        <v>-1.2433538373822772E-2</v>
      </c>
    </row>
    <row r="95" spans="1:11" x14ac:dyDescent="0.2">
      <c r="A95" s="3">
        <f>Data!A95</f>
        <v>40847</v>
      </c>
      <c r="B95">
        <f>Data!E95 - Factors!AB97</f>
        <v>-9.2932404149276282E-3</v>
      </c>
      <c r="C95">
        <f>Factors!Z97</f>
        <v>5.5986303647639124E-2</v>
      </c>
      <c r="D95">
        <f>Factors!J97</f>
        <v>7.5684685760968318E-3</v>
      </c>
      <c r="E95">
        <f>Factors!J97 - Factors!K97</f>
        <v>-5.0950981048070165E-3</v>
      </c>
      <c r="F95">
        <f>Factors!C97</f>
        <v>8.4558083350105839E-4</v>
      </c>
      <c r="H95" cm="1">
        <f t="array" ref="H95">TREND(B59:B94, C59:F94, C95:F95, TRUE)</f>
        <v>8.7979973781276925E-3</v>
      </c>
      <c r="I95">
        <f t="shared" si="3"/>
        <v>-1.8091237793055319E-2</v>
      </c>
      <c r="J95">
        <f t="shared" si="4"/>
        <v>-1.8091237793055319E-2</v>
      </c>
      <c r="K95">
        <f t="shared" si="5"/>
        <v>-9.2932404149276282E-3</v>
      </c>
    </row>
    <row r="96" spans="1:11" x14ac:dyDescent="0.2">
      <c r="A96" s="3">
        <f>Data!A96</f>
        <v>40877</v>
      </c>
      <c r="B96">
        <f>Data!E96 - Factors!AB98</f>
        <v>-6.527056965234701E-3</v>
      </c>
      <c r="C96">
        <f>Factors!Z98</f>
        <v>1.8458039307167384E-2</v>
      </c>
      <c r="D96">
        <f>Factors!J98</f>
        <v>-8.4087184938023141E-3</v>
      </c>
      <c r="E96">
        <f>Factors!J98 - Factors!K98</f>
        <v>-2.4594883000992329E-3</v>
      </c>
      <c r="F96">
        <f>Factors!C98</f>
        <v>6.0347602188604021E-4</v>
      </c>
      <c r="H96" cm="1">
        <f t="array" ref="H96">TREND(B60:B95, C60:F95, C96:F96, TRUE)</f>
        <v>-2.9504861674380144E-3</v>
      </c>
      <c r="I96">
        <f t="shared" si="3"/>
        <v>-3.5765707977966866E-3</v>
      </c>
      <c r="J96">
        <f t="shared" si="4"/>
        <v>-3.5765707977966866E-3</v>
      </c>
      <c r="K96">
        <f t="shared" si="5"/>
        <v>-6.527056965234701E-3</v>
      </c>
    </row>
    <row r="97" spans="1:11" x14ac:dyDescent="0.2">
      <c r="A97" s="3">
        <f>Data!A97</f>
        <v>40907</v>
      </c>
      <c r="B97">
        <f>Data!E97 - Factors!AB99</f>
        <v>-2.4774665427476084E-3</v>
      </c>
      <c r="C97">
        <f>Factors!Z99</f>
        <v>-0.10389669882898611</v>
      </c>
      <c r="D97">
        <f>Factors!J99</f>
        <v>-4.9091743503163476E-3</v>
      </c>
      <c r="E97">
        <f>Factors!J99 - Factors!K99</f>
        <v>-8.6996348110029986E-3</v>
      </c>
      <c r="F97">
        <f>Factors!C99</f>
        <v>4.8248964657626736E-4</v>
      </c>
      <c r="H97" cm="1">
        <f t="array" ref="H97">TREND(B61:B96, C61:F96, C97:F97, TRUE)</f>
        <v>-1.686375946175123E-2</v>
      </c>
      <c r="I97">
        <f t="shared" si="3"/>
        <v>1.4386292919003622E-2</v>
      </c>
      <c r="J97">
        <f t="shared" si="4"/>
        <v>1.4386292919003622E-2</v>
      </c>
      <c r="K97">
        <f t="shared" si="5"/>
        <v>-2.4774665427476084E-3</v>
      </c>
    </row>
    <row r="98" spans="1:11" x14ac:dyDescent="0.2">
      <c r="A98" s="3">
        <f>Data!A98</f>
        <v>40939</v>
      </c>
      <c r="B98">
        <f>Data!E98 - Factors!AB100</f>
        <v>1.2674140364055342E-2</v>
      </c>
      <c r="C98">
        <f>Factors!Z100</f>
        <v>0.1104536363113533</v>
      </c>
      <c r="D98">
        <f>Factors!J100</f>
        <v>1.57456894257475E-2</v>
      </c>
      <c r="E98">
        <f>Factors!J100 - Factors!K100</f>
        <v>-3.9926837045045627E-3</v>
      </c>
      <c r="F98">
        <f>Factors!C100</f>
        <v>1.2458304866775904E-3</v>
      </c>
      <c r="H98" cm="1">
        <f t="array" ref="H98">TREND(B62:B97, C62:F97, C98:F98, TRUE)</f>
        <v>1.9029918292649883E-2</v>
      </c>
      <c r="I98">
        <f t="shared" si="3"/>
        <v>-6.3557779285945415E-3</v>
      </c>
      <c r="J98">
        <f t="shared" si="4"/>
        <v>-6.3557779285945415E-3</v>
      </c>
      <c r="K98">
        <f t="shared" si="5"/>
        <v>1.2674140364055342E-2</v>
      </c>
    </row>
    <row r="99" spans="1:11" x14ac:dyDescent="0.2">
      <c r="A99" s="3">
        <f>Data!A99</f>
        <v>40968</v>
      </c>
      <c r="B99">
        <f>Data!E99 - Factors!AB101</f>
        <v>7.894786998136949E-3</v>
      </c>
      <c r="C99">
        <f>Factors!Z101</f>
        <v>-2.3593591750299181E-2</v>
      </c>
      <c r="D99">
        <f>Factors!J101</f>
        <v>1.3200955980328555E-2</v>
      </c>
      <c r="E99">
        <f>Factors!J101 - Factors!K101</f>
        <v>-2.5665610837164454E-3</v>
      </c>
      <c r="F99">
        <f>Factors!C101</f>
        <v>-1.4851087741830638E-3</v>
      </c>
      <c r="H99" cm="1">
        <f t="array" ref="H99">TREND(B63:B98, C63:F98, C99:F99, TRUE)</f>
        <v>9.6446214235350984E-3</v>
      </c>
      <c r="I99">
        <f t="shared" si="3"/>
        <v>-1.7498344253981495E-3</v>
      </c>
      <c r="J99">
        <f t="shared" si="4"/>
        <v>-1.7498344253981495E-3</v>
      </c>
      <c r="K99">
        <f t="shared" si="5"/>
        <v>7.894786998136949E-3</v>
      </c>
    </row>
    <row r="100" spans="1:11" x14ac:dyDescent="0.2">
      <c r="A100" s="3">
        <f>Data!A100</f>
        <v>40998</v>
      </c>
      <c r="B100">
        <f>Data!E100 - Factors!AB102</f>
        <v>-1.3289784139097427E-2</v>
      </c>
      <c r="C100">
        <f>Factors!Z102</f>
        <v>-1.6861547891275031E-2</v>
      </c>
      <c r="D100">
        <f>Factors!J102</f>
        <v>1.3742676150236832E-3</v>
      </c>
      <c r="E100">
        <f>Factors!J102 - Factors!K102</f>
        <v>-3.7818742078556955E-3</v>
      </c>
      <c r="F100">
        <f>Factors!C102</f>
        <v>-6.0296659565062249E-4</v>
      </c>
      <c r="H100" cm="1">
        <f t="array" ref="H100">TREND(B64:B99, C64:F99, C100:F100, TRUE)</f>
        <v>1.1619783628309416E-4</v>
      </c>
      <c r="I100">
        <f t="shared" si="3"/>
        <v>-1.340598197538052E-2</v>
      </c>
      <c r="J100">
        <f t="shared" si="4"/>
        <v>-1.340598197538052E-2</v>
      </c>
      <c r="K100">
        <f t="shared" si="5"/>
        <v>-1.3289784139097427E-2</v>
      </c>
    </row>
    <row r="101" spans="1:11" x14ac:dyDescent="0.2">
      <c r="A101" s="3">
        <f>Data!A101</f>
        <v>41029</v>
      </c>
      <c r="B101">
        <f>Data!E101 - Factors!AB103</f>
        <v>-5.8454730776176245E-3</v>
      </c>
      <c r="C101">
        <f>Factors!Z103</f>
        <v>-2.0381860144471631E-3</v>
      </c>
      <c r="D101">
        <f>Factors!J103</f>
        <v>-2.8145952957865372E-3</v>
      </c>
      <c r="E101">
        <f>Factors!J103 - Factors!K103</f>
        <v>-5.7231793588730095E-3</v>
      </c>
      <c r="F101">
        <f>Factors!C103</f>
        <v>2.1719893813851865E-3</v>
      </c>
      <c r="H101" cm="1">
        <f t="array" ref="H101">TREND(B65:B100, C65:F100, C101:F101, TRUE)</f>
        <v>-2.9954667942066948E-3</v>
      </c>
      <c r="I101">
        <f t="shared" si="3"/>
        <v>-2.8500062834109297E-3</v>
      </c>
      <c r="J101">
        <f t="shared" si="4"/>
        <v>-2.8500062834109297E-3</v>
      </c>
      <c r="K101">
        <f t="shared" si="5"/>
        <v>-5.8454730776176245E-3</v>
      </c>
    </row>
    <row r="102" spans="1:11" x14ac:dyDescent="0.2">
      <c r="A102" s="3">
        <f>Data!A102</f>
        <v>41060</v>
      </c>
      <c r="B102">
        <f>Data!E102 - Factors!AB104</f>
        <v>3.9323302788962788E-3</v>
      </c>
      <c r="C102">
        <f>Factors!Z104</f>
        <v>-6.2616008409671076E-2</v>
      </c>
      <c r="D102">
        <f>Factors!J104</f>
        <v>-1.1900829122259204E-2</v>
      </c>
      <c r="E102">
        <f>Factors!J104 - Factors!K104</f>
        <v>-1.356631426410071E-3</v>
      </c>
      <c r="F102">
        <f>Factors!C104</f>
        <v>4.0134853106432722E-4</v>
      </c>
      <c r="H102" cm="1">
        <f t="array" ref="H102">TREND(B66:B101, C66:F101, C102:F102, TRUE)</f>
        <v>-1.0253811769116735E-2</v>
      </c>
      <c r="I102">
        <f t="shared" ref="I102:I121" si="6">B102 - H102</f>
        <v>1.4186142048013014E-2</v>
      </c>
      <c r="J102">
        <f t="shared" ref="J102:J121" si="7">IF(OR(YEAR(A102)=2008, YEAR(A102)=2009), "", I102)</f>
        <v>1.4186142048013014E-2</v>
      </c>
      <c r="K102">
        <f t="shared" ref="K102:K121" si="8">IF(OR(YEAR(A102)=2008, YEAR(A102)=2009), "", B102)</f>
        <v>3.9323302788962788E-3</v>
      </c>
    </row>
    <row r="103" spans="1:11" x14ac:dyDescent="0.2">
      <c r="A103" s="3">
        <f>Data!A103</f>
        <v>41089</v>
      </c>
      <c r="B103">
        <f>Data!E103 - Factors!AB105</f>
        <v>-1.4253780032522867E-2</v>
      </c>
      <c r="C103">
        <f>Factors!Z105</f>
        <v>2.3671748338684129E-2</v>
      </c>
      <c r="D103">
        <f>Factors!J105</f>
        <v>-4.0606946280623557E-3</v>
      </c>
      <c r="E103">
        <f>Factors!J105 - Factors!K105</f>
        <v>-1.2886849157860869E-2</v>
      </c>
      <c r="F103">
        <f>Factors!C105</f>
        <v>-5.6166252106226722E-4</v>
      </c>
      <c r="H103" cm="1">
        <f t="array" ref="H103">TREND(B67:B102, C67:F102, C103:F103, TRUE)</f>
        <v>-1.370121810020208E-2</v>
      </c>
      <c r="I103">
        <f t="shared" si="6"/>
        <v>-5.5256193232078657E-4</v>
      </c>
      <c r="J103">
        <f t="shared" si="7"/>
        <v>-5.5256193232078657E-4</v>
      </c>
      <c r="K103">
        <f t="shared" si="8"/>
        <v>-1.4253780032522867E-2</v>
      </c>
    </row>
    <row r="104" spans="1:11" x14ac:dyDescent="0.2">
      <c r="A104" s="3">
        <f>Data!A104</f>
        <v>41121</v>
      </c>
      <c r="B104">
        <f>Data!E104 - Factors!AB106</f>
        <v>2.0036864847239544E-2</v>
      </c>
      <c r="C104">
        <f>Factors!Z106</f>
        <v>1.072334032364064E-2</v>
      </c>
      <c r="D104">
        <f>Factors!J106</f>
        <v>9.0257066089889371E-3</v>
      </c>
      <c r="E104">
        <f>Factors!J106 - Factors!K106</f>
        <v>-2.9906427809802683E-3</v>
      </c>
      <c r="F104">
        <f>Factors!C106</f>
        <v>2.408477842003931E-3</v>
      </c>
      <c r="H104" cm="1">
        <f t="array" ref="H104">TREND(B68:B103, C68:F103, C104:F104, TRUE)</f>
        <v>9.7778114480774787E-3</v>
      </c>
      <c r="I104">
        <f t="shared" si="6"/>
        <v>1.0259053399162065E-2</v>
      </c>
      <c r="J104">
        <f t="shared" si="7"/>
        <v>1.0259053399162065E-2</v>
      </c>
      <c r="K104">
        <f t="shared" si="8"/>
        <v>2.0036864847239544E-2</v>
      </c>
    </row>
    <row r="105" spans="1:11" x14ac:dyDescent="0.2">
      <c r="A105" s="3">
        <f>Data!A105</f>
        <v>41152</v>
      </c>
      <c r="B105">
        <f>Data!E105 - Factors!AB107</f>
        <v>-2.3343535743141075E-3</v>
      </c>
      <c r="C105">
        <f>Factors!Z107</f>
        <v>4.7857647189981201E-2</v>
      </c>
      <c r="D105">
        <f>Factors!J107</f>
        <v>6.6002649942331626E-3</v>
      </c>
      <c r="E105">
        <f>Factors!J107 - Factors!K107</f>
        <v>-3.9318030888184641E-3</v>
      </c>
      <c r="F105">
        <f>Factors!C107</f>
        <v>4.0044850232234808E-5</v>
      </c>
      <c r="H105" cm="1">
        <f t="array" ref="H105">TREND(B69:B104, C69:F104, C105:F105, TRUE)</f>
        <v>5.4554562426945329E-3</v>
      </c>
      <c r="I105">
        <f t="shared" si="6"/>
        <v>-7.7898098170086404E-3</v>
      </c>
      <c r="J105">
        <f t="shared" si="7"/>
        <v>-7.7898098170086404E-3</v>
      </c>
      <c r="K105">
        <f t="shared" si="8"/>
        <v>-2.3343535743141075E-3</v>
      </c>
    </row>
    <row r="106" spans="1:11" x14ac:dyDescent="0.2">
      <c r="A106" s="3">
        <f>Data!A106</f>
        <v>41180</v>
      </c>
      <c r="B106">
        <f>Data!E106 - Factors!AB108</f>
        <v>-4.0594287285733444E-4</v>
      </c>
      <c r="C106">
        <f>Factors!Z108</f>
        <v>4.7521943434701619E-2</v>
      </c>
      <c r="D106">
        <f>Factors!J108</f>
        <v>6.5387650685306831E-3</v>
      </c>
      <c r="E106">
        <f>Factors!J108 - Factors!K108</f>
        <v>-6.5924129485634975E-3</v>
      </c>
      <c r="F106">
        <f>Factors!C108</f>
        <v>8.0086493412956372E-5</v>
      </c>
      <c r="H106" cm="1">
        <f t="array" ref="H106">TREND(B70:B105, C70:F105, C106:F106, TRUE)</f>
        <v>1.3296350110551056E-3</v>
      </c>
      <c r="I106">
        <f t="shared" si="6"/>
        <v>-1.7355778839124401E-3</v>
      </c>
      <c r="J106">
        <f t="shared" si="7"/>
        <v>-1.7355778839124401E-3</v>
      </c>
      <c r="K106">
        <f t="shared" si="8"/>
        <v>-4.0594287285733444E-4</v>
      </c>
    </row>
    <row r="107" spans="1:11" x14ac:dyDescent="0.2">
      <c r="A107" s="3">
        <f>Data!A107</f>
        <v>41213</v>
      </c>
      <c r="B107">
        <f>Data!E107 - Factors!AB109</f>
        <v>-1.8425307002197577E-2</v>
      </c>
      <c r="C107">
        <f>Factors!Z109</f>
        <v>-2.9115531104528136E-2</v>
      </c>
      <c r="D107">
        <f>Factors!J109</f>
        <v>-2.0813062460760534E-3</v>
      </c>
      <c r="E107">
        <f>Factors!J109 - Factors!K109</f>
        <v>-8.5619724767274086E-3</v>
      </c>
      <c r="F107">
        <f>Factors!C109</f>
        <v>-5.6056056056053016E-4</v>
      </c>
      <c r="H107" cm="1">
        <f t="array" ref="H107">TREND(B71:B106, C71:F106, C107:F107, TRUE)</f>
        <v>-8.3636092280224995E-3</v>
      </c>
      <c r="I107">
        <f t="shared" si="6"/>
        <v>-1.0061697774175078E-2</v>
      </c>
      <c r="J107">
        <f t="shared" si="7"/>
        <v>-1.0061697774175078E-2</v>
      </c>
      <c r="K107">
        <f t="shared" si="8"/>
        <v>-1.8425307002197577E-2</v>
      </c>
    </row>
    <row r="108" spans="1:11" x14ac:dyDescent="0.2">
      <c r="A108" s="3">
        <f>Data!A108</f>
        <v>41243</v>
      </c>
      <c r="B108">
        <f>Data!E108 - Factors!AB110</f>
        <v>-7.4883754524490698E-4</v>
      </c>
      <c r="C108">
        <f>Factors!Z110</f>
        <v>-3.3010780809578089E-3</v>
      </c>
      <c r="D108">
        <f>Factors!J110</f>
        <v>4.5185292148639533E-3</v>
      </c>
      <c r="E108">
        <f>Factors!J110 - Factors!K110</f>
        <v>-1.0912606405140135E-3</v>
      </c>
      <c r="F108">
        <f>Factors!C110</f>
        <v>9.2143744241002246E-4</v>
      </c>
      <c r="H108" cm="1">
        <f t="array" ref="H108">TREND(B72:B107, C72:F107, C108:F108, TRUE)</f>
        <v>8.3415494210892262E-3</v>
      </c>
      <c r="I108">
        <f t="shared" si="6"/>
        <v>-9.0903869663341332E-3</v>
      </c>
      <c r="J108">
        <f t="shared" si="7"/>
        <v>-9.0903869663341332E-3</v>
      </c>
      <c r="K108">
        <f t="shared" si="8"/>
        <v>-7.4883754524490698E-4</v>
      </c>
    </row>
    <row r="109" spans="1:11" x14ac:dyDescent="0.2">
      <c r="A109" s="3">
        <f>Data!A109</f>
        <v>41274</v>
      </c>
      <c r="B109">
        <f>Data!E109 - Factors!AB111</f>
        <v>1.0106631164133795E-2</v>
      </c>
      <c r="C109">
        <f>Factors!Z111</f>
        <v>-2.3102444940727884E-2</v>
      </c>
      <c r="D109">
        <f>Factors!J111</f>
        <v>1.1279931639825103E-2</v>
      </c>
      <c r="E109">
        <f>Factors!J111 - Factors!K111</f>
        <v>-4.7757931271985576E-4</v>
      </c>
      <c r="F109">
        <f>Factors!C111</f>
        <v>2.8017931476131963E-4</v>
      </c>
      <c r="H109" cm="1">
        <f t="array" ref="H109">TREND(B73:B108, C73:F108, C109:F109, TRUE)</f>
        <v>1.2143479920579028E-2</v>
      </c>
      <c r="I109">
        <f t="shared" si="6"/>
        <v>-2.0368487564452337E-3</v>
      </c>
      <c r="J109">
        <f t="shared" si="7"/>
        <v>-2.0368487564452337E-3</v>
      </c>
      <c r="K109">
        <f t="shared" si="8"/>
        <v>1.0106631164133795E-2</v>
      </c>
    </row>
    <row r="110" spans="1:11" x14ac:dyDescent="0.2">
      <c r="A110" s="3">
        <f>Data!A110</f>
        <v>41305</v>
      </c>
      <c r="B110">
        <f>Data!E110 - Factors!AB112</f>
        <v>1.526979061451339E-2</v>
      </c>
      <c r="C110">
        <f>Factors!Z112</f>
        <v>-6.9537708538514043E-3</v>
      </c>
      <c r="D110">
        <f>Factors!J112</f>
        <v>2.0520075697851192E-2</v>
      </c>
      <c r="E110">
        <f>Factors!J112 - Factors!K112</f>
        <v>2.8292039105330957E-3</v>
      </c>
      <c r="F110">
        <f>Factors!C112</f>
        <v>1.6005762074344787E-4</v>
      </c>
      <c r="H110" cm="1">
        <f t="array" ref="H110">TREND(B74:B109, C74:F109, C110:F110, TRUE)</f>
        <v>2.2628767589591064E-2</v>
      </c>
      <c r="I110">
        <f t="shared" si="6"/>
        <v>-7.3589769750776746E-3</v>
      </c>
      <c r="J110">
        <f t="shared" si="7"/>
        <v>-7.3589769750776746E-3</v>
      </c>
      <c r="K110">
        <f t="shared" si="8"/>
        <v>1.526979061451339E-2</v>
      </c>
    </row>
    <row r="111" spans="1:11" x14ac:dyDescent="0.2">
      <c r="A111" s="3">
        <f>Data!A111</f>
        <v>41333</v>
      </c>
      <c r="B111">
        <f>Data!E111 - Factors!AB113</f>
        <v>-6.7914589939099823E-3</v>
      </c>
      <c r="C111">
        <f>Factors!Z113</f>
        <v>-5.0543968263509154E-2</v>
      </c>
      <c r="D111">
        <f>Factors!J113</f>
        <v>2.6238727119396454E-3</v>
      </c>
      <c r="E111">
        <f>Factors!J113 - Factors!K113</f>
        <v>-1.255256793675219E-3</v>
      </c>
      <c r="F111">
        <f>Factors!C113</f>
        <v>8.4016803360675851E-4</v>
      </c>
      <c r="H111" cm="1">
        <f t="array" ref="H111">TREND(B75:B110, C75:F110, C111:F111, TRUE)</f>
        <v>6.093936950618618E-3</v>
      </c>
      <c r="I111">
        <f t="shared" si="6"/>
        <v>-1.28853959445286E-2</v>
      </c>
      <c r="J111">
        <f t="shared" si="7"/>
        <v>-1.28853959445286E-2</v>
      </c>
      <c r="K111">
        <f t="shared" si="8"/>
        <v>-6.7914589939099823E-3</v>
      </c>
    </row>
    <row r="112" spans="1:11" x14ac:dyDescent="0.2">
      <c r="A112" s="3">
        <f>Data!A112</f>
        <v>41362</v>
      </c>
      <c r="B112">
        <f>Data!E112 - Factors!AB114</f>
        <v>3.9177536223049536E-3</v>
      </c>
      <c r="C112">
        <f>Factors!Z114</f>
        <v>1.1325580364773602E-2</v>
      </c>
      <c r="D112">
        <f>Factors!J114</f>
        <v>9.3186486452792039E-3</v>
      </c>
      <c r="E112">
        <f>Factors!J114 - Factors!K114</f>
        <v>4.8940210561854158E-4</v>
      </c>
      <c r="F112">
        <f>Factors!C114</f>
        <v>2.3984649824115856E-4</v>
      </c>
      <c r="H112" cm="1">
        <f t="array" ref="H112">TREND(B76:B111, C76:F111, C112:F112, TRUE)</f>
        <v>1.0789706335782679E-2</v>
      </c>
      <c r="I112">
        <f t="shared" si="6"/>
        <v>-6.8719527134777254E-3</v>
      </c>
      <c r="J112">
        <f t="shared" si="7"/>
        <v>-6.8719527134777254E-3</v>
      </c>
      <c r="K112">
        <f t="shared" si="8"/>
        <v>3.9177536223049536E-3</v>
      </c>
    </row>
    <row r="113" spans="1:11" x14ac:dyDescent="0.2">
      <c r="A113" s="3">
        <f>Data!A113</f>
        <v>41394</v>
      </c>
      <c r="B113">
        <f>Data!E113 - Factors!AB115</f>
        <v>6.477299538610426E-3</v>
      </c>
      <c r="C113">
        <f>Factors!Z115</f>
        <v>-7.5611893583724554E-2</v>
      </c>
      <c r="D113">
        <f>Factors!J115</f>
        <v>8.5975033639389409E-3</v>
      </c>
      <c r="E113">
        <f>Factors!J115 - Factors!K115</f>
        <v>-2.0453467356416066E-3</v>
      </c>
      <c r="F113">
        <f>Factors!C115</f>
        <v>1.039085604667811E-3</v>
      </c>
      <c r="H113" cm="1">
        <f t="array" ref="H113">TREND(B77:B112, C77:F112, C113:F113, TRUE)</f>
        <v>7.1836486569223385E-3</v>
      </c>
      <c r="I113">
        <f t="shared" si="6"/>
        <v>-7.0634911831191256E-4</v>
      </c>
      <c r="J113">
        <f t="shared" si="7"/>
        <v>-7.0634911831191256E-4</v>
      </c>
      <c r="K113">
        <f t="shared" si="8"/>
        <v>6.477299538610426E-3</v>
      </c>
    </row>
    <row r="114" spans="1:11" x14ac:dyDescent="0.2">
      <c r="A114" s="3">
        <f>Data!A114</f>
        <v>41425</v>
      </c>
      <c r="B114">
        <f>Data!E114 - Factors!AB116</f>
        <v>-1.256238989283176E-2</v>
      </c>
      <c r="C114">
        <f>Factors!Z116</f>
        <v>-6.0208165448869533E-2</v>
      </c>
      <c r="D114">
        <f>Factors!J116</f>
        <v>6.1574763744156602E-3</v>
      </c>
      <c r="E114">
        <f>Factors!J116 - Factors!K116</f>
        <v>5.5326475437509348E-3</v>
      </c>
      <c r="F114">
        <f>Factors!C116</f>
        <v>-1.4771638454167402E-3</v>
      </c>
      <c r="H114" cm="1">
        <f t="array" ref="H114">TREND(B78:B113, C78:F113, C114:F114, TRUE)</f>
        <v>1.03534363640776E-2</v>
      </c>
      <c r="I114">
        <f t="shared" si="6"/>
        <v>-2.2915826256909362E-2</v>
      </c>
      <c r="J114">
        <f t="shared" si="7"/>
        <v>-2.2915826256909362E-2</v>
      </c>
      <c r="K114">
        <f t="shared" si="8"/>
        <v>-1.256238989283176E-2</v>
      </c>
    </row>
    <row r="115" spans="1:11" x14ac:dyDescent="0.2">
      <c r="A115" s="3">
        <f>Data!A115</f>
        <v>41453</v>
      </c>
      <c r="B115">
        <f>Data!E115 - Factors!AB117</f>
        <v>-1.5689032159481475E-2</v>
      </c>
      <c r="C115">
        <f>Factors!Z117</f>
        <v>-0.11044098573281447</v>
      </c>
      <c r="D115">
        <f>Factors!J117</f>
        <v>-1.3137384469871116E-2</v>
      </c>
      <c r="E115">
        <f>Factors!J117 - Factors!K117</f>
        <v>-1.1975674863602404E-3</v>
      </c>
      <c r="F115">
        <f>Factors!C117</f>
        <v>-6.3971852384958616E-4</v>
      </c>
      <c r="H115" cm="1">
        <f t="array" ref="H115">TREND(B79:B114, C79:F114, C115:F115, TRUE)</f>
        <v>-1.202496872998907E-2</v>
      </c>
      <c r="I115">
        <f t="shared" si="6"/>
        <v>-3.6640634294924056E-3</v>
      </c>
      <c r="J115">
        <f t="shared" si="7"/>
        <v>-3.6640634294924056E-3</v>
      </c>
      <c r="K115">
        <f t="shared" si="8"/>
        <v>-1.5689032159481475E-2</v>
      </c>
    </row>
    <row r="116" spans="1:11" x14ac:dyDescent="0.2">
      <c r="A116" s="3">
        <f>Data!A116</f>
        <v>41486</v>
      </c>
      <c r="B116">
        <f>Data!E116 - Factors!AB118</f>
        <v>-6.1322387052076266E-4</v>
      </c>
      <c r="C116">
        <f>Factors!Z118</f>
        <v>7.333965152730193E-2</v>
      </c>
      <c r="D116">
        <f>Factors!J118</f>
        <v>9.1891103847112632E-3</v>
      </c>
      <c r="E116">
        <f>Factors!J118 - Factors!K118</f>
        <v>3.4419365519455791E-3</v>
      </c>
      <c r="F116">
        <f>Factors!C118</f>
        <v>1.6003200640128945E-3</v>
      </c>
      <c r="H116" cm="1">
        <f t="array" ref="H116">TREND(B80:B115, C80:F115, C116:F116, TRUE)</f>
        <v>1.6718674305966366E-2</v>
      </c>
      <c r="I116">
        <f t="shared" si="6"/>
        <v>-1.7331898176487129E-2</v>
      </c>
      <c r="J116">
        <f t="shared" si="7"/>
        <v>-1.7331898176487129E-2</v>
      </c>
      <c r="K116">
        <f t="shared" si="8"/>
        <v>-6.1322387052076266E-4</v>
      </c>
    </row>
    <row r="117" spans="1:11" x14ac:dyDescent="0.2">
      <c r="A117" s="3">
        <f>Data!A117</f>
        <v>41516</v>
      </c>
      <c r="B117">
        <f>Data!E117 - Factors!AB119</f>
        <v>-1.0876732834084302E-2</v>
      </c>
      <c r="C117">
        <f>Factors!Z119</f>
        <v>5.2978333220131901E-2</v>
      </c>
      <c r="D117">
        <f>Factors!J119</f>
        <v>-6.9632203176211993E-3</v>
      </c>
      <c r="E117">
        <f>Factors!J119 - Factors!K119</f>
        <v>-5.8214860073264596E-3</v>
      </c>
      <c r="F117">
        <f>Factors!C119</f>
        <v>-9.9860195725987033E-4</v>
      </c>
      <c r="H117" cm="1">
        <f t="array" ref="H117">TREND(B81:B116, C81:F116, C117:F117, TRUE)</f>
        <v>-1.0853406239740297E-2</v>
      </c>
      <c r="I117">
        <f t="shared" si="6"/>
        <v>-2.3326594344005164E-5</v>
      </c>
      <c r="J117">
        <f t="shared" si="7"/>
        <v>-2.3326594344005164E-5</v>
      </c>
      <c r="K117">
        <f t="shared" si="8"/>
        <v>-1.0876732834084302E-2</v>
      </c>
    </row>
    <row r="118" spans="1:11" x14ac:dyDescent="0.2">
      <c r="A118" s="3">
        <f>Data!A118</f>
        <v>41547</v>
      </c>
      <c r="B118">
        <f>Data!E118 - Factors!AB120</f>
        <v>-1.6629693997630701E-3</v>
      </c>
      <c r="C118">
        <f>Factors!Z120</f>
        <v>-4.7474682319551098E-2</v>
      </c>
      <c r="D118">
        <f>Factors!J120</f>
        <v>1.2089449946689035E-2</v>
      </c>
      <c r="E118">
        <f>Factors!J120 - Factors!K120</f>
        <v>1.0831444598664586E-3</v>
      </c>
      <c r="F118">
        <f>Factors!C120</f>
        <v>2.2790883646541804E-3</v>
      </c>
      <c r="H118" cm="1">
        <f t="array" ref="H118">TREND(B82:B117, C82:F117, C118:F118, TRUE)</f>
        <v>1.3196243027455751E-2</v>
      </c>
      <c r="I118">
        <f t="shared" si="6"/>
        <v>-1.4859212427218821E-2</v>
      </c>
      <c r="J118">
        <f t="shared" si="7"/>
        <v>-1.4859212427218821E-2</v>
      </c>
      <c r="K118">
        <f t="shared" si="8"/>
        <v>-1.6629693997630701E-3</v>
      </c>
    </row>
    <row r="119" spans="1:11" x14ac:dyDescent="0.2">
      <c r="A119" s="3">
        <f>Data!A119</f>
        <v>41578</v>
      </c>
      <c r="B119">
        <f>Data!E119 - Factors!AB121</f>
        <v>8.2944110470013488E-3</v>
      </c>
      <c r="C119">
        <f>Factors!Z121</f>
        <v>-4.4919979232974638E-3</v>
      </c>
      <c r="D119">
        <f>Factors!J121</f>
        <v>1.2077240762550012E-2</v>
      </c>
      <c r="E119">
        <f>Factors!J121 - Factors!K121</f>
        <v>1.0787915086685196E-3</v>
      </c>
      <c r="F119">
        <f>Factors!C121</f>
        <v>1.0372202497308525E-3</v>
      </c>
      <c r="H119" cm="1">
        <f t="array" ref="H119">TREND(B83:B118, C83:F118, C119:F119, TRUE)</f>
        <v>9.5136896190623037E-3</v>
      </c>
      <c r="I119">
        <f t="shared" si="6"/>
        <v>-1.2192785720609549E-3</v>
      </c>
      <c r="J119">
        <f t="shared" si="7"/>
        <v>-1.2192785720609549E-3</v>
      </c>
      <c r="K119">
        <f t="shared" si="8"/>
        <v>8.2944110470013488E-3</v>
      </c>
    </row>
    <row r="120" spans="1:11" x14ac:dyDescent="0.2">
      <c r="A120" s="3">
        <f>Data!A120</f>
        <v>41607</v>
      </c>
      <c r="B120">
        <f>Data!E120 - Factors!AB122</f>
        <v>5.1859124533482071E-3</v>
      </c>
      <c r="C120">
        <f>Factors!Z122</f>
        <v>-5.2688464619896291E-2</v>
      </c>
      <c r="D120">
        <f>Factors!J122</f>
        <v>1.1616239432692188E-2</v>
      </c>
      <c r="E120">
        <f>Factors!J122 - Factors!K122</f>
        <v>6.8330470174815527E-3</v>
      </c>
      <c r="F120">
        <f>Factors!C122</f>
        <v>9.5644203562739172E-4</v>
      </c>
      <c r="H120" cm="1">
        <f t="array" ref="H120">TREND(B84:B119, C84:F119, C120:F120, TRUE)</f>
        <v>1.3526981517145074E-2</v>
      </c>
      <c r="I120">
        <f t="shared" si="6"/>
        <v>-8.3410690637968667E-3</v>
      </c>
      <c r="J120">
        <f t="shared" si="7"/>
        <v>-8.3410690637968667E-3</v>
      </c>
      <c r="K120">
        <f t="shared" si="8"/>
        <v>5.1859124533482071E-3</v>
      </c>
    </row>
    <row r="121" spans="1:11" x14ac:dyDescent="0.2">
      <c r="A121" s="3">
        <f>Data!A121</f>
        <v>41639</v>
      </c>
      <c r="B121">
        <f>Data!E121 - Factors!AB123</f>
        <v>4.652574061155601E-3</v>
      </c>
      <c r="C121">
        <f>Factors!Z123</f>
        <v>-4.125743008736571E-2</v>
      </c>
      <c r="D121">
        <f>Factors!J123</f>
        <v>1.5226749450585553E-2</v>
      </c>
      <c r="E121">
        <f>Factors!J123 - Factors!K123</f>
        <v>7.5417590831057257E-3</v>
      </c>
      <c r="F121">
        <f>Factors!C123</f>
        <v>-1.3934785205239608E-3</v>
      </c>
      <c r="H121" cm="1">
        <f t="array" ref="H121">TREND(B85:B120, C85:F120, C121:F121, TRUE)</f>
        <v>1.2451590859740238E-2</v>
      </c>
      <c r="I121">
        <f t="shared" si="6"/>
        <v>-7.7990167985846365E-3</v>
      </c>
      <c r="J121">
        <f t="shared" si="7"/>
        <v>-7.7990167985846365E-3</v>
      </c>
      <c r="K121">
        <f t="shared" si="8"/>
        <v>4.652574061155601E-3</v>
      </c>
    </row>
    <row r="122" spans="1:11" x14ac:dyDescent="0.2">
      <c r="A122" s="3"/>
    </row>
    <row r="123" spans="1:11" x14ac:dyDescent="0.2">
      <c r="A123" s="3"/>
    </row>
    <row r="124" spans="1:11" x14ac:dyDescent="0.2">
      <c r="A124" s="3"/>
    </row>
  </sheetData>
  <mergeCells count="1">
    <mergeCell ref="H37:K37"/>
  </mergeCell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F76F2-967C-47A0-B33F-5A72A8404E45}">
  <sheetPr>
    <tabColor theme="9" tint="0.59999389629810485"/>
  </sheetPr>
  <dimension ref="A1:N124"/>
  <sheetViews>
    <sheetView zoomScale="79" workbookViewId="0">
      <selection activeCell="B1" sqref="B1:B1048576"/>
    </sheetView>
  </sheetViews>
  <sheetFormatPr baseColWidth="10" defaultColWidth="8.83203125" defaultRowHeight="15" x14ac:dyDescent="0.2"/>
  <cols>
    <col min="1" max="1" width="9.33203125" bestFit="1" customWidth="1"/>
    <col min="2" max="2" width="12.6640625" bestFit="1" customWidth="1"/>
    <col min="3" max="3" width="12.83203125" bestFit="1" customWidth="1"/>
    <col min="4" max="4" width="16.33203125" bestFit="1" customWidth="1"/>
    <col min="5" max="5" width="14" customWidth="1"/>
    <col min="6" max="6" width="17.5" bestFit="1" customWidth="1"/>
    <col min="7" max="9" width="12.6640625" customWidth="1"/>
    <col min="10" max="10" width="13.5" bestFit="1" customWidth="1"/>
    <col min="11" max="11" width="15.1640625" bestFit="1" customWidth="1"/>
    <col min="12" max="12" width="12.6640625" customWidth="1"/>
    <col min="13" max="13" width="20.5" bestFit="1" customWidth="1"/>
    <col min="14" max="14" width="17.6640625" bestFit="1" customWidth="1"/>
    <col min="15" max="15" width="12.6640625" bestFit="1" customWidth="1"/>
    <col min="16" max="16" width="14.6640625" bestFit="1" customWidth="1"/>
    <col min="17" max="17" width="12.6640625" bestFit="1" customWidth="1"/>
    <col min="18" max="18" width="12" bestFit="1" customWidth="1"/>
    <col min="19" max="19" width="13.6640625" bestFit="1" customWidth="1"/>
    <col min="20" max="20" width="12.6640625" bestFit="1" customWidth="1"/>
    <col min="21" max="22" width="12.83203125" bestFit="1" customWidth="1"/>
  </cols>
  <sheetData>
    <row r="1" spans="1:14" x14ac:dyDescent="0.2">
      <c r="A1" s="14" t="s">
        <v>65</v>
      </c>
      <c r="B1" s="7" t="s">
        <v>156</v>
      </c>
      <c r="C1" s="13" t="s">
        <v>16</v>
      </c>
      <c r="D1" s="13" t="s">
        <v>14</v>
      </c>
      <c r="G1" s="14" t="s">
        <v>129</v>
      </c>
      <c r="H1" s="14" t="s">
        <v>118</v>
      </c>
      <c r="I1" s="14" t="s">
        <v>130</v>
      </c>
      <c r="J1" s="14" t="s">
        <v>131</v>
      </c>
      <c r="N1" s="2"/>
    </row>
    <row r="2" spans="1:14" x14ac:dyDescent="0.2">
      <c r="A2" s="3">
        <f>Data!A2</f>
        <v>38016</v>
      </c>
      <c r="B2">
        <f>Data!F2 - Factors!AB4</f>
        <v>1.109609094035191E-2</v>
      </c>
      <c r="C2">
        <f>Factors!M4</f>
        <v>1.2326081607708428E-2</v>
      </c>
      <c r="D2">
        <f>Factors!K4</f>
        <v>1.2109999197901677E-2</v>
      </c>
      <c r="N2" s="2"/>
    </row>
    <row r="3" spans="1:14" x14ac:dyDescent="0.2">
      <c r="A3" s="3">
        <f>Data!A3</f>
        <v>38044</v>
      </c>
      <c r="B3">
        <f>Data!F3 - Factors!AB5</f>
        <v>2.3027652768311757E-2</v>
      </c>
      <c r="C3">
        <f>Factors!M5</f>
        <v>2.4775375158766044E-2</v>
      </c>
      <c r="D3">
        <f>Factors!K5</f>
        <v>5.5000077185720642E-3</v>
      </c>
    </row>
    <row r="4" spans="1:14" x14ac:dyDescent="0.2">
      <c r="A4" s="3">
        <f>Data!A4</f>
        <v>38077</v>
      </c>
      <c r="B4">
        <f>Data!F4 - Factors!AB6</f>
        <v>1.5724600743988626E-2</v>
      </c>
      <c r="C4">
        <f>Factors!M6</f>
        <v>1.7390173366180761E-2</v>
      </c>
      <c r="D4">
        <f>Factors!K6</f>
        <v>4.3299893811978851E-3</v>
      </c>
    </row>
    <row r="5" spans="1:14" x14ac:dyDescent="0.2">
      <c r="A5" s="3">
        <f>Data!A5</f>
        <v>38107</v>
      </c>
      <c r="B5">
        <f>Data!F5 - Factors!AB7</f>
        <v>-4.4654520680530441E-2</v>
      </c>
      <c r="C5">
        <f>Factors!M7</f>
        <v>-4.6496063288188449E-2</v>
      </c>
      <c r="D5">
        <f>Factors!K7</f>
        <v>-5.0599987510285827E-3</v>
      </c>
      <c r="F5" t="s">
        <v>104</v>
      </c>
    </row>
    <row r="6" spans="1:14" ht="16" thickBot="1" x14ac:dyDescent="0.25">
      <c r="A6" s="3">
        <f>Data!A6</f>
        <v>38138</v>
      </c>
      <c r="B6">
        <f>Data!F6 - Factors!AB8</f>
        <v>1.4467795353366064E-2</v>
      </c>
      <c r="C6">
        <f>Factors!M8</f>
        <v>1.6443736395469921E-2</v>
      </c>
      <c r="D6">
        <f>Factors!K8</f>
        <v>-3.449993799749862E-3</v>
      </c>
    </row>
    <row r="7" spans="1:14" x14ac:dyDescent="0.2">
      <c r="A7" s="3">
        <f>Data!A7</f>
        <v>38168</v>
      </c>
      <c r="B7">
        <f>Data!F7 - Factors!AB9</f>
        <v>-2.0867511332764987E-3</v>
      </c>
      <c r="C7">
        <f>Factors!M9</f>
        <v>-2.6148152171382444E-3</v>
      </c>
      <c r="D7">
        <f>Factors!K9</f>
        <v>1.6100010732003067E-3</v>
      </c>
      <c r="F7" s="6" t="s">
        <v>105</v>
      </c>
      <c r="G7" s="6"/>
    </row>
    <row r="8" spans="1:14" x14ac:dyDescent="0.2">
      <c r="A8" s="3">
        <f>Data!A8</f>
        <v>38198</v>
      </c>
      <c r="B8">
        <f>Data!F8 - Factors!AB10</f>
        <v>1.3772822207203328E-2</v>
      </c>
      <c r="C8">
        <f>Factors!M10</f>
        <v>1.613455314911616E-2</v>
      </c>
      <c r="D8">
        <f>Factors!K10</f>
        <v>6.5199865367921994E-3</v>
      </c>
      <c r="F8" t="s">
        <v>106</v>
      </c>
      <c r="G8">
        <v>0.97476727875150793</v>
      </c>
    </row>
    <row r="9" spans="1:14" x14ac:dyDescent="0.2">
      <c r="A9" s="3">
        <f>Data!A9</f>
        <v>38230</v>
      </c>
      <c r="B9">
        <f>Data!F9 - Factors!AB11</f>
        <v>2.2482398559264372E-2</v>
      </c>
      <c r="C9">
        <f>Factors!M11</f>
        <v>2.597651165995507E-2</v>
      </c>
      <c r="D9">
        <f>Factors!K11</f>
        <v>8.2500150848257015E-3</v>
      </c>
      <c r="F9" t="s">
        <v>107</v>
      </c>
      <c r="G9">
        <v>0.95017124772462003</v>
      </c>
    </row>
    <row r="10" spans="1:14" x14ac:dyDescent="0.2">
      <c r="A10" s="3">
        <f>Data!A10</f>
        <v>38260</v>
      </c>
      <c r="B10">
        <f>Data!F10 - Factors!AB12</f>
        <v>1.0415318178818023E-3</v>
      </c>
      <c r="C10">
        <f>Factors!M12</f>
        <v>1.5744976158673651E-3</v>
      </c>
      <c r="D10">
        <f>Factors!K12</f>
        <v>3.5599860348356493E-3</v>
      </c>
      <c r="F10" t="s">
        <v>108</v>
      </c>
      <c r="G10">
        <v>0.94931947418145113</v>
      </c>
    </row>
    <row r="11" spans="1:14" x14ac:dyDescent="0.2">
      <c r="A11" s="3">
        <f>Data!A11</f>
        <v>38289</v>
      </c>
      <c r="B11">
        <f>Data!F11 - Factors!AB13</f>
        <v>1.2832717175533359E-2</v>
      </c>
      <c r="C11">
        <f>Factors!M13</f>
        <v>1.42003546363485E-2</v>
      </c>
      <c r="D11">
        <f>Factors!K13</f>
        <v>3.1099990615002238E-3</v>
      </c>
      <c r="F11" t="s">
        <v>109</v>
      </c>
      <c r="G11">
        <v>4.6484058562443606E-3</v>
      </c>
    </row>
    <row r="12" spans="1:14" ht="16" thickBot="1" x14ac:dyDescent="0.25">
      <c r="A12" s="3">
        <f>Data!A12</f>
        <v>38321</v>
      </c>
      <c r="B12">
        <f>Data!F12 - Factors!AB14</f>
        <v>-5.9628894571248647E-3</v>
      </c>
      <c r="C12">
        <f>Factors!M14</f>
        <v>-7.0595322049834541E-3</v>
      </c>
      <c r="D12">
        <f>Factors!K14</f>
        <v>1.0670006618136441E-2</v>
      </c>
      <c r="F12" s="4" t="s">
        <v>110</v>
      </c>
      <c r="G12" s="4">
        <v>120</v>
      </c>
    </row>
    <row r="13" spans="1:14" x14ac:dyDescent="0.2">
      <c r="A13" s="3">
        <f>Data!A13</f>
        <v>38352</v>
      </c>
      <c r="B13">
        <f>Data!F13 - Factors!AB15</f>
        <v>1.0277841404314536E-2</v>
      </c>
      <c r="C13">
        <f>Factors!M15</f>
        <v>1.3768153469411848E-2</v>
      </c>
      <c r="D13">
        <f>Factors!K15</f>
        <v>7.4600061925895744E-3</v>
      </c>
    </row>
    <row r="14" spans="1:14" ht="16" thickBot="1" x14ac:dyDescent="0.25">
      <c r="A14" s="3">
        <f>Data!A14</f>
        <v>38383</v>
      </c>
      <c r="B14">
        <f>Data!F14 - Factors!AB16</f>
        <v>6.4688462830586602E-4</v>
      </c>
      <c r="C14">
        <f>Factors!M16</f>
        <v>5.4076539101497456E-3</v>
      </c>
      <c r="D14">
        <f>Factors!K16</f>
        <v>3.0099912635810355E-3</v>
      </c>
      <c r="F14" t="s">
        <v>111</v>
      </c>
    </row>
    <row r="15" spans="1:14" x14ac:dyDescent="0.2">
      <c r="A15" s="3">
        <f>Data!A15</f>
        <v>38411</v>
      </c>
      <c r="B15">
        <f>Data!F15 - Factors!AB17</f>
        <v>-7.4695158433850661E-3</v>
      </c>
      <c r="C15">
        <f>Factors!M17</f>
        <v>-7.1714246310853325E-3</v>
      </c>
      <c r="D15">
        <f>Factors!K17</f>
        <v>7.829997568413738E-3</v>
      </c>
      <c r="F15" s="5"/>
      <c r="G15" s="5" t="s">
        <v>112</v>
      </c>
      <c r="H15" s="5" t="s">
        <v>113</v>
      </c>
      <c r="I15" s="5" t="s">
        <v>114</v>
      </c>
      <c r="J15" s="5" t="s">
        <v>115</v>
      </c>
      <c r="K15" s="5" t="s">
        <v>116</v>
      </c>
    </row>
    <row r="16" spans="1:14" x14ac:dyDescent="0.2">
      <c r="A16" s="3">
        <f>Data!A16</f>
        <v>38442</v>
      </c>
      <c r="B16">
        <f>Data!F16 - Factors!AB18</f>
        <v>-5.1539433197589357E-3</v>
      </c>
      <c r="C16">
        <f>Factors!M18</f>
        <v>-4.4377508572096547E-3</v>
      </c>
      <c r="D16">
        <f>Factors!K18</f>
        <v>-3.499992680666475E-3</v>
      </c>
      <c r="F16" t="s">
        <v>117</v>
      </c>
      <c r="G16">
        <v>2</v>
      </c>
      <c r="H16">
        <v>4.8207633553133171E-2</v>
      </c>
      <c r="I16">
        <v>2.4103816776566585E-2</v>
      </c>
      <c r="J16">
        <v>1115.5209683898577</v>
      </c>
      <c r="K16">
        <v>6.3471787492333937E-77</v>
      </c>
    </row>
    <row r="17" spans="1:14" x14ac:dyDescent="0.2">
      <c r="A17" s="3">
        <f>Data!A17</f>
        <v>38471</v>
      </c>
      <c r="B17">
        <f>Data!F17 - Factors!AB19</f>
        <v>1.9528423456501187E-2</v>
      </c>
      <c r="C17">
        <f>Factors!M19</f>
        <v>2.5283828043532353E-2</v>
      </c>
      <c r="D17">
        <f>Factors!K19</f>
        <v>-8.4399998456237135E-3</v>
      </c>
      <c r="F17" t="s">
        <v>118</v>
      </c>
      <c r="G17">
        <v>117</v>
      </c>
      <c r="H17">
        <v>2.5280982095109233E-3</v>
      </c>
      <c r="I17">
        <v>2.1607677004366865E-5</v>
      </c>
    </row>
    <row r="18" spans="1:14" ht="16" thickBot="1" x14ac:dyDescent="0.25">
      <c r="A18" s="3">
        <f>Data!A18</f>
        <v>38503</v>
      </c>
      <c r="B18">
        <f>Data!F18 - Factors!AB20</f>
        <v>3.2890234520837058E-3</v>
      </c>
      <c r="C18">
        <f>Factors!M20</f>
        <v>6.918928210748021E-3</v>
      </c>
      <c r="D18">
        <f>Factors!K20</f>
        <v>-1.0400040198949023E-3</v>
      </c>
      <c r="F18" s="4" t="s">
        <v>119</v>
      </c>
      <c r="G18" s="4">
        <v>119</v>
      </c>
      <c r="H18" s="4">
        <v>5.0735731762644093E-2</v>
      </c>
      <c r="I18" s="4"/>
      <c r="J18" s="4"/>
      <c r="K18" s="4"/>
    </row>
    <row r="19" spans="1:14" ht="16" thickBot="1" x14ac:dyDescent="0.25">
      <c r="A19" s="3">
        <f>Data!A19</f>
        <v>38533</v>
      </c>
      <c r="B19">
        <f>Data!F19 - Factors!AB21</f>
        <v>8.51542047518139E-4</v>
      </c>
      <c r="C19">
        <f>Factors!M21</f>
        <v>3.6562030971027948E-3</v>
      </c>
      <c r="D19">
        <f>Factors!K21</f>
        <v>9.5900100040369196E-3</v>
      </c>
    </row>
    <row r="20" spans="1:14" x14ac:dyDescent="0.2">
      <c r="A20" s="3">
        <f>Data!A20</f>
        <v>38562</v>
      </c>
      <c r="B20">
        <f>Data!F20 - Factors!AB22</f>
        <v>-1.9395521777643143E-2</v>
      </c>
      <c r="C20">
        <f>Factors!M22</f>
        <v>-1.8193157898467094E-2</v>
      </c>
      <c r="D20">
        <f>Factors!K22</f>
        <v>1.339998793534658E-2</v>
      </c>
      <c r="F20" s="5"/>
      <c r="G20" s="5" t="s">
        <v>120</v>
      </c>
      <c r="H20" s="5" t="s">
        <v>109</v>
      </c>
      <c r="I20" s="5" t="s">
        <v>121</v>
      </c>
      <c r="J20" s="5" t="s">
        <v>122</v>
      </c>
      <c r="K20" s="5" t="s">
        <v>123</v>
      </c>
      <c r="L20" s="5" t="s">
        <v>124</v>
      </c>
      <c r="M20" s="5" t="s">
        <v>125</v>
      </c>
      <c r="N20" s="5" t="s">
        <v>126</v>
      </c>
    </row>
    <row r="21" spans="1:14" x14ac:dyDescent="0.2">
      <c r="A21" s="3">
        <f>Data!A21</f>
        <v>38595</v>
      </c>
      <c r="B21">
        <f>Data!F21 - Factors!AB23</f>
        <v>1.9822141378918579E-2</v>
      </c>
      <c r="C21">
        <f>Factors!M23</f>
        <v>2.4976539377752127E-2</v>
      </c>
      <c r="D21">
        <f>Factors!K23</f>
        <v>6.9099986116976098E-3</v>
      </c>
      <c r="F21" t="s">
        <v>127</v>
      </c>
      <c r="G21">
        <v>-1.7882792446342602E-3</v>
      </c>
      <c r="H21">
        <v>4.5700539966886953E-4</v>
      </c>
      <c r="I21">
        <v>-3.913037451920669</v>
      </c>
      <c r="J21">
        <v>1.5349522367613121E-4</v>
      </c>
      <c r="K21">
        <v>-2.6933544909938218E-3</v>
      </c>
      <c r="L21">
        <v>-8.8320399827469841E-4</v>
      </c>
      <c r="M21">
        <v>-2.6933544909938218E-3</v>
      </c>
      <c r="N21">
        <v>-8.8320399827469841E-4</v>
      </c>
    </row>
    <row r="22" spans="1:14" x14ac:dyDescent="0.2">
      <c r="A22" s="3">
        <f>Data!A22</f>
        <v>38625</v>
      </c>
      <c r="B22">
        <f>Data!F22 - Factors!AB24</f>
        <v>-6.3266938194502798E-3</v>
      </c>
      <c r="C22">
        <f>Factors!M24</f>
        <v>-5.2538911190929127E-3</v>
      </c>
      <c r="D22">
        <f>Factors!K24</f>
        <v>1.1750014089297434E-2</v>
      </c>
      <c r="F22" t="s">
        <v>16</v>
      </c>
      <c r="G22">
        <v>0.93058958924202129</v>
      </c>
      <c r="H22">
        <v>2.0662735836087201E-2</v>
      </c>
      <c r="I22">
        <v>45.037094633749255</v>
      </c>
      <c r="J22" s="10">
        <v>9.4457651218698054E-76</v>
      </c>
      <c r="K22">
        <v>0.88966812367321291</v>
      </c>
      <c r="L22">
        <v>0.97151105481082967</v>
      </c>
      <c r="M22">
        <v>0.88966812367321291</v>
      </c>
      <c r="N22">
        <v>0.97151105481082967</v>
      </c>
    </row>
    <row r="23" spans="1:14" ht="16" thickBot="1" x14ac:dyDescent="0.25">
      <c r="A23" s="3">
        <f>Data!A23</f>
        <v>38656</v>
      </c>
      <c r="B23">
        <f>Data!F23 - Factors!AB25</f>
        <v>-1.466662051025347E-2</v>
      </c>
      <c r="C23">
        <f>Factors!M25</f>
        <v>-1.2573985443629532E-2</v>
      </c>
      <c r="D23">
        <f>Factors!K25</f>
        <v>-3.5500020063405913E-3</v>
      </c>
      <c r="F23" s="4" t="s">
        <v>14</v>
      </c>
      <c r="G23" s="4">
        <v>0.15185938407298016</v>
      </c>
      <c r="H23" s="4">
        <v>3.0359997433497418E-2</v>
      </c>
      <c r="I23" s="4">
        <v>5.0019564199774118</v>
      </c>
      <c r="J23" s="12">
        <v>2.0173861059365752E-6</v>
      </c>
      <c r="K23" s="4">
        <v>9.1733000059775915E-2</v>
      </c>
      <c r="L23" s="4">
        <v>0.21198576808618441</v>
      </c>
      <c r="M23" s="4">
        <v>9.1733000059775915E-2</v>
      </c>
      <c r="N23" s="4">
        <v>0.21198576808618441</v>
      </c>
    </row>
    <row r="24" spans="1:14" x14ac:dyDescent="0.2">
      <c r="A24" s="3">
        <f>Data!A24</f>
        <v>38686</v>
      </c>
      <c r="B24">
        <f>Data!F24 - Factors!AB26</f>
        <v>-1.5948265783225501E-3</v>
      </c>
      <c r="C24">
        <f>Factors!M26</f>
        <v>1.9717784724810894E-3</v>
      </c>
      <c r="D24">
        <f>Factors!K26</f>
        <v>8.2399924131282276E-3</v>
      </c>
    </row>
    <row r="25" spans="1:14" x14ac:dyDescent="0.2">
      <c r="A25" s="3">
        <f>Data!A25</f>
        <v>38716</v>
      </c>
      <c r="B25">
        <f>Data!F25 - Factors!AB27</f>
        <v>4.5252174104537524E-3</v>
      </c>
      <c r="C25">
        <f>Factors!M27</f>
        <v>8.4798523002940218E-3</v>
      </c>
      <c r="D25">
        <f>Factors!K27</f>
        <v>1.4750003071391182E-2</v>
      </c>
    </row>
    <row r="26" spans="1:14" x14ac:dyDescent="0.2">
      <c r="A26" s="3">
        <f>Data!A26</f>
        <v>38748</v>
      </c>
      <c r="B26">
        <f>Data!F26 - Factors!AB28</f>
        <v>-2.1828451795853354E-3</v>
      </c>
      <c r="C26">
        <f>Factors!M28</f>
        <v>7.8054041780206695E-4</v>
      </c>
      <c r="D26">
        <f>Factors!K28</f>
        <v>2.1990005541465685E-2</v>
      </c>
    </row>
    <row r="27" spans="1:14" x14ac:dyDescent="0.2">
      <c r="A27" s="3">
        <f>Data!A27</f>
        <v>38776</v>
      </c>
      <c r="B27">
        <f>Data!F27 - Factors!AB29</f>
        <v>-6.1157803872965433E-3</v>
      </c>
      <c r="C27">
        <f>Factors!M29</f>
        <v>-3.4033381074605185E-3</v>
      </c>
      <c r="D27">
        <f>Factors!K29</f>
        <v>6.2299895645896441E-3</v>
      </c>
    </row>
    <row r="28" spans="1:14" x14ac:dyDescent="0.2">
      <c r="A28" s="3">
        <f>Data!A28</f>
        <v>38807</v>
      </c>
      <c r="B28">
        <f>Data!F28 - Factors!AB30</f>
        <v>-2.057989034887131E-2</v>
      </c>
      <c r="C28">
        <f>Factors!M30</f>
        <v>-2.0532449238036987E-2</v>
      </c>
      <c r="D28">
        <f>Factors!K30</f>
        <v>1.3340007882701288E-2</v>
      </c>
    </row>
    <row r="29" spans="1:14" x14ac:dyDescent="0.2">
      <c r="A29" s="3">
        <f>Data!A29</f>
        <v>38835</v>
      </c>
      <c r="B29">
        <f>Data!F29 - Factors!AB31</f>
        <v>-1.2021032472357973E-3</v>
      </c>
      <c r="C29">
        <f>Factors!M31</f>
        <v>1.0169097565237983E-4</v>
      </c>
      <c r="D29">
        <f>Factors!K31</f>
        <v>1.1150000831339657E-2</v>
      </c>
      <c r="H29" s="7" t="s">
        <v>136</v>
      </c>
      <c r="I29" s="7">
        <f>1 - SUMSQ(H38:H121) / DEVSQ(B38:B121)</f>
        <v>0.92902607580788321</v>
      </c>
    </row>
    <row r="30" spans="1:14" x14ac:dyDescent="0.2">
      <c r="A30" s="3">
        <f>Data!A30</f>
        <v>38868</v>
      </c>
      <c r="B30">
        <f>Data!F30 - Factors!AB32</f>
        <v>-1.725702350031888E-3</v>
      </c>
      <c r="C30">
        <f>Factors!M32</f>
        <v>2.1352933486338266E-3</v>
      </c>
      <c r="D30">
        <f>Factors!K32</f>
        <v>2.0399909390167448E-3</v>
      </c>
      <c r="H30" s="7" t="s">
        <v>137</v>
      </c>
      <c r="I30" s="7">
        <f>SQRT( SUMSQ(H38:H121) / COUNT(H38:H121) )</f>
        <v>6.0480920806628849E-3</v>
      </c>
    </row>
    <row r="31" spans="1:14" x14ac:dyDescent="0.2">
      <c r="A31" s="3">
        <f>Data!A31</f>
        <v>38898</v>
      </c>
      <c r="B31">
        <f>Data!F31 - Factors!AB33</f>
        <v>1.5052875097909535E-4</v>
      </c>
      <c r="C31">
        <f>Factors!M33</f>
        <v>3.594723873025174E-3</v>
      </c>
      <c r="D31">
        <f>Factors!K33</f>
        <v>5.5200083485933416E-3</v>
      </c>
      <c r="H31" s="7" t="s">
        <v>138</v>
      </c>
      <c r="I31" s="7">
        <f>1 - SUMSQ(I38:I121) / DEVSQ(J38:J121)</f>
        <v>0.98255938672822041</v>
      </c>
    </row>
    <row r="32" spans="1:14" x14ac:dyDescent="0.2">
      <c r="A32" s="3">
        <f>Data!A32</f>
        <v>38929</v>
      </c>
      <c r="B32">
        <f>Data!F32 - Factors!AB34</f>
        <v>1.0643187624292949E-2</v>
      </c>
      <c r="C32">
        <f>Factors!M34</f>
        <v>1.6696033969785473E-2</v>
      </c>
      <c r="D32">
        <f>Factors!K34</f>
        <v>4.1799913982214498E-3</v>
      </c>
    </row>
    <row r="33" spans="1:10" x14ac:dyDescent="0.2">
      <c r="A33" s="3">
        <f>Data!A33</f>
        <v>38960</v>
      </c>
      <c r="B33">
        <f>Data!F33 - Factors!AB35</f>
        <v>1.1870237635127401E-2</v>
      </c>
      <c r="C33">
        <f>Factors!M35</f>
        <v>1.8765803903741718E-2</v>
      </c>
      <c r="D33">
        <f>Factors!K35</f>
        <v>7.1100053103143601E-3</v>
      </c>
    </row>
    <row r="34" spans="1:10" x14ac:dyDescent="0.2">
      <c r="A34" s="3">
        <f>Data!A34</f>
        <v>38989</v>
      </c>
      <c r="B34">
        <f>Data!F34 - Factors!AB36</f>
        <v>-1.2218406622386269E-3</v>
      </c>
      <c r="C34">
        <f>Factors!M36</f>
        <v>2.5169072021193895E-3</v>
      </c>
      <c r="D34">
        <f>Factors!K36</f>
        <v>3.699991909853928E-3</v>
      </c>
    </row>
    <row r="35" spans="1:10" x14ac:dyDescent="0.2">
      <c r="A35" s="3">
        <f>Data!A35</f>
        <v>39021</v>
      </c>
      <c r="B35">
        <f>Data!F35 - Factors!AB37</f>
        <v>-6.0934197098991838E-3</v>
      </c>
      <c r="C35">
        <f>Factors!M37</f>
        <v>-1.5995437822950986E-3</v>
      </c>
      <c r="D35">
        <f>Factors!K37</f>
        <v>1.2270006257134147E-2</v>
      </c>
    </row>
    <row r="36" spans="1:10" x14ac:dyDescent="0.2">
      <c r="A36" s="3">
        <f>Data!A36</f>
        <v>39051</v>
      </c>
      <c r="B36">
        <f>Data!F36 - Factors!AB38</f>
        <v>7.1053826811888765E-3</v>
      </c>
      <c r="C36">
        <f>Factors!M38</f>
        <v>1.241284192782155E-2</v>
      </c>
      <c r="D36">
        <f>Factors!K38</f>
        <v>1.3730003206245955E-2</v>
      </c>
    </row>
    <row r="37" spans="1:10" x14ac:dyDescent="0.2">
      <c r="A37" s="3">
        <f>Data!A37</f>
        <v>39080</v>
      </c>
      <c r="B37">
        <f>Data!F37 - Factors!AB39</f>
        <v>-2.696569697531781E-2</v>
      </c>
      <c r="C37">
        <f>Factors!M39</f>
        <v>-2.4954762183249102E-2</v>
      </c>
      <c r="D37">
        <f>Factors!K39</f>
        <v>1.6109996488427036E-2</v>
      </c>
      <c r="G37" s="147" t="s">
        <v>139</v>
      </c>
      <c r="H37" s="147"/>
      <c r="I37" s="147"/>
      <c r="J37" s="147"/>
    </row>
    <row r="38" spans="1:10" x14ac:dyDescent="0.2">
      <c r="A38" s="3">
        <f>Data!A38</f>
        <v>39113</v>
      </c>
      <c r="B38">
        <f>Data!F38 - Factors!AB40</f>
        <v>-1.4838814816586776E-3</v>
      </c>
      <c r="C38">
        <f>Factors!M40</f>
        <v>2.3074317649383058E-3</v>
      </c>
      <c r="D38">
        <f>Factors!K40</f>
        <v>1.3668709876681673E-2</v>
      </c>
      <c r="G38" cm="1">
        <f t="array" ref="G38">TREND(B2:B37, C2:D37, C38:D38, TRUE)</f>
        <v>-3.4382345478276596E-4</v>
      </c>
      <c r="H38">
        <f t="shared" ref="H38:H69" si="0">B38 - G38</f>
        <v>-1.1400580268759117E-3</v>
      </c>
      <c r="I38">
        <f t="shared" ref="I38:I69" si="1">IF(OR(YEAR(A38)=2008, YEAR(A38)=2009), "", H38)</f>
        <v>-1.1400580268759117E-3</v>
      </c>
      <c r="J38">
        <f t="shared" ref="J38:J69" si="2">IF(OR(YEAR(A38)=2008, YEAR(A38)=2009), "", B38)</f>
        <v>-1.4838814816586776E-3</v>
      </c>
    </row>
    <row r="39" spans="1:10" x14ac:dyDescent="0.2">
      <c r="A39" s="3">
        <f>Data!A39</f>
        <v>39141</v>
      </c>
      <c r="B39">
        <f>Data!F39 - Factors!AB41</f>
        <v>1.7089465731175313E-2</v>
      </c>
      <c r="C39">
        <f>Factors!M41</f>
        <v>2.2753673183472545E-2</v>
      </c>
      <c r="D39">
        <f>Factors!K41</f>
        <v>7.5626638461523399E-3</v>
      </c>
      <c r="G39" cm="1">
        <f t="array" ref="G39">TREND(B3:B38, C3:D38, C39:D39, TRUE)</f>
        <v>1.8410324681056207E-2</v>
      </c>
      <c r="H39">
        <f t="shared" si="0"/>
        <v>-1.3208589498808938E-3</v>
      </c>
      <c r="I39">
        <f t="shared" si="1"/>
        <v>-1.3208589498808938E-3</v>
      </c>
      <c r="J39">
        <f t="shared" si="2"/>
        <v>1.7089465731175313E-2</v>
      </c>
    </row>
    <row r="40" spans="1:10" x14ac:dyDescent="0.2">
      <c r="A40" s="3">
        <f>Data!A40</f>
        <v>39171</v>
      </c>
      <c r="B40">
        <f>Data!F40 - Factors!AB42</f>
        <v>3.4742056430658863E-4</v>
      </c>
      <c r="C40">
        <f>Factors!M42</f>
        <v>3.0425055928411382E-3</v>
      </c>
      <c r="D40">
        <f>Factors!K42</f>
        <v>7.5347264703666816E-3</v>
      </c>
      <c r="G40" cm="1">
        <f t="array" ref="G40">TREND(B4:B39, C4:D39, C40:D40, TRUE)</f>
        <v>2.6072936884182114E-4</v>
      </c>
      <c r="H40">
        <f t="shared" si="0"/>
        <v>8.6691195464767487E-5</v>
      </c>
      <c r="I40">
        <f t="shared" si="1"/>
        <v>8.6691195464767487E-5</v>
      </c>
      <c r="J40">
        <f t="shared" si="2"/>
        <v>3.4742056430658863E-4</v>
      </c>
    </row>
    <row r="41" spans="1:10" x14ac:dyDescent="0.2">
      <c r="A41" s="3">
        <f>Data!A41</f>
        <v>39202</v>
      </c>
      <c r="B41">
        <f>Data!F41 - Factors!AB43</f>
        <v>3.6137696440816658E-3</v>
      </c>
      <c r="C41">
        <f>Factors!M43</f>
        <v>7.8096584475386699E-3</v>
      </c>
      <c r="D41">
        <f>Factors!K43</f>
        <v>1.4190543098566266E-2</v>
      </c>
      <c r="G41" cm="1">
        <f t="array" ref="G41">TREND(B5:B40, C5:D40, C41:D41, TRUE)</f>
        <v>4.2441415657528949E-3</v>
      </c>
      <c r="H41">
        <f t="shared" si="0"/>
        <v>-6.3037192167122915E-4</v>
      </c>
      <c r="I41">
        <f t="shared" si="1"/>
        <v>-6.3037192167122915E-4</v>
      </c>
      <c r="J41">
        <f t="shared" si="2"/>
        <v>3.6137696440816658E-3</v>
      </c>
    </row>
    <row r="42" spans="1:10" x14ac:dyDescent="0.2">
      <c r="A42" s="3">
        <f>Data!A42</f>
        <v>39233</v>
      </c>
      <c r="B42">
        <f>Data!F42 - Factors!AB44</f>
        <v>-1.8720259364302771E-2</v>
      </c>
      <c r="C42">
        <f>Factors!M44</f>
        <v>-1.6758026624902E-2</v>
      </c>
      <c r="D42">
        <f>Factors!K44</f>
        <v>1.4873412800849639E-2</v>
      </c>
      <c r="G42" cm="1">
        <f t="array" ref="G42">TREND(B6:B41, C6:D41, C42:D42, TRUE)</f>
        <v>-1.7823461325643303E-2</v>
      </c>
      <c r="H42">
        <f t="shared" si="0"/>
        <v>-8.9679803865946872E-4</v>
      </c>
      <c r="I42">
        <f t="shared" si="1"/>
        <v>-8.9679803865946872E-4</v>
      </c>
      <c r="J42">
        <f t="shared" si="2"/>
        <v>-1.8720259364302771E-2</v>
      </c>
    </row>
    <row r="43" spans="1:10" x14ac:dyDescent="0.2">
      <c r="A43" s="3">
        <f>Data!A43</f>
        <v>39262</v>
      </c>
      <c r="B43">
        <f>Data!F43 - Factors!AB45</f>
        <v>-5.6159440627415735E-3</v>
      </c>
      <c r="C43">
        <f>Factors!M45</f>
        <v>-2.3823704586062311E-3</v>
      </c>
      <c r="D43">
        <f>Factors!K45</f>
        <v>5.6216336303123171E-3</v>
      </c>
      <c r="G43" cm="1">
        <f t="array" ref="G43">TREND(B7:B42, C7:D42, C43:D43, TRUE)</f>
        <v>-4.627481525359964E-3</v>
      </c>
      <c r="H43">
        <f t="shared" si="0"/>
        <v>-9.8846253738160954E-4</v>
      </c>
      <c r="I43">
        <f t="shared" si="1"/>
        <v>-9.8846253738160954E-4</v>
      </c>
      <c r="J43">
        <f t="shared" si="2"/>
        <v>-5.6159440627415735E-3</v>
      </c>
    </row>
    <row r="44" spans="1:10" x14ac:dyDescent="0.2">
      <c r="A44" s="3">
        <f>Data!A44</f>
        <v>39294</v>
      </c>
      <c r="B44">
        <f>Data!F44 - Factors!AB46</f>
        <v>1.9022065056875759E-2</v>
      </c>
      <c r="C44">
        <f>Factors!M46</f>
        <v>2.3700104130510047E-2</v>
      </c>
      <c r="D44">
        <f>Factors!K46</f>
        <v>-5.8038811087262054E-3</v>
      </c>
      <c r="G44" cm="1">
        <f t="array" ref="G44">TREND(B8:B43, C8:D43, C44:D44, TRUE)</f>
        <v>1.890654625157184E-2</v>
      </c>
      <c r="H44">
        <f t="shared" si="0"/>
        <v>1.1551880530391925E-4</v>
      </c>
      <c r="I44">
        <f t="shared" si="1"/>
        <v>1.1551880530391925E-4</v>
      </c>
      <c r="J44">
        <f t="shared" si="2"/>
        <v>1.9022065056875759E-2</v>
      </c>
    </row>
    <row r="45" spans="1:10" x14ac:dyDescent="0.2">
      <c r="A45" s="3">
        <f>Data!A45</f>
        <v>39325</v>
      </c>
      <c r="B45">
        <f>Data!F45 - Factors!AB47</f>
        <v>5.2633421729244567E-3</v>
      </c>
      <c r="C45">
        <f>Factors!M47</f>
        <v>1.3345630119893537E-2</v>
      </c>
      <c r="D45">
        <f>Factors!K47</f>
        <v>-6.8813849554499873E-3</v>
      </c>
      <c r="G45" cm="1">
        <f t="array" ref="G45">TREND(B9:B44, C9:D44, C45:D45, TRUE)</f>
        <v>9.5827854431966494E-3</v>
      </c>
      <c r="H45">
        <f t="shared" si="0"/>
        <v>-4.3194432702721927E-3</v>
      </c>
      <c r="I45">
        <f t="shared" si="1"/>
        <v>-4.3194432702721927E-3</v>
      </c>
      <c r="J45">
        <f t="shared" si="2"/>
        <v>5.2633421729244567E-3</v>
      </c>
    </row>
    <row r="46" spans="1:10" x14ac:dyDescent="0.2">
      <c r="A46" s="3">
        <f>Data!A46</f>
        <v>39353</v>
      </c>
      <c r="B46">
        <f>Data!F46 - Factors!AB48</f>
        <v>6.5596173542554759E-3</v>
      </c>
      <c r="C46">
        <f>Factors!M48</f>
        <v>8.8736013705232875E-3</v>
      </c>
      <c r="D46">
        <f>Factors!K48</f>
        <v>1.3501838333186411E-2</v>
      </c>
      <c r="G46" cm="1">
        <f t="array" ref="G46">TREND(B10:B45, C10:D45, C46:D46, TRUE)</f>
        <v>4.9569508220419119E-3</v>
      </c>
      <c r="H46">
        <f t="shared" si="0"/>
        <v>1.602666532213564E-3</v>
      </c>
      <c r="I46">
        <f t="shared" si="1"/>
        <v>1.602666532213564E-3</v>
      </c>
      <c r="J46">
        <f t="shared" si="2"/>
        <v>6.5596173542554759E-3</v>
      </c>
    </row>
    <row r="47" spans="1:10" x14ac:dyDescent="0.2">
      <c r="A47" s="3">
        <f>Data!A47</f>
        <v>39386</v>
      </c>
      <c r="B47">
        <f>Data!F47 - Factors!AB49</f>
        <v>1.1182572119771583E-2</v>
      </c>
      <c r="C47">
        <f>Factors!M49</f>
        <v>1.3770413510393986E-2</v>
      </c>
      <c r="D47">
        <f>Factors!K49</f>
        <v>2.100254545926461E-2</v>
      </c>
      <c r="G47" cm="1">
        <f t="array" ref="G47">TREND(B11:B46, C11:D46, C47:D47, TRUE)</f>
        <v>9.5176971613065327E-3</v>
      </c>
      <c r="H47">
        <f t="shared" si="0"/>
        <v>1.6648749584650506E-3</v>
      </c>
      <c r="I47">
        <f t="shared" si="1"/>
        <v>1.6648749584650506E-3</v>
      </c>
      <c r="J47">
        <f t="shared" si="2"/>
        <v>1.1182572119771583E-2</v>
      </c>
    </row>
    <row r="48" spans="1:10" x14ac:dyDescent="0.2">
      <c r="A48" s="3">
        <f>Data!A48</f>
        <v>39416</v>
      </c>
      <c r="B48">
        <f>Data!F48 - Factors!AB50</f>
        <v>4.014690588583858E-2</v>
      </c>
      <c r="C48">
        <f>Factors!M50</f>
        <v>4.6900558776188594E-2</v>
      </c>
      <c r="D48">
        <f>Factors!K50</f>
        <v>-5.3199225929806415E-3</v>
      </c>
      <c r="G48" cm="1">
        <f t="array" ref="G48">TREND(B12:B47, C12:D47, C48:D48, TRUE)</f>
        <v>3.8364264971418677E-2</v>
      </c>
      <c r="H48">
        <f t="shared" si="0"/>
        <v>1.7826409144199029E-3</v>
      </c>
      <c r="I48">
        <f t="shared" si="1"/>
        <v>1.7826409144199029E-3</v>
      </c>
      <c r="J48">
        <f t="shared" si="2"/>
        <v>4.014690588583858E-2</v>
      </c>
    </row>
    <row r="49" spans="1:10" x14ac:dyDescent="0.2">
      <c r="A49" s="3">
        <f>Data!A49</f>
        <v>39447</v>
      </c>
      <c r="B49">
        <f>Data!F49 - Factors!AB51</f>
        <v>-4.7841931562234707E-3</v>
      </c>
      <c r="C49">
        <f>Factors!M51</f>
        <v>-4.6936913288584403E-3</v>
      </c>
      <c r="D49">
        <f>Factors!K51</f>
        <v>6.4364700458012791E-3</v>
      </c>
      <c r="G49" cm="1">
        <f t="array" ref="G49">TREND(B13:B48, C13:D48, C49:D49, TRUE)</f>
        <v>-7.349418283933643E-3</v>
      </c>
      <c r="H49">
        <f t="shared" si="0"/>
        <v>2.5652251277101723E-3</v>
      </c>
      <c r="I49">
        <f t="shared" si="1"/>
        <v>2.5652251277101723E-3</v>
      </c>
      <c r="J49">
        <f t="shared" si="2"/>
        <v>-4.7841931562234707E-3</v>
      </c>
    </row>
    <row r="50" spans="1:10" x14ac:dyDescent="0.2">
      <c r="A50" s="3">
        <f>Data!A50</f>
        <v>39478</v>
      </c>
      <c r="B50">
        <f>Data!F50 - Factors!AB52</f>
        <v>4.205616702548487E-2</v>
      </c>
      <c r="C50">
        <f>Factors!M52</f>
        <v>4.7007554112689975E-2</v>
      </c>
      <c r="D50">
        <f>Factors!K52</f>
        <v>-1.2919280819289058E-2</v>
      </c>
      <c r="G50" cm="1">
        <f t="array" ref="G50">TREND(B14:B49, C14:D49, C50:D50, TRUE)</f>
        <v>3.8792318878913795E-2</v>
      </c>
      <c r="H50">
        <f t="shared" si="0"/>
        <v>3.2638481465710745E-3</v>
      </c>
      <c r="I50" t="str">
        <f t="shared" si="1"/>
        <v/>
      </c>
      <c r="J50" t="str">
        <f t="shared" si="2"/>
        <v/>
      </c>
    </row>
    <row r="51" spans="1:10" x14ac:dyDescent="0.2">
      <c r="A51" s="3">
        <f>Data!A51</f>
        <v>39507</v>
      </c>
      <c r="B51">
        <f>Data!F51 - Factors!AB53</f>
        <v>1.7563790912744848E-2</v>
      </c>
      <c r="C51">
        <f>Factors!M53</f>
        <v>1.8790070590211094E-2</v>
      </c>
      <c r="D51">
        <f>Factors!K53</f>
        <v>-9.224231862039467E-4</v>
      </c>
      <c r="G51" cm="1">
        <f t="array" ref="G51">TREND(B15:B50, C15:D50, C51:D51, TRUE)</f>
        <v>1.4093047391358486E-2</v>
      </c>
      <c r="H51">
        <f t="shared" si="0"/>
        <v>3.4707435213863613E-3</v>
      </c>
      <c r="I51" t="str">
        <f t="shared" si="1"/>
        <v/>
      </c>
      <c r="J51" t="str">
        <f t="shared" si="2"/>
        <v/>
      </c>
    </row>
    <row r="52" spans="1:10" x14ac:dyDescent="0.2">
      <c r="A52" s="3">
        <f>Data!A52</f>
        <v>39538</v>
      </c>
      <c r="B52">
        <f>Data!F52 - Factors!AB54</f>
        <v>4.6754356099854011E-3</v>
      </c>
      <c r="C52">
        <f>Factors!M54</f>
        <v>7.0818861482309092E-3</v>
      </c>
      <c r="D52">
        <f>Factors!K54</f>
        <v>-1.9929319898305486E-2</v>
      </c>
      <c r="G52" cm="1">
        <f t="array" ref="G52">TREND(B16:B51, C16:D51, C52:D52, TRUE)</f>
        <v>3.5356744295483109E-3</v>
      </c>
      <c r="H52">
        <f t="shared" si="0"/>
        <v>1.1397611804370902E-3</v>
      </c>
      <c r="I52" t="str">
        <f t="shared" si="1"/>
        <v/>
      </c>
      <c r="J52" t="str">
        <f t="shared" si="2"/>
        <v/>
      </c>
    </row>
    <row r="53" spans="1:10" x14ac:dyDescent="0.2">
      <c r="A53" s="3">
        <f>Data!A53</f>
        <v>39568</v>
      </c>
      <c r="B53">
        <f>Data!F53 - Factors!AB55</f>
        <v>-2.9846035133824778E-2</v>
      </c>
      <c r="C53">
        <f>Factors!M55</f>
        <v>-3.3313263928264614E-2</v>
      </c>
      <c r="D53">
        <f>Factors!K55</f>
        <v>1.3855987571611772E-2</v>
      </c>
      <c r="G53" cm="1">
        <f t="array" ref="G53">TREND(B17:B52, C17:D52, C53:D53, TRUE)</f>
        <v>-3.3555066566911214E-2</v>
      </c>
      <c r="H53">
        <f t="shared" si="0"/>
        <v>3.7090314330864363E-3</v>
      </c>
      <c r="I53" t="str">
        <f t="shared" si="1"/>
        <v/>
      </c>
      <c r="J53" t="str">
        <f t="shared" si="2"/>
        <v/>
      </c>
    </row>
    <row r="54" spans="1:10" x14ac:dyDescent="0.2">
      <c r="A54" s="3">
        <f>Data!A54</f>
        <v>39598</v>
      </c>
      <c r="B54">
        <f>Data!F54 - Factors!AB56</f>
        <v>4.7819842674596824E-3</v>
      </c>
      <c r="C54">
        <f>Factors!M56</f>
        <v>7.1172010110416295E-3</v>
      </c>
      <c r="D54">
        <f>Factors!K56</f>
        <v>1.2715857948602638E-2</v>
      </c>
      <c r="G54" cm="1">
        <f t="array" ref="G54">TREND(B18:B53, C18:D53, C54:D54, TRUE)</f>
        <v>3.5709129603091793E-3</v>
      </c>
      <c r="H54">
        <f t="shared" si="0"/>
        <v>1.2110713071505031E-3</v>
      </c>
      <c r="I54" t="str">
        <f t="shared" si="1"/>
        <v/>
      </c>
      <c r="J54" t="str">
        <f t="shared" si="2"/>
        <v/>
      </c>
    </row>
    <row r="55" spans="1:10" x14ac:dyDescent="0.2">
      <c r="A55" s="3">
        <f>Data!A55</f>
        <v>39629</v>
      </c>
      <c r="B55">
        <f>Data!F55 - Factors!AB57</f>
        <v>1.4255091386199181E-2</v>
      </c>
      <c r="C55">
        <f>Factors!M57</f>
        <v>1.5442717245768511E-2</v>
      </c>
      <c r="D55">
        <f>Factors!K57</f>
        <v>-6.2802390314177226E-3</v>
      </c>
      <c r="G55" cm="1">
        <f t="array" ref="G55">TREND(B19:B54, C19:D54, C55:D55, TRUE)</f>
        <v>1.1301914069554445E-2</v>
      </c>
      <c r="H55">
        <f t="shared" si="0"/>
        <v>2.953177316644736E-3</v>
      </c>
      <c r="I55" t="str">
        <f t="shared" si="1"/>
        <v/>
      </c>
      <c r="J55" t="str">
        <f t="shared" si="2"/>
        <v/>
      </c>
    </row>
    <row r="56" spans="1:10" x14ac:dyDescent="0.2">
      <c r="A56" s="3">
        <f>Data!A56</f>
        <v>39660</v>
      </c>
      <c r="B56">
        <f>Data!F56 - Factors!AB58</f>
        <v>-1.0025302209385467E-2</v>
      </c>
      <c r="C56">
        <f>Factors!M58</f>
        <v>-9.2004044393724227E-3</v>
      </c>
      <c r="D56">
        <f>Factors!K58</f>
        <v>-8.1509853234239538E-3</v>
      </c>
      <c r="G56" cm="1">
        <f t="array" ref="G56">TREND(B20:B55, C20:D55, C56:D56, TRUE)</f>
        <v>-1.0668429627897999E-2</v>
      </c>
      <c r="H56">
        <f t="shared" si="0"/>
        <v>6.431274185125322E-4</v>
      </c>
      <c r="I56" t="str">
        <f t="shared" si="1"/>
        <v/>
      </c>
      <c r="J56" t="str">
        <f t="shared" si="2"/>
        <v/>
      </c>
    </row>
    <row r="57" spans="1:10" x14ac:dyDescent="0.2">
      <c r="A57" s="3">
        <f>Data!A57</f>
        <v>39689</v>
      </c>
      <c r="B57">
        <f>Data!F57 - Factors!AB59</f>
        <v>1.0665335101434303E-2</v>
      </c>
      <c r="C57">
        <f>Factors!M59</f>
        <v>1.3194722111155466E-2</v>
      </c>
      <c r="D57">
        <f>Factors!K59</f>
        <v>-1.4401191239722388E-3</v>
      </c>
      <c r="G57" cm="1">
        <f t="array" ref="G57">TREND(B21:B56, C21:D56, C57:D57, TRUE)</f>
        <v>9.4450162937356925E-3</v>
      </c>
      <c r="H57">
        <f t="shared" si="0"/>
        <v>1.2203188076986109E-3</v>
      </c>
      <c r="I57" t="str">
        <f t="shared" si="1"/>
        <v/>
      </c>
      <c r="J57" t="str">
        <f t="shared" si="2"/>
        <v/>
      </c>
    </row>
    <row r="58" spans="1:10" x14ac:dyDescent="0.2">
      <c r="A58" s="3">
        <f>Data!A58</f>
        <v>39721</v>
      </c>
      <c r="B58">
        <f>Data!F58 - Factors!AB60</f>
        <v>-4.3280590801458407E-2</v>
      </c>
      <c r="C58">
        <f>Factors!M60</f>
        <v>-4.6319311100378124E-2</v>
      </c>
      <c r="D58">
        <f>Factors!K60</f>
        <v>-5.898082472588384E-2</v>
      </c>
      <c r="G58" cm="1">
        <f t="array" ref="G58">TREND(B22:B57, C22:D57, C58:D58, TRUE)</f>
        <v>-4.2518065392006928E-2</v>
      </c>
      <c r="H58">
        <f t="shared" si="0"/>
        <v>-7.6252540945147967E-4</v>
      </c>
      <c r="I58" t="str">
        <f t="shared" si="1"/>
        <v/>
      </c>
      <c r="J58" t="str">
        <f t="shared" si="2"/>
        <v/>
      </c>
    </row>
    <row r="59" spans="1:10" x14ac:dyDescent="0.2">
      <c r="A59" s="3">
        <f>Data!A59</f>
        <v>39752</v>
      </c>
      <c r="B59">
        <f>Data!F59 - Factors!AB61</f>
        <v>-9.5495321550930656E-2</v>
      </c>
      <c r="C59">
        <f>Factors!M61</f>
        <v>-7.6398581963264323E-2</v>
      </c>
      <c r="D59">
        <f>Factors!K61</f>
        <v>-8.0311738926092557E-2</v>
      </c>
      <c r="G59" cm="1">
        <f t="array" ref="G59">TREND(B23:B58, C23:D58, C59:D59, TRUE)</f>
        <v>-6.9788347741969528E-2</v>
      </c>
      <c r="H59">
        <f t="shared" si="0"/>
        <v>-2.5706973808961128E-2</v>
      </c>
      <c r="I59" t="str">
        <f t="shared" si="1"/>
        <v/>
      </c>
      <c r="J59" t="str">
        <f t="shared" si="2"/>
        <v/>
      </c>
    </row>
    <row r="60" spans="1:10" x14ac:dyDescent="0.2">
      <c r="A60" s="3">
        <f>Data!A60</f>
        <v>39780</v>
      </c>
      <c r="B60">
        <f>Data!F60 - Factors!AB62</f>
        <v>1.4529970279181459E-2</v>
      </c>
      <c r="C60">
        <f>Factors!M62</f>
        <v>4.687583587439148E-2</v>
      </c>
      <c r="D60">
        <f>Factors!K62</f>
        <v>-2.8024411644779201E-2</v>
      </c>
      <c r="G60" cm="1">
        <f t="array" ref="G60">TREND(B24:B59, C24:D59, C60:D60, TRUE)</f>
        <v>3.9273714042091304E-2</v>
      </c>
      <c r="H60">
        <f t="shared" si="0"/>
        <v>-2.4743743762909845E-2</v>
      </c>
      <c r="I60" t="str">
        <f t="shared" si="1"/>
        <v/>
      </c>
      <c r="J60" t="str">
        <f t="shared" si="2"/>
        <v/>
      </c>
    </row>
    <row r="61" spans="1:10" x14ac:dyDescent="0.2">
      <c r="A61" s="3">
        <f>Data!A61</f>
        <v>39813</v>
      </c>
      <c r="B61">
        <f>Data!F61 - Factors!AB63</f>
        <v>6.1892992693730831E-2</v>
      </c>
      <c r="C61">
        <f>Factors!M63</f>
        <v>3.4186287159702067E-2</v>
      </c>
      <c r="D61">
        <f>Factors!K63</f>
        <v>-2.3592003921266702E-3</v>
      </c>
      <c r="G61" cm="1">
        <f t="array" ref="G61">TREND(B25:B60, C25:D60, C61:D61, TRUE)</f>
        <v>2.604109180148002E-2</v>
      </c>
      <c r="H61">
        <f t="shared" si="0"/>
        <v>3.5851900892250807E-2</v>
      </c>
      <c r="I61" t="str">
        <f t="shared" si="1"/>
        <v/>
      </c>
      <c r="J61" t="str">
        <f t="shared" si="2"/>
        <v/>
      </c>
    </row>
    <row r="62" spans="1:10" x14ac:dyDescent="0.2">
      <c r="A62" s="3">
        <f>Data!A62</f>
        <v>39843</v>
      </c>
      <c r="B62">
        <f>Data!F62 - Factors!AB64</f>
        <v>1.1490048625345417E-2</v>
      </c>
      <c r="C62">
        <f>Factors!M64</f>
        <v>1.0796388027620951E-2</v>
      </c>
      <c r="D62">
        <f>Factors!K64</f>
        <v>2.0547026166424676E-2</v>
      </c>
      <c r="G62" cm="1">
        <f t="array" ref="G62">TREND(B26:B61, C26:D61, C62:D62, TRUE)</f>
        <v>9.9786680546649006E-3</v>
      </c>
      <c r="H62">
        <f t="shared" si="0"/>
        <v>1.5113805706805164E-3</v>
      </c>
      <c r="I62" t="str">
        <f t="shared" si="1"/>
        <v/>
      </c>
      <c r="J62" t="str">
        <f t="shared" si="2"/>
        <v/>
      </c>
    </row>
    <row r="63" spans="1:10" x14ac:dyDescent="0.2">
      <c r="A63" s="3">
        <f>Data!A63</f>
        <v>39871</v>
      </c>
      <c r="B63">
        <f>Data!F63 - Factors!AB65</f>
        <v>-3.5446727201330464E-2</v>
      </c>
      <c r="C63">
        <f>Factors!M65</f>
        <v>-3.9271878475319877E-2</v>
      </c>
      <c r="D63">
        <f>Factors!K65</f>
        <v>5.1834774386301241E-3</v>
      </c>
      <c r="G63" cm="1">
        <f t="array" ref="G63">TREND(B27:B62, C27:D62, C63:D63, TRUE)</f>
        <v>-3.9569874297460103E-2</v>
      </c>
      <c r="H63">
        <f t="shared" si="0"/>
        <v>4.1231470961296396E-3</v>
      </c>
      <c r="I63" t="str">
        <f t="shared" si="1"/>
        <v/>
      </c>
      <c r="J63" t="str">
        <f t="shared" si="2"/>
        <v/>
      </c>
    </row>
    <row r="64" spans="1:10" x14ac:dyDescent="0.2">
      <c r="A64" s="3">
        <f>Data!A64</f>
        <v>39903</v>
      </c>
      <c r="B64">
        <f>Data!F64 - Factors!AB66</f>
        <v>7.1883267505939319E-2</v>
      </c>
      <c r="C64">
        <f>Factors!M66</f>
        <v>6.6101878176140216E-2</v>
      </c>
      <c r="D64">
        <f>Factors!K66</f>
        <v>9.9570400484072508E-3</v>
      </c>
      <c r="G64" cm="1">
        <f t="array" ref="G64">TREND(B28:B63, C28:D63, C64:D64, TRUE)</f>
        <v>6.0716178205905233E-2</v>
      </c>
      <c r="H64">
        <f t="shared" si="0"/>
        <v>1.1167089300034086E-2</v>
      </c>
      <c r="I64" t="str">
        <f t="shared" si="1"/>
        <v/>
      </c>
      <c r="J64" t="str">
        <f t="shared" si="2"/>
        <v/>
      </c>
    </row>
    <row r="65" spans="1:10" x14ac:dyDescent="0.2">
      <c r="A65" s="3">
        <f>Data!A65</f>
        <v>39933</v>
      </c>
      <c r="B65">
        <f>Data!F65 - Factors!AB67</f>
        <v>-8.6874457556627149E-3</v>
      </c>
      <c r="C65">
        <f>Factors!M67</f>
        <v>-1.305333492423344E-2</v>
      </c>
      <c r="D65">
        <f>Factors!K67</f>
        <v>3.0997126677581033E-2</v>
      </c>
      <c r="G65" cm="1">
        <f t="array" ref="G65">TREND(B29:B64, C29:D64, C65:D65, TRUE)</f>
        <v>-1.0701129299346924E-2</v>
      </c>
      <c r="H65">
        <f t="shared" si="0"/>
        <v>2.0136835436842093E-3</v>
      </c>
      <c r="I65" t="str">
        <f t="shared" si="1"/>
        <v/>
      </c>
      <c r="J65" t="str">
        <f t="shared" si="2"/>
        <v/>
      </c>
    </row>
    <row r="66" spans="1:10" x14ac:dyDescent="0.2">
      <c r="A66" s="3">
        <f>Data!A66</f>
        <v>39962</v>
      </c>
      <c r="B66">
        <f>Data!F66 - Factors!AB68</f>
        <v>6.9454534184050232E-3</v>
      </c>
      <c r="C66">
        <f>Factors!M68</f>
        <v>3.2823153924270709E-3</v>
      </c>
      <c r="D66">
        <f>Factors!K68</f>
        <v>3.9329080872431366E-2</v>
      </c>
      <c r="G66" cm="1">
        <f t="array" ref="G66">TREND(B30:B65, C30:D65, C66:D66, TRUE)</f>
        <v>6.6040038740597905E-3</v>
      </c>
      <c r="H66">
        <f t="shared" si="0"/>
        <v>3.414495443452327E-4</v>
      </c>
      <c r="I66" t="str">
        <f t="shared" si="1"/>
        <v/>
      </c>
      <c r="J66" t="str">
        <f t="shared" si="2"/>
        <v/>
      </c>
    </row>
    <row r="67" spans="1:10" x14ac:dyDescent="0.2">
      <c r="A67" s="3">
        <f>Data!A67</f>
        <v>39994</v>
      </c>
      <c r="B67">
        <f>Data!F67 - Factors!AB69</f>
        <v>-4.0806394795755985E-3</v>
      </c>
      <c r="C67">
        <f>Factors!M69</f>
        <v>-5.3682783551739499E-3</v>
      </c>
      <c r="D67">
        <f>Factors!K69</f>
        <v>1.5460380576513888E-2</v>
      </c>
      <c r="G67" cm="1">
        <f t="array" ref="G67">TREND(B31:B66, C31:D66, C67:D67, TRUE)</f>
        <v>-5.3791684025789356E-3</v>
      </c>
      <c r="H67">
        <f t="shared" si="0"/>
        <v>1.2985289230033371E-3</v>
      </c>
      <c r="I67" t="str">
        <f t="shared" si="1"/>
        <v/>
      </c>
      <c r="J67" t="str">
        <f t="shared" si="2"/>
        <v/>
      </c>
    </row>
    <row r="68" spans="1:10" x14ac:dyDescent="0.2">
      <c r="A68" s="3">
        <f>Data!A68</f>
        <v>40025</v>
      </c>
      <c r="B68">
        <f>Data!F68 - Factors!AB70</f>
        <v>9.0907390961265655E-3</v>
      </c>
      <c r="C68">
        <f>Factors!M70</f>
        <v>9.7768408810061658E-3</v>
      </c>
      <c r="D68">
        <f>Factors!K70</f>
        <v>2.9692498571274761E-2</v>
      </c>
      <c r="G68" cm="1">
        <f t="array" ref="G68">TREND(B32:B67, C32:D67, C68:D68, TRUE)</f>
        <v>1.1555120571897864E-2</v>
      </c>
      <c r="H68">
        <f t="shared" si="0"/>
        <v>-2.464381475771299E-3</v>
      </c>
      <c r="I68" t="str">
        <f t="shared" si="1"/>
        <v/>
      </c>
      <c r="J68" t="str">
        <f t="shared" si="2"/>
        <v/>
      </c>
    </row>
    <row r="69" spans="1:10" x14ac:dyDescent="0.2">
      <c r="A69" s="3">
        <f>Data!A69</f>
        <v>40056</v>
      </c>
      <c r="B69">
        <f>Data!F69 - Factors!AB71</f>
        <v>4.5205757669732893E-3</v>
      </c>
      <c r="C69">
        <f>Factors!M71</f>
        <v>1.4577259475219151E-3</v>
      </c>
      <c r="D69">
        <f>Factors!K71</f>
        <v>1.7522287276521276E-2</v>
      </c>
      <c r="G69" cm="1">
        <f t="array" ref="G69">TREND(B33:B68, C33:D68, C69:D69, TRUE)</f>
        <v>1.5858903558754168E-3</v>
      </c>
      <c r="H69">
        <f t="shared" si="0"/>
        <v>2.9346854110978726E-3</v>
      </c>
      <c r="I69" t="str">
        <f t="shared" si="1"/>
        <v/>
      </c>
      <c r="J69" t="str">
        <f t="shared" si="2"/>
        <v/>
      </c>
    </row>
    <row r="70" spans="1:10" x14ac:dyDescent="0.2">
      <c r="A70" s="3">
        <f>Data!A70</f>
        <v>40086</v>
      </c>
      <c r="B70">
        <f>Data!F70 - Factors!AB72</f>
        <v>2.0345926496802003E-2</v>
      </c>
      <c r="C70">
        <f>Factors!M72</f>
        <v>1.9647659951719465E-2</v>
      </c>
      <c r="D70">
        <f>Factors!K72</f>
        <v>2.4510632490586381E-2</v>
      </c>
      <c r="G70" cm="1">
        <f t="array" ref="G70">TREND(B34:B69, C34:D69, C70:D70, TRUE)</f>
        <v>2.0499423667134566E-2</v>
      </c>
      <c r="H70">
        <f t="shared" ref="H70:H101" si="3">B70 - G70</f>
        <v>-1.5349717033256299E-4</v>
      </c>
      <c r="I70" t="str">
        <f t="shared" ref="I70:I101" si="4">IF(OR(YEAR(A70)=2008, YEAR(A70)=2009), "", H70)</f>
        <v/>
      </c>
      <c r="J70" t="str">
        <f t="shared" ref="J70:J101" si="5">IF(OR(YEAR(A70)=2008, YEAR(A70)=2009), "", B70)</f>
        <v/>
      </c>
    </row>
    <row r="71" spans="1:10" x14ac:dyDescent="0.2">
      <c r="A71" s="3">
        <f>Data!A71</f>
        <v>40116</v>
      </c>
      <c r="B71">
        <f>Data!F71 - Factors!AB73</f>
        <v>1.7850963177098667E-2</v>
      </c>
      <c r="C71">
        <f>Factors!M73</f>
        <v>1.8705095141022587E-2</v>
      </c>
      <c r="D71">
        <f>Factors!K73</f>
        <v>1.2557164961793488E-2</v>
      </c>
      <c r="G71" cm="1">
        <f t="array" ref="G71">TREND(B35:B70, C35:D70, C71:D71, TRUE)</f>
        <v>1.7756234686125846E-2</v>
      </c>
      <c r="H71">
        <f t="shared" si="3"/>
        <v>9.4728490972820212E-5</v>
      </c>
      <c r="I71" t="str">
        <f t="shared" si="4"/>
        <v/>
      </c>
      <c r="J71" t="str">
        <f t="shared" si="5"/>
        <v/>
      </c>
    </row>
    <row r="72" spans="1:10" x14ac:dyDescent="0.2">
      <c r="A72" s="3">
        <f>Data!A72</f>
        <v>40147</v>
      </c>
      <c r="B72">
        <f>Data!F72 - Factors!AB74</f>
        <v>2.549609027982469E-2</v>
      </c>
      <c r="C72">
        <f>Factors!M74</f>
        <v>2.6498659208211928E-2</v>
      </c>
      <c r="D72">
        <f>Factors!K74</f>
        <v>6.1045656248126523E-3</v>
      </c>
      <c r="G72" cm="1">
        <f t="array" ref="G72">TREND(B36:B71, C36:D71, C72:D72, TRUE)</f>
        <v>2.4355366619627922E-2</v>
      </c>
      <c r="H72">
        <f t="shared" si="3"/>
        <v>1.1407236601967685E-3</v>
      </c>
      <c r="I72" t="str">
        <f t="shared" si="4"/>
        <v/>
      </c>
      <c r="J72" t="str">
        <f t="shared" si="5"/>
        <v/>
      </c>
    </row>
    <row r="73" spans="1:10" x14ac:dyDescent="0.2">
      <c r="A73" s="3">
        <f>Data!A73</f>
        <v>40178</v>
      </c>
      <c r="B73">
        <f>Data!F73 - Factors!AB75</f>
        <v>-2.1973737739004684E-2</v>
      </c>
      <c r="C73">
        <f>Factors!M75</f>
        <v>-2.7483146067415753E-2</v>
      </c>
      <c r="D73">
        <f>Factors!K75</f>
        <v>2.0512228445421776E-2</v>
      </c>
      <c r="G73" cm="1">
        <f t="array" ref="G73">TREND(B37:B72, C37:D72, C73:D73, TRUE)</f>
        <v>-2.5197103633036243E-2</v>
      </c>
      <c r="H73">
        <f t="shared" si="3"/>
        <v>3.2233658940315595E-3</v>
      </c>
      <c r="I73" t="str">
        <f t="shared" si="4"/>
        <v/>
      </c>
      <c r="J73" t="str">
        <f t="shared" si="5"/>
        <v/>
      </c>
    </row>
    <row r="74" spans="1:10" x14ac:dyDescent="0.2">
      <c r="A74" s="3">
        <f>Data!A74</f>
        <v>40207</v>
      </c>
      <c r="B74">
        <f>Data!F74 - Factors!AB76</f>
        <v>1.9295312939203724E-2</v>
      </c>
      <c r="C74">
        <f>Factors!M76</f>
        <v>2.0513205628855946E-2</v>
      </c>
      <c r="D74">
        <f>Factors!K76</f>
        <v>1.5317656838982563E-2</v>
      </c>
      <c r="G74" cm="1">
        <f t="array" ref="G74">TREND(B38:B73, C38:D73, C74:D74, TRUE)</f>
        <v>2.0420530110414514E-2</v>
      </c>
      <c r="H74">
        <f t="shared" si="3"/>
        <v>-1.1252171712107899E-3</v>
      </c>
      <c r="I74">
        <f t="shared" si="4"/>
        <v>-1.1252171712107899E-3</v>
      </c>
      <c r="J74">
        <f t="shared" si="5"/>
        <v>1.9295312939203724E-2</v>
      </c>
    </row>
    <row r="75" spans="1:10" x14ac:dyDescent="0.2">
      <c r="A75" s="3">
        <f>Data!A75</f>
        <v>40235</v>
      </c>
      <c r="B75">
        <f>Data!F75 - Factors!AB77</f>
        <v>-1.2994961831195861E-2</v>
      </c>
      <c r="C75">
        <f>Factors!M77</f>
        <v>-1.8085690511097652E-2</v>
      </c>
      <c r="D75">
        <f>Factors!K77</f>
        <v>5.6242558647858765E-3</v>
      </c>
      <c r="G75" cm="1">
        <f t="array" ref="G75">TREND(B39:B74, C39:D74, C75:D75, TRUE)</f>
        <v>-1.795819440993341E-2</v>
      </c>
      <c r="H75">
        <f t="shared" si="3"/>
        <v>4.9632325787375489E-3</v>
      </c>
      <c r="I75">
        <f t="shared" si="4"/>
        <v>4.9632325787375489E-3</v>
      </c>
      <c r="J75">
        <f t="shared" si="5"/>
        <v>-1.2994961831195861E-2</v>
      </c>
    </row>
    <row r="76" spans="1:10" x14ac:dyDescent="0.2">
      <c r="A76" s="3">
        <f>Data!A76</f>
        <v>40268</v>
      </c>
      <c r="B76">
        <f>Data!F76 - Factors!AB78</f>
        <v>-4.4332428069100427E-3</v>
      </c>
      <c r="C76">
        <f>Factors!M78</f>
        <v>-7.8633030484711597E-3</v>
      </c>
      <c r="D76">
        <f>Factors!K78</f>
        <v>1.6205639641077019E-2</v>
      </c>
      <c r="G76" cm="1">
        <f t="array" ref="G76">TREND(B40:B75, C40:D75, C76:D76, TRUE)</f>
        <v>-6.0721325580714823E-3</v>
      </c>
      <c r="H76">
        <f t="shared" si="3"/>
        <v>1.6388897511614396E-3</v>
      </c>
      <c r="I76">
        <f t="shared" si="4"/>
        <v>1.6388897511614396E-3</v>
      </c>
      <c r="J76">
        <f t="shared" si="5"/>
        <v>-4.4332428069100427E-3</v>
      </c>
    </row>
    <row r="77" spans="1:10" x14ac:dyDescent="0.2">
      <c r="A77" s="3">
        <f>Data!A77</f>
        <v>40298</v>
      </c>
      <c r="B77">
        <f>Data!F77 - Factors!AB79</f>
        <v>2.8125593229817225E-2</v>
      </c>
      <c r="C77">
        <f>Factors!M79</f>
        <v>3.2550842533410895E-2</v>
      </c>
      <c r="D77">
        <f>Factors!K79</f>
        <v>1.3897547811587918E-2</v>
      </c>
      <c r="G77" cm="1">
        <f t="array" ref="G77">TREND(B41:B76, C41:D76, C77:D77, TRUE)</f>
        <v>3.2051426033099545E-2</v>
      </c>
      <c r="H77">
        <f t="shared" si="3"/>
        <v>-3.9258328032823198E-3</v>
      </c>
      <c r="I77">
        <f t="shared" si="4"/>
        <v>-3.9258328032823198E-3</v>
      </c>
      <c r="J77">
        <f t="shared" si="5"/>
        <v>2.8125593229817225E-2</v>
      </c>
    </row>
    <row r="78" spans="1:10" x14ac:dyDescent="0.2">
      <c r="A78" s="3">
        <f>Data!A78</f>
        <v>40329</v>
      </c>
      <c r="B78">
        <f>Data!F78 - Factors!AB80</f>
        <v>1.1165752200366086E-3</v>
      </c>
      <c r="C78">
        <f>Factors!M80</f>
        <v>3.7703571147202908E-3</v>
      </c>
      <c r="D78">
        <f>Factors!K80</f>
        <v>-1.789436229394048E-2</v>
      </c>
      <c r="G78" cm="1">
        <f t="array" ref="G78">TREND(B42:B77, C42:D77, C78:D78, TRUE)</f>
        <v>-9.2693366453140452E-4</v>
      </c>
      <c r="H78">
        <f t="shared" si="3"/>
        <v>2.0435088845680129E-3</v>
      </c>
      <c r="I78">
        <f t="shared" si="4"/>
        <v>2.0435088845680129E-3</v>
      </c>
      <c r="J78">
        <f t="shared" si="5"/>
        <v>1.1165752200366086E-3</v>
      </c>
    </row>
    <row r="79" spans="1:10" x14ac:dyDescent="0.2">
      <c r="A79" s="3">
        <f>Data!A79</f>
        <v>40359</v>
      </c>
      <c r="B79">
        <f>Data!F79 - Factors!AB81</f>
        <v>1.7327923097806064E-2</v>
      </c>
      <c r="C79">
        <f>Factors!M81</f>
        <v>1.9235081739286342E-2</v>
      </c>
      <c r="D79">
        <f>Factors!K81</f>
        <v>3.6560568654719905E-3</v>
      </c>
      <c r="G79" cm="1">
        <f t="array" ref="G79">TREND(B43:B78, C43:D78, C79:D79, TRUE)</f>
        <v>1.7689565947283631E-2</v>
      </c>
      <c r="H79">
        <f t="shared" si="3"/>
        <v>-3.6164284947756697E-4</v>
      </c>
      <c r="I79">
        <f t="shared" si="4"/>
        <v>-3.6164284947756697E-4</v>
      </c>
      <c r="J79">
        <f t="shared" si="5"/>
        <v>1.7327923097806064E-2</v>
      </c>
    </row>
    <row r="80" spans="1:10" x14ac:dyDescent="0.2">
      <c r="A80" s="3">
        <f>Data!A80</f>
        <v>40389</v>
      </c>
      <c r="B80">
        <f>Data!F80 - Factors!AB82</f>
        <v>3.9149771286617341E-3</v>
      </c>
      <c r="C80">
        <f>Factors!M82</f>
        <v>3.5037925666794312E-3</v>
      </c>
      <c r="D80">
        <f>Factors!K82</f>
        <v>1.7014951977949666E-2</v>
      </c>
      <c r="G80" cm="1">
        <f t="array" ref="G80">TREND(B44:B79, C44:D79, C80:D80, TRUE)</f>
        <v>5.4048133479312841E-3</v>
      </c>
      <c r="H80">
        <f t="shared" si="3"/>
        <v>-1.48983621926955E-3</v>
      </c>
      <c r="I80">
        <f t="shared" si="4"/>
        <v>-1.48983621926955E-3</v>
      </c>
      <c r="J80">
        <f t="shared" si="5"/>
        <v>3.9149771286617341E-3</v>
      </c>
    </row>
    <row r="81" spans="1:10" x14ac:dyDescent="0.2">
      <c r="A81" s="3">
        <f>Data!A81</f>
        <v>40421</v>
      </c>
      <c r="B81">
        <f>Data!F81 - Factors!AB83</f>
        <v>1.4804070596142749E-2</v>
      </c>
      <c r="C81">
        <f>Factors!M83</f>
        <v>1.7112475334356558E-2</v>
      </c>
      <c r="D81">
        <f>Factors!K83</f>
        <v>8.18782616610636E-3</v>
      </c>
      <c r="G81" cm="1">
        <f t="array" ref="G81">TREND(B45:B80, C45:D80, C81:D81, TRUE)</f>
        <v>1.6583055557258794E-2</v>
      </c>
      <c r="H81">
        <f t="shared" si="3"/>
        <v>-1.7789849611160452E-3</v>
      </c>
      <c r="I81">
        <f t="shared" si="4"/>
        <v>-1.7789849611160452E-3</v>
      </c>
      <c r="J81">
        <f t="shared" si="5"/>
        <v>1.4804070596142749E-2</v>
      </c>
    </row>
    <row r="82" spans="1:10" x14ac:dyDescent="0.2">
      <c r="A82" s="3">
        <f>Data!A82</f>
        <v>40451</v>
      </c>
      <c r="B82">
        <f>Data!F82 - Factors!AB84</f>
        <v>1.8480297840079318E-2</v>
      </c>
      <c r="C82">
        <f>Factors!M84</f>
        <v>2.1836367359696407E-2</v>
      </c>
      <c r="D82">
        <f>Factors!K84</f>
        <v>1.6314507669459299E-2</v>
      </c>
      <c r="G82" cm="1">
        <f t="array" ref="G82">TREND(B46:B81, C46:D81, C82:D82, TRUE)</f>
        <v>2.2563709836888816E-2</v>
      </c>
      <c r="H82">
        <f t="shared" si="3"/>
        <v>-4.0834119968094981E-3</v>
      </c>
      <c r="I82">
        <f t="shared" si="4"/>
        <v>-4.0834119968094981E-3</v>
      </c>
      <c r="J82">
        <f t="shared" si="5"/>
        <v>1.8480297840079318E-2</v>
      </c>
    </row>
    <row r="83" spans="1:10" x14ac:dyDescent="0.2">
      <c r="A83" s="3">
        <f>Data!A83</f>
        <v>40480</v>
      </c>
      <c r="B83">
        <f>Data!F83 - Factors!AB85</f>
        <v>2.2405591064569519E-2</v>
      </c>
      <c r="C83">
        <f>Factors!M85</f>
        <v>2.5652114295357853E-2</v>
      </c>
      <c r="D83">
        <f>Factors!K85</f>
        <v>1.5607661000129225E-2</v>
      </c>
      <c r="G83" cm="1">
        <f t="array" ref="G83">TREND(B47:B82, C47:D82, C83:D83, TRUE)</f>
        <v>2.5976473675695569E-2</v>
      </c>
      <c r="H83">
        <f t="shared" si="3"/>
        <v>-3.57088261112605E-3</v>
      </c>
      <c r="I83">
        <f t="shared" si="4"/>
        <v>-3.57088261112605E-3</v>
      </c>
      <c r="J83">
        <f t="shared" si="5"/>
        <v>2.2405591064569519E-2</v>
      </c>
    </row>
    <row r="84" spans="1:10" x14ac:dyDescent="0.2">
      <c r="A84" s="3">
        <f>Data!A84</f>
        <v>40512</v>
      </c>
      <c r="B84">
        <f>Data!F84 - Factors!AB86</f>
        <v>-1.4436506274128846E-2</v>
      </c>
      <c r="C84">
        <f>Factors!M86</f>
        <v>-1.9215541089480537E-2</v>
      </c>
      <c r="D84">
        <f>Factors!K86</f>
        <v>4.6372082056680419E-3</v>
      </c>
      <c r="G84" cm="1">
        <f t="array" ref="G84">TREND(B48:B83, C48:D83, C84:D84, TRUE)</f>
        <v>-1.8103814076483243E-2</v>
      </c>
      <c r="H84">
        <f t="shared" si="3"/>
        <v>3.6673078023543963E-3</v>
      </c>
      <c r="I84">
        <f t="shared" si="4"/>
        <v>3.6673078023543963E-3</v>
      </c>
      <c r="J84">
        <f t="shared" si="5"/>
        <v>-1.4436506274128846E-2</v>
      </c>
    </row>
    <row r="85" spans="1:10" x14ac:dyDescent="0.2">
      <c r="A85" s="3">
        <f>Data!A85</f>
        <v>40543</v>
      </c>
      <c r="B85">
        <f>Data!F85 - Factors!AB87</f>
        <v>-1.9774999032133311E-2</v>
      </c>
      <c r="C85">
        <f>Factors!M87</f>
        <v>-2.2837250512475205E-2</v>
      </c>
      <c r="D85">
        <f>Factors!K87</f>
        <v>1.0673162764171629E-2</v>
      </c>
      <c r="G85" cm="1">
        <f t="array" ref="G85">TREND(B49:B84, C49:D84, C85:D85, TRUE)</f>
        <v>-2.027599964954643E-2</v>
      </c>
      <c r="H85">
        <f t="shared" si="3"/>
        <v>5.010006174131186E-4</v>
      </c>
      <c r="I85">
        <f t="shared" si="4"/>
        <v>5.010006174131186E-4</v>
      </c>
      <c r="J85">
        <f t="shared" si="5"/>
        <v>-1.9774999032133311E-2</v>
      </c>
    </row>
    <row r="86" spans="1:10" x14ac:dyDescent="0.2">
      <c r="A86" s="3">
        <f>Data!A86</f>
        <v>40574</v>
      </c>
      <c r="B86">
        <f>Data!F86 - Factors!AB88</f>
        <v>4.7572469786507643E-3</v>
      </c>
      <c r="C86">
        <f>Factors!M88</f>
        <v>1.6578587332671813E-3</v>
      </c>
      <c r="D86">
        <f>Factors!K88</f>
        <v>1.1454314005393318E-2</v>
      </c>
      <c r="G86" cm="1">
        <f t="array" ref="G86">TREND(B50:B85, C50:D85, C86:D86, TRUE)</f>
        <v>2.9159376719628855E-3</v>
      </c>
      <c r="H86">
        <f t="shared" si="3"/>
        <v>1.8413093066878788E-3</v>
      </c>
      <c r="I86">
        <f t="shared" si="4"/>
        <v>1.8413093066878788E-3</v>
      </c>
      <c r="J86">
        <f t="shared" si="5"/>
        <v>4.7572469786507643E-3</v>
      </c>
    </row>
    <row r="87" spans="1:10" x14ac:dyDescent="0.2">
      <c r="A87" s="3">
        <f>Data!A87</f>
        <v>40602</v>
      </c>
      <c r="B87">
        <f>Data!F87 - Factors!AB89</f>
        <v>5.9600809399034116E-3</v>
      </c>
      <c r="C87">
        <f>Factors!M89</f>
        <v>6.2401576911952361E-3</v>
      </c>
      <c r="D87">
        <f>Factors!K89</f>
        <v>9.0771864562524396E-3</v>
      </c>
      <c r="G87" cm="1">
        <f t="array" ref="G87">TREND(B51:B86, C51:D86, C87:D87, TRUE)</f>
        <v>6.8207999075493245E-3</v>
      </c>
      <c r="H87">
        <f t="shared" si="3"/>
        <v>-8.6071896764591295E-4</v>
      </c>
      <c r="I87">
        <f t="shared" si="4"/>
        <v>-8.6071896764591295E-4</v>
      </c>
      <c r="J87">
        <f t="shared" si="5"/>
        <v>5.9600809399034116E-3</v>
      </c>
    </row>
    <row r="88" spans="1:10" x14ac:dyDescent="0.2">
      <c r="A88" s="3">
        <f>Data!A88</f>
        <v>40633</v>
      </c>
      <c r="B88">
        <f>Data!F88 - Factors!AB90</f>
        <v>6.7034119638080814E-3</v>
      </c>
      <c r="C88">
        <f>Factors!M90</f>
        <v>8.8310914036591193E-3</v>
      </c>
      <c r="D88">
        <f>Factors!K90</f>
        <v>2.856794736134205E-3</v>
      </c>
      <c r="G88" cm="1">
        <f t="array" ref="G88">TREND(B52:B87, C52:D87, C88:D88, TRUE)</f>
        <v>8.0656462590730903E-3</v>
      </c>
      <c r="H88">
        <f t="shared" si="3"/>
        <v>-1.362234295265009E-3</v>
      </c>
      <c r="I88">
        <f t="shared" si="4"/>
        <v>-1.362234295265009E-3</v>
      </c>
      <c r="J88">
        <f t="shared" si="5"/>
        <v>6.7034119638080814E-3</v>
      </c>
    </row>
    <row r="89" spans="1:10" x14ac:dyDescent="0.2">
      <c r="A89" s="3">
        <f>Data!A89</f>
        <v>40662</v>
      </c>
      <c r="B89">
        <f>Data!F89 - Factors!AB91</f>
        <v>2.9399788269357296E-2</v>
      </c>
      <c r="C89">
        <f>Factors!M91</f>
        <v>3.1358498928861778E-2</v>
      </c>
      <c r="D89">
        <f>Factors!K91</f>
        <v>8.2654181680053007E-3</v>
      </c>
      <c r="G89" cm="1">
        <f t="array" ref="G89">TREND(B53:B88, C53:D88, C89:D89, TRUE)</f>
        <v>2.995935054464547E-2</v>
      </c>
      <c r="H89">
        <f t="shared" si="3"/>
        <v>-5.5956227528817376E-4</v>
      </c>
      <c r="I89">
        <f t="shared" si="4"/>
        <v>-5.5956227528817376E-4</v>
      </c>
      <c r="J89">
        <f t="shared" si="5"/>
        <v>2.9399788269357296E-2</v>
      </c>
    </row>
    <row r="90" spans="1:10" x14ac:dyDescent="0.2">
      <c r="A90" s="3">
        <f>Data!A90</f>
        <v>40694</v>
      </c>
      <c r="B90">
        <f>Data!F90 - Factors!AB92</f>
        <v>6.852552480117069E-3</v>
      </c>
      <c r="C90">
        <f>Factors!M92</f>
        <v>6.021661610244422E-3</v>
      </c>
      <c r="D90">
        <f>Factors!K92</f>
        <v>9.9636640595424097E-4</v>
      </c>
      <c r="G90" cm="1">
        <f t="array" ref="G90">TREND(B54:B89, C54:D89, C90:D90, TRUE)</f>
        <v>4.9602342539272256E-3</v>
      </c>
      <c r="H90">
        <f t="shared" si="3"/>
        <v>1.8923182261898434E-3</v>
      </c>
      <c r="I90">
        <f t="shared" si="4"/>
        <v>1.8923182261898434E-3</v>
      </c>
      <c r="J90">
        <f t="shared" si="5"/>
        <v>6.852552480117069E-3</v>
      </c>
    </row>
    <row r="91" spans="1:10" x14ac:dyDescent="0.2">
      <c r="A91" s="3">
        <f>Data!A91</f>
        <v>40724</v>
      </c>
      <c r="B91">
        <f>Data!F91 - Factors!AB93</f>
        <v>1.0483136930506509E-2</v>
      </c>
      <c r="C91">
        <f>Factors!M93</f>
        <v>1.1060934305678449E-2</v>
      </c>
      <c r="D91">
        <f>Factors!K93</f>
        <v>-2.5070277837919708E-3</v>
      </c>
      <c r="G91" cm="1">
        <f t="array" ref="G91">TREND(B55:B90, C55:D90, C91:D91, TRUE)</f>
        <v>9.1352133190272539E-3</v>
      </c>
      <c r="H91">
        <f t="shared" si="3"/>
        <v>1.3479236114792553E-3</v>
      </c>
      <c r="I91">
        <f t="shared" si="4"/>
        <v>1.3479236114792553E-3</v>
      </c>
      <c r="J91">
        <f t="shared" si="5"/>
        <v>1.0483136930506509E-2</v>
      </c>
    </row>
    <row r="92" spans="1:10" x14ac:dyDescent="0.2">
      <c r="A92" s="3">
        <f>Data!A92</f>
        <v>40753</v>
      </c>
      <c r="B92">
        <f>Data!F92 - Factors!AB94</f>
        <v>4.0716808602804133E-2</v>
      </c>
      <c r="C92">
        <f>Factors!M94</f>
        <v>4.3724504936800024E-2</v>
      </c>
      <c r="D92">
        <f>Factors!K94</f>
        <v>-3.3492361080855737E-5</v>
      </c>
      <c r="G92" cm="1">
        <f t="array" ref="G92">TREND(B56:B91, C56:D91, C92:D92, TRUE)</f>
        <v>3.9971566842130442E-2</v>
      </c>
      <c r="H92">
        <f t="shared" si="3"/>
        <v>7.4524176067369136E-4</v>
      </c>
      <c r="I92">
        <f t="shared" si="4"/>
        <v>7.4524176067369136E-4</v>
      </c>
      <c r="J92">
        <f t="shared" si="5"/>
        <v>4.0716808602804133E-2</v>
      </c>
    </row>
    <row r="93" spans="1:10" x14ac:dyDescent="0.2">
      <c r="A93" s="3">
        <f>Data!A93</f>
        <v>40786</v>
      </c>
      <c r="B93">
        <f>Data!F93 - Factors!AB95</f>
        <v>1.151010861726709E-2</v>
      </c>
      <c r="C93">
        <f>Factors!M95</f>
        <v>1.9951230325869984E-2</v>
      </c>
      <c r="D93">
        <f>Factors!K95</f>
        <v>-2.1704073192707285E-2</v>
      </c>
      <c r="G93" cm="1">
        <f t="array" ref="G93">TREND(B57:B92, C57:D92, C93:D93, TRUE)</f>
        <v>1.3782005096487429E-2</v>
      </c>
      <c r="H93">
        <f t="shared" si="3"/>
        <v>-2.2718964792203394E-3</v>
      </c>
      <c r="I93">
        <f t="shared" si="4"/>
        <v>-2.2718964792203394E-3</v>
      </c>
      <c r="J93">
        <f t="shared" si="5"/>
        <v>1.151010861726709E-2</v>
      </c>
    </row>
    <row r="94" spans="1:10" x14ac:dyDescent="0.2">
      <c r="A94" s="3">
        <f>Data!A94</f>
        <v>40816</v>
      </c>
      <c r="B94">
        <f>Data!F94 - Factors!AB96</f>
        <v>-8.3202631880940903E-4</v>
      </c>
      <c r="C94">
        <f>Factors!M96</f>
        <v>2.3388110335182954E-3</v>
      </c>
      <c r="D94">
        <f>Factors!K96</f>
        <v>-1.6798196857655046E-2</v>
      </c>
      <c r="G94" cm="1">
        <f t="array" ref="G94">TREND(B58:B93, C58:D93, C94:D94, TRUE)</f>
        <v>-1.8326736983360281E-3</v>
      </c>
      <c r="H94">
        <f t="shared" si="3"/>
        <v>1.000647379526619E-3</v>
      </c>
      <c r="I94">
        <f t="shared" si="4"/>
        <v>1.000647379526619E-3</v>
      </c>
      <c r="J94">
        <f t="shared" si="5"/>
        <v>-8.3202631880940903E-4</v>
      </c>
    </row>
    <row r="95" spans="1:10" x14ac:dyDescent="0.2">
      <c r="A95" s="3">
        <f>Data!A95</f>
        <v>40847</v>
      </c>
      <c r="B95">
        <f>Data!F95 - Factors!AB97</f>
        <v>1.1223092991877515E-2</v>
      </c>
      <c r="C95">
        <f>Factors!M97</f>
        <v>1.1497070344723692E-2</v>
      </c>
      <c r="D95">
        <f>Factors!K97</f>
        <v>1.2663566680903848E-2</v>
      </c>
      <c r="G95" cm="1">
        <f t="array" ref="G95">TREND(B59:B94, C59:D94, C95:D95, TRUE)</f>
        <v>1.2425373383133398E-2</v>
      </c>
      <c r="H95">
        <f t="shared" si="3"/>
        <v>-1.2022803912558836E-3</v>
      </c>
      <c r="I95">
        <f t="shared" si="4"/>
        <v>-1.2022803912558836E-3</v>
      </c>
      <c r="J95">
        <f t="shared" si="5"/>
        <v>1.1223092991877515E-2</v>
      </c>
    </row>
    <row r="96" spans="1:10" x14ac:dyDescent="0.2">
      <c r="A96" s="3">
        <f>Data!A96</f>
        <v>40877</v>
      </c>
      <c r="B96">
        <f>Data!F96 - Factors!AB98</f>
        <v>1.296199895887562E-2</v>
      </c>
      <c r="C96">
        <f>Factors!M98</f>
        <v>1.1380370957218666E-2</v>
      </c>
      <c r="D96">
        <f>Factors!K98</f>
        <v>-5.9492301937030811E-3</v>
      </c>
      <c r="G96" cm="1">
        <f t="array" ref="G96">TREND(B60:B95, C60:D95, C96:D96, TRUE)</f>
        <v>8.4642207057114855E-3</v>
      </c>
      <c r="H96">
        <f t="shared" si="3"/>
        <v>4.4977782531641346E-3</v>
      </c>
      <c r="I96">
        <f t="shared" si="4"/>
        <v>4.4977782531641346E-3</v>
      </c>
      <c r="J96">
        <f t="shared" si="5"/>
        <v>1.296199895887562E-2</v>
      </c>
    </row>
    <row r="97" spans="1:10" x14ac:dyDescent="0.2">
      <c r="A97" s="3">
        <f>Data!A97</f>
        <v>40907</v>
      </c>
      <c r="B97">
        <f>Data!F97 - Factors!AB99</f>
        <v>2.0602759181309604E-3</v>
      </c>
      <c r="C97">
        <f>Factors!M99</f>
        <v>3.5618508722616848E-3</v>
      </c>
      <c r="D97">
        <f>Factors!K99</f>
        <v>3.790460460686651E-3</v>
      </c>
      <c r="G97" cm="1">
        <f t="array" ref="G97">TREND(B61:B96, C61:D96, C97:D97, TRUE)</f>
        <v>4.4565162146119417E-3</v>
      </c>
      <c r="H97">
        <f t="shared" si="3"/>
        <v>-2.3962402964809813E-3</v>
      </c>
      <c r="I97">
        <f t="shared" si="4"/>
        <v>-2.3962402964809813E-3</v>
      </c>
      <c r="J97">
        <f t="shared" si="5"/>
        <v>2.0602759181309604E-3</v>
      </c>
    </row>
    <row r="98" spans="1:10" x14ac:dyDescent="0.2">
      <c r="A98" s="3">
        <f>Data!A98</f>
        <v>40939</v>
      </c>
      <c r="B98">
        <f>Data!F98 - Factors!AB100</f>
        <v>2.545106997995239E-2</v>
      </c>
      <c r="C98">
        <f>Factors!M100</f>
        <v>2.8705893156408591E-2</v>
      </c>
      <c r="D98">
        <f>Factors!K100</f>
        <v>1.9738373130252063E-2</v>
      </c>
      <c r="G98" cm="1">
        <f t="array" ref="G98">TREND(B62:B97, C62:D97, C98:D98, TRUE)</f>
        <v>2.8553921714892946E-2</v>
      </c>
      <c r="H98">
        <f t="shared" si="3"/>
        <v>-3.1028517349405565E-3</v>
      </c>
      <c r="I98">
        <f t="shared" si="4"/>
        <v>-3.1028517349405565E-3</v>
      </c>
      <c r="J98">
        <f t="shared" si="5"/>
        <v>2.545106997995239E-2</v>
      </c>
    </row>
    <row r="99" spans="1:10" x14ac:dyDescent="0.2">
      <c r="A99" s="3">
        <f>Data!A99</f>
        <v>40968</v>
      </c>
      <c r="B99">
        <f>Data!F99 - Factors!AB101</f>
        <v>-3.2189280242237439E-3</v>
      </c>
      <c r="C99">
        <f>Factors!M101</f>
        <v>-3.6465563029186576E-3</v>
      </c>
      <c r="D99">
        <f>Factors!K101</f>
        <v>1.5767517064045E-2</v>
      </c>
      <c r="G99" cm="1">
        <f t="array" ref="G99">TREND(B63:B98, C63:D98, C99:D99, TRUE)</f>
        <v>-1.9273643484671835E-3</v>
      </c>
      <c r="H99">
        <f t="shared" si="3"/>
        <v>-1.2915636757565604E-3</v>
      </c>
      <c r="I99">
        <f t="shared" si="4"/>
        <v>-1.2915636757565604E-3</v>
      </c>
      <c r="J99">
        <f t="shared" si="5"/>
        <v>-3.2189280242237439E-3</v>
      </c>
    </row>
    <row r="100" spans="1:10" x14ac:dyDescent="0.2">
      <c r="A100" s="3">
        <f>Data!A100</f>
        <v>40998</v>
      </c>
      <c r="B100">
        <f>Data!F100 - Factors!AB102</f>
        <v>-5.5639715915867249E-3</v>
      </c>
      <c r="C100">
        <f>Factors!M102</f>
        <v>-8.1575057115979011E-3</v>
      </c>
      <c r="D100">
        <f>Factors!K102</f>
        <v>5.1561418228793787E-3</v>
      </c>
      <c r="G100" cm="1">
        <f t="array" ref="G100">TREND(B64:B99, C64:D99, C100:D100, TRUE)</f>
        <v>-7.2730505284510031E-3</v>
      </c>
      <c r="H100">
        <f t="shared" si="3"/>
        <v>1.7090789368642782E-3</v>
      </c>
      <c r="I100">
        <f t="shared" si="4"/>
        <v>1.7090789368642782E-3</v>
      </c>
      <c r="J100">
        <f t="shared" si="5"/>
        <v>-5.5639715915867249E-3</v>
      </c>
    </row>
    <row r="101" spans="1:10" x14ac:dyDescent="0.2">
      <c r="A101" s="3">
        <f>Data!A101</f>
        <v>41029</v>
      </c>
      <c r="B101">
        <f>Data!F101 - Factors!AB103</f>
        <v>2.0287823631149449E-2</v>
      </c>
      <c r="C101">
        <f>Factors!M103</f>
        <v>2.2289066840101457E-2</v>
      </c>
      <c r="D101">
        <f>Factors!K103</f>
        <v>2.9085840630864723E-3</v>
      </c>
      <c r="G101" cm="1">
        <f t="array" ref="G101">TREND(B65:B100, C65:D100, C101:D101, TRUE)</f>
        <v>1.9638843049187504E-2</v>
      </c>
      <c r="H101">
        <f t="shared" si="3"/>
        <v>6.489805819619443E-4</v>
      </c>
      <c r="I101">
        <f t="shared" si="4"/>
        <v>6.489805819619443E-4</v>
      </c>
      <c r="J101">
        <f t="shared" si="5"/>
        <v>2.0287823631149449E-2</v>
      </c>
    </row>
    <row r="102" spans="1:10" x14ac:dyDescent="0.2">
      <c r="A102" s="3">
        <f>Data!A102</f>
        <v>41060</v>
      </c>
      <c r="B102">
        <f>Data!F102 - Factors!AB104</f>
        <v>1.8324495543107222E-2</v>
      </c>
      <c r="C102">
        <f>Factors!M104</f>
        <v>2.4175591135616514E-2</v>
      </c>
      <c r="D102">
        <f>Factors!K104</f>
        <v>-1.0544197695849133E-2</v>
      </c>
      <c r="G102" cm="1">
        <f t="array" ref="G102">TREND(B66:B101, C66:D101, C102:D102, TRUE)</f>
        <v>2.0078589082749728E-2</v>
      </c>
      <c r="H102">
        <f t="shared" ref="H102:H121" si="6">B102 - G102</f>
        <v>-1.754093539642506E-3</v>
      </c>
      <c r="I102">
        <f t="shared" ref="I102:I121" si="7">IF(OR(YEAR(A102)=2008, YEAR(A102)=2009), "", H102)</f>
        <v>-1.754093539642506E-3</v>
      </c>
      <c r="J102">
        <f t="shared" ref="J102:J121" si="8">IF(OR(YEAR(A102)=2008, YEAR(A102)=2009), "", B102)</f>
        <v>1.8324495543107222E-2</v>
      </c>
    </row>
    <row r="103" spans="1:10" x14ac:dyDescent="0.2">
      <c r="A103" s="3">
        <f>Data!A103</f>
        <v>41089</v>
      </c>
      <c r="B103">
        <f>Data!F103 - Factors!AB105</f>
        <v>-3.5917039025920028E-3</v>
      </c>
      <c r="C103">
        <f>Factors!M105</f>
        <v>-1.5960934534285931E-3</v>
      </c>
      <c r="D103">
        <f>Factors!K105</f>
        <v>8.8261545297985133E-3</v>
      </c>
      <c r="G103" cm="1">
        <f t="array" ref="G103">TREND(B67:B102, C67:D102, C103:D103, TRUE)</f>
        <v>-4.3825002997468089E-4</v>
      </c>
      <c r="H103">
        <f t="shared" si="6"/>
        <v>-3.1534538726173218E-3</v>
      </c>
      <c r="I103">
        <f t="shared" si="7"/>
        <v>-3.1534538726173218E-3</v>
      </c>
      <c r="J103">
        <f t="shared" si="8"/>
        <v>-3.5917039025920028E-3</v>
      </c>
    </row>
    <row r="104" spans="1:10" x14ac:dyDescent="0.2">
      <c r="A104" s="3">
        <f>Data!A104</f>
        <v>41121</v>
      </c>
      <c r="B104">
        <f>Data!F104 - Factors!AB106</f>
        <v>1.4254054744972988E-2</v>
      </c>
      <c r="C104">
        <f>Factors!M106</f>
        <v>1.7939389749660917E-2</v>
      </c>
      <c r="D104">
        <f>Factors!K106</f>
        <v>1.2016349389969205E-2</v>
      </c>
      <c r="G104" cm="1">
        <f t="array" ref="G104">TREND(B68:B103, C68:D103, C104:D104, TRUE)</f>
        <v>1.6635115463174623E-2</v>
      </c>
      <c r="H104">
        <f t="shared" si="6"/>
        <v>-2.3810607182016344E-3</v>
      </c>
      <c r="I104">
        <f t="shared" si="7"/>
        <v>-2.3810607182016344E-3</v>
      </c>
      <c r="J104">
        <f t="shared" si="8"/>
        <v>1.4254054744972988E-2</v>
      </c>
    </row>
    <row r="105" spans="1:10" x14ac:dyDescent="0.2">
      <c r="A105" s="3">
        <f>Data!A105</f>
        <v>41152</v>
      </c>
      <c r="B105">
        <f>Data!F105 - Factors!AB107</f>
        <v>3.758403309968017E-4</v>
      </c>
      <c r="C105">
        <f>Factors!M107</f>
        <v>-2.3769301946535704E-3</v>
      </c>
      <c r="D105">
        <f>Factors!K107</f>
        <v>1.0532068083051627E-2</v>
      </c>
      <c r="G105" cm="1">
        <f t="array" ref="G105">TREND(B69:B104, C69:D104, C105:D105, TRUE)</f>
        <v>-9.8529778643286978E-4</v>
      </c>
      <c r="H105">
        <f t="shared" si="6"/>
        <v>1.3611381174296715E-3</v>
      </c>
      <c r="I105">
        <f t="shared" si="7"/>
        <v>1.3611381174296715E-3</v>
      </c>
      <c r="J105">
        <f t="shared" si="8"/>
        <v>3.758403309968017E-4</v>
      </c>
    </row>
    <row r="106" spans="1:10" x14ac:dyDescent="0.2">
      <c r="A106" s="3">
        <f>Data!A106</f>
        <v>41180</v>
      </c>
      <c r="B106">
        <f>Data!F106 - Factors!AB108</f>
        <v>1.011820416982645E-2</v>
      </c>
      <c r="C106">
        <f>Factors!M108</f>
        <v>7.1775627770827022E-3</v>
      </c>
      <c r="D106">
        <f>Factors!K108</f>
        <v>1.3131178017094181E-2</v>
      </c>
      <c r="G106" cm="1">
        <f t="array" ref="G106">TREND(B70:B105, C70:D105, C106:D106, TRUE)</f>
        <v>7.4919196218956007E-3</v>
      </c>
      <c r="H106">
        <f t="shared" si="6"/>
        <v>2.6262845479308496E-3</v>
      </c>
      <c r="I106">
        <f t="shared" si="7"/>
        <v>2.6262845479308496E-3</v>
      </c>
      <c r="J106">
        <f t="shared" si="8"/>
        <v>1.011820416982645E-2</v>
      </c>
    </row>
    <row r="107" spans="1:10" x14ac:dyDescent="0.2">
      <c r="A107" s="3">
        <f>Data!A107</f>
        <v>41213</v>
      </c>
      <c r="B107">
        <f>Data!F107 - Factors!AB109</f>
        <v>5.7418970255702639E-3</v>
      </c>
      <c r="C107">
        <f>Factors!M109</f>
        <v>7.4643573767028126E-3</v>
      </c>
      <c r="D107">
        <f>Factors!K109</f>
        <v>6.4806662306513552E-3</v>
      </c>
      <c r="G107" cm="1">
        <f t="array" ref="G107">TREND(B71:B106, C71:D106, C107:D107, TRUE)</f>
        <v>7.1155250132632136E-3</v>
      </c>
      <c r="H107">
        <f t="shared" si="6"/>
        <v>-1.3736279876929497E-3</v>
      </c>
      <c r="I107">
        <f t="shared" si="7"/>
        <v>-1.3736279876929497E-3</v>
      </c>
      <c r="J107">
        <f t="shared" si="8"/>
        <v>5.7418970255702639E-3</v>
      </c>
    </row>
    <row r="108" spans="1:10" x14ac:dyDescent="0.2">
      <c r="A108" s="3">
        <f>Data!A108</f>
        <v>41243</v>
      </c>
      <c r="B108">
        <f>Data!F108 - Factors!AB110</f>
        <v>6.3824219891057687E-3</v>
      </c>
      <c r="C108">
        <f>Factors!M110</f>
        <v>7.14489374905658E-3</v>
      </c>
      <c r="D108">
        <f>Factors!K110</f>
        <v>5.6097898553779668E-3</v>
      </c>
      <c r="G108" cm="1">
        <f t="array" ref="G108">TREND(B72:B107, C72:D107, C108:D108, TRUE)</f>
        <v>6.703325300864712E-3</v>
      </c>
      <c r="H108">
        <f t="shared" si="6"/>
        <v>-3.209033117589433E-4</v>
      </c>
      <c r="I108">
        <f t="shared" si="7"/>
        <v>-3.209033117589433E-4</v>
      </c>
      <c r="J108">
        <f t="shared" si="8"/>
        <v>6.3824219891057687E-3</v>
      </c>
    </row>
    <row r="109" spans="1:10" x14ac:dyDescent="0.2">
      <c r="A109" s="3">
        <f>Data!A109</f>
        <v>41274</v>
      </c>
      <c r="B109">
        <f>Data!F109 - Factors!AB111</f>
        <v>-7.7824117134394077E-3</v>
      </c>
      <c r="C109">
        <f>Factors!M111</f>
        <v>-1.0766207597128985E-2</v>
      </c>
      <c r="D109">
        <f>Factors!K111</f>
        <v>1.1757510952544958E-2</v>
      </c>
      <c r="G109" cm="1">
        <f t="array" ref="G109">TREND(B73:B108, C73:D108, C109:D109, TRUE)</f>
        <v>-8.0496820244202599E-3</v>
      </c>
      <c r="H109">
        <f t="shared" si="6"/>
        <v>2.6727031098085219E-4</v>
      </c>
      <c r="I109">
        <f t="shared" si="7"/>
        <v>2.6727031098085219E-4</v>
      </c>
      <c r="J109">
        <f t="shared" si="8"/>
        <v>-7.7824117134394077E-3</v>
      </c>
    </row>
    <row r="110" spans="1:10" x14ac:dyDescent="0.2">
      <c r="A110" s="3">
        <f>Data!A110</f>
        <v>41305</v>
      </c>
      <c r="B110">
        <f>Data!F110 - Factors!AB112</f>
        <v>-7.9613245648367803E-3</v>
      </c>
      <c r="C110">
        <f>Factors!M112</f>
        <v>-9.3682925802787143E-3</v>
      </c>
      <c r="D110">
        <f>Factors!K112</f>
        <v>1.7690871787318097E-2</v>
      </c>
      <c r="G110" cm="1">
        <f t="array" ref="G110">TREND(B74:B109, C74:D109, C110:D110, TRUE)</f>
        <v>-6.1659213837664574E-3</v>
      </c>
      <c r="H110">
        <f t="shared" si="6"/>
        <v>-1.7954031810703229E-3</v>
      </c>
      <c r="I110">
        <f t="shared" si="7"/>
        <v>-1.7954031810703229E-3</v>
      </c>
      <c r="J110">
        <f t="shared" si="8"/>
        <v>-7.9613245648367803E-3</v>
      </c>
    </row>
    <row r="111" spans="1:10" x14ac:dyDescent="0.2">
      <c r="A111" s="3">
        <f>Data!A111</f>
        <v>41333</v>
      </c>
      <c r="B111">
        <f>Data!F111 - Factors!AB113</f>
        <v>5.2677673337726549E-3</v>
      </c>
      <c r="C111">
        <f>Factors!M113</f>
        <v>5.1787717092071084E-3</v>
      </c>
      <c r="D111">
        <f>Factors!K113</f>
        <v>3.8791295056148645E-3</v>
      </c>
      <c r="G111" cm="1">
        <f t="array" ref="G111">TREND(B75:B110, C75:D110, C111:D111, TRUE)</f>
        <v>4.7646712684574375E-3</v>
      </c>
      <c r="H111">
        <f t="shared" si="6"/>
        <v>5.030960653152174E-4</v>
      </c>
      <c r="I111">
        <f t="shared" si="7"/>
        <v>5.030960653152174E-4</v>
      </c>
      <c r="J111">
        <f t="shared" si="8"/>
        <v>5.2677673337726549E-3</v>
      </c>
    </row>
    <row r="112" spans="1:10" x14ac:dyDescent="0.2">
      <c r="A112" s="3">
        <f>Data!A112</f>
        <v>41362</v>
      </c>
      <c r="B112">
        <f>Data!F112 - Factors!AB114</f>
        <v>5.372909659159042E-3</v>
      </c>
      <c r="C112">
        <f>Factors!M114</f>
        <v>3.7827077425052202E-3</v>
      </c>
      <c r="D112">
        <f>Factors!K114</f>
        <v>8.8292465396606623E-3</v>
      </c>
      <c r="G112" cm="1">
        <f t="array" ref="G112">TREND(B76:B111, C76:D111, C112:D112, TRUE)</f>
        <v>3.9737636869526484E-3</v>
      </c>
      <c r="H112">
        <f t="shared" si="6"/>
        <v>1.3991459722063936E-3</v>
      </c>
      <c r="I112">
        <f t="shared" si="7"/>
        <v>1.3991459722063936E-3</v>
      </c>
      <c r="J112">
        <f t="shared" si="8"/>
        <v>5.372909659159042E-3</v>
      </c>
    </row>
    <row r="113" spans="1:10" x14ac:dyDescent="0.2">
      <c r="A113" s="3">
        <f>Data!A113</f>
        <v>41394</v>
      </c>
      <c r="B113">
        <f>Data!F113 - Factors!AB115</f>
        <v>6.5275320369748702E-3</v>
      </c>
      <c r="C113">
        <f>Factors!M115</f>
        <v>7.5579583828075947E-3</v>
      </c>
      <c r="D113">
        <f>Factors!K115</f>
        <v>1.0642850099580548E-2</v>
      </c>
      <c r="G113" cm="1">
        <f t="array" ref="G113">TREND(B77:B112, C77:D112, C113:D113, TRUE)</f>
        <v>7.4048048200013906E-3</v>
      </c>
      <c r="H113">
        <f t="shared" si="6"/>
        <v>-8.7727278302652048E-4</v>
      </c>
      <c r="I113">
        <f t="shared" si="7"/>
        <v>-8.7727278302652048E-4</v>
      </c>
      <c r="J113">
        <f t="shared" si="8"/>
        <v>6.5275320369748702E-3</v>
      </c>
    </row>
    <row r="114" spans="1:10" x14ac:dyDescent="0.2">
      <c r="A114" s="3">
        <f>Data!A114</f>
        <v>41425</v>
      </c>
      <c r="B114">
        <f>Data!F114 - Factors!AB116</f>
        <v>-4.7184527690352529E-2</v>
      </c>
      <c r="C114">
        <f>Factors!M116</f>
        <v>-5.2070056374402984E-2</v>
      </c>
      <c r="D114">
        <f>Factors!K116</f>
        <v>6.2482883066472539E-4</v>
      </c>
      <c r="G114" cm="1">
        <f t="array" ref="G114">TREND(B78:B113, C78:D113, C114:D114, TRUE)</f>
        <v>-4.5217323824005347E-2</v>
      </c>
      <c r="H114">
        <f t="shared" si="6"/>
        <v>-1.9672038663471822E-3</v>
      </c>
      <c r="I114">
        <f t="shared" si="7"/>
        <v>-1.9672038663471822E-3</v>
      </c>
      <c r="J114">
        <f t="shared" si="8"/>
        <v>-4.7184527690352529E-2</v>
      </c>
    </row>
    <row r="115" spans="1:10" x14ac:dyDescent="0.2">
      <c r="A115" s="3">
        <f>Data!A115</f>
        <v>41453</v>
      </c>
      <c r="B115">
        <f>Data!F115 - Factors!AB117</f>
        <v>-5.3882066738813572E-2</v>
      </c>
      <c r="C115">
        <f>Factors!M117</f>
        <v>-5.4934687633633517E-2</v>
      </c>
      <c r="D115">
        <f>Factors!K117</f>
        <v>-1.1939816983510876E-2</v>
      </c>
      <c r="G115" cm="1">
        <f t="array" ref="G115">TREND(B79:B114, C79:D114, C115:D115, TRUE)</f>
        <v>-4.9725284133821532E-2</v>
      </c>
      <c r="H115">
        <f t="shared" si="6"/>
        <v>-4.1567826049920403E-3</v>
      </c>
      <c r="I115">
        <f t="shared" si="7"/>
        <v>-4.1567826049920403E-3</v>
      </c>
      <c r="J115">
        <f t="shared" si="8"/>
        <v>-5.3882066738813572E-2</v>
      </c>
    </row>
    <row r="116" spans="1:10" x14ac:dyDescent="0.2">
      <c r="A116" s="3">
        <f>Data!A116</f>
        <v>41486</v>
      </c>
      <c r="B116">
        <f>Data!F116 - Factors!AB118</f>
        <v>7.3875943266201727E-3</v>
      </c>
      <c r="C116">
        <f>Factors!M118</f>
        <v>2.957475789748587E-3</v>
      </c>
      <c r="D116">
        <f>Factors!K118</f>
        <v>5.7471738327656841E-3</v>
      </c>
      <c r="G116" cm="1">
        <f t="array" ref="G116">TREND(B80:B115, C80:D115, C116:D116, TRUE)</f>
        <v>2.708441450618106E-3</v>
      </c>
      <c r="H116">
        <f t="shared" si="6"/>
        <v>4.6791528760020667E-3</v>
      </c>
      <c r="I116">
        <f t="shared" si="7"/>
        <v>4.6791528760020667E-3</v>
      </c>
      <c r="J116">
        <f t="shared" si="8"/>
        <v>7.3875943266201727E-3</v>
      </c>
    </row>
    <row r="117" spans="1:10" x14ac:dyDescent="0.2">
      <c r="A117" s="3">
        <f>Data!A117</f>
        <v>41516</v>
      </c>
      <c r="B117">
        <f>Data!F117 - Factors!AB119</f>
        <v>-1.0139180827203331E-2</v>
      </c>
      <c r="C117">
        <f>Factors!M119</f>
        <v>-1.0464824237463088E-2</v>
      </c>
      <c r="D117">
        <f>Factors!K119</f>
        <v>-1.1417343102947397E-3</v>
      </c>
      <c r="G117" cm="1">
        <f t="array" ref="G117">TREND(B81:B116, C81:D116, C117:D117, TRUE)</f>
        <v>-9.9795999616904777E-3</v>
      </c>
      <c r="H117">
        <f t="shared" si="6"/>
        <v>-1.5958086551285354E-4</v>
      </c>
      <c r="I117">
        <f t="shared" si="7"/>
        <v>-1.5958086551285354E-4</v>
      </c>
      <c r="J117">
        <f t="shared" si="8"/>
        <v>-1.0139180827203331E-2</v>
      </c>
    </row>
    <row r="118" spans="1:10" x14ac:dyDescent="0.2">
      <c r="A118" s="3">
        <f>Data!A118</f>
        <v>41547</v>
      </c>
      <c r="B118">
        <f>Data!F118 - Factors!AB120</f>
        <v>1.6455522221116459E-2</v>
      </c>
      <c r="C118">
        <f>Factors!M120</f>
        <v>1.6977194532704187E-2</v>
      </c>
      <c r="D118">
        <f>Factors!K120</f>
        <v>1.1006305486822576E-2</v>
      </c>
      <c r="G118" cm="1">
        <f t="array" ref="G118">TREND(B82:B117, C82:D117, C118:D118, TRUE)</f>
        <v>1.6073032525679255E-2</v>
      </c>
      <c r="H118">
        <f t="shared" si="6"/>
        <v>3.824896954372041E-4</v>
      </c>
      <c r="I118">
        <f t="shared" si="7"/>
        <v>3.824896954372041E-4</v>
      </c>
      <c r="J118">
        <f t="shared" si="8"/>
        <v>1.6455522221116459E-2</v>
      </c>
    </row>
    <row r="119" spans="1:10" x14ac:dyDescent="0.2">
      <c r="A119" s="3">
        <f>Data!A119</f>
        <v>41578</v>
      </c>
      <c r="B119">
        <f>Data!F119 - Factors!AB121</f>
        <v>8.318373627398401E-3</v>
      </c>
      <c r="C119">
        <f>Factors!M121</f>
        <v>9.183428233380253E-3</v>
      </c>
      <c r="D119">
        <f>Factors!K121</f>
        <v>1.0998449253881493E-2</v>
      </c>
      <c r="G119" cm="1">
        <f t="array" ref="G119">TREND(B83:B118, C83:D118, C119:D119, TRUE)</f>
        <v>9.2595254200042651E-3</v>
      </c>
      <c r="H119">
        <f t="shared" si="6"/>
        <v>-9.4115179260586407E-4</v>
      </c>
      <c r="I119">
        <f t="shared" si="7"/>
        <v>-9.4115179260586407E-4</v>
      </c>
      <c r="J119">
        <f t="shared" si="8"/>
        <v>8.318373627398401E-3</v>
      </c>
    </row>
    <row r="120" spans="1:10" x14ac:dyDescent="0.2">
      <c r="A120" s="3">
        <f>Data!A120</f>
        <v>41607</v>
      </c>
      <c r="B120">
        <f>Data!F120 - Factors!AB122</f>
        <v>-1.1446325854465256E-2</v>
      </c>
      <c r="C120">
        <f>Factors!M122</f>
        <v>-1.5287032584552662E-2</v>
      </c>
      <c r="D120">
        <f>Factors!K122</f>
        <v>4.7831924152106353E-3</v>
      </c>
      <c r="G120" cm="1">
        <f t="array" ref="G120">TREND(B84:B119, C84:D119, C120:D120, TRUE)</f>
        <v>-1.356189305595064E-2</v>
      </c>
      <c r="H120">
        <f t="shared" si="6"/>
        <v>2.1155672014853844E-3</v>
      </c>
      <c r="I120">
        <f t="shared" si="7"/>
        <v>2.1155672014853844E-3</v>
      </c>
      <c r="J120">
        <f t="shared" si="8"/>
        <v>-1.1446325854465256E-2</v>
      </c>
    </row>
    <row r="121" spans="1:10" x14ac:dyDescent="0.2">
      <c r="A121" s="3">
        <f>Data!A121</f>
        <v>41639</v>
      </c>
      <c r="B121">
        <f>Data!F121 - Factors!AB123</f>
        <v>-2.0900099074379619E-2</v>
      </c>
      <c r="C121">
        <f>Factors!M123</f>
        <v>-2.0891371379937351E-2</v>
      </c>
      <c r="D121">
        <f>Factors!K123</f>
        <v>7.684990367479827E-3</v>
      </c>
      <c r="G121" cm="1">
        <f t="array" ref="G121">TREND(B85:B120, C85:D120, C121:D121, TRUE)</f>
        <v>-1.8261871558453414E-2</v>
      </c>
      <c r="H121">
        <f t="shared" si="6"/>
        <v>-2.6382275159262045E-3</v>
      </c>
      <c r="I121">
        <f t="shared" si="7"/>
        <v>-2.6382275159262045E-3</v>
      </c>
      <c r="J121">
        <f t="shared" si="8"/>
        <v>-2.0900099074379619E-2</v>
      </c>
    </row>
    <row r="122" spans="1:10" x14ac:dyDescent="0.2">
      <c r="A122" s="3"/>
    </row>
    <row r="123" spans="1:10" x14ac:dyDescent="0.2">
      <c r="A123" s="3"/>
    </row>
    <row r="124" spans="1:10" x14ac:dyDescent="0.2">
      <c r="A124" s="3"/>
    </row>
  </sheetData>
  <mergeCells count="1">
    <mergeCell ref="G37:J3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7962F-E597-416F-819C-739D43F6FEE9}">
  <sheetPr>
    <tabColor theme="9" tint="0.59999389629810485"/>
  </sheetPr>
  <dimension ref="A1:P124"/>
  <sheetViews>
    <sheetView zoomScale="79" workbookViewId="0">
      <selection activeCell="C1" sqref="C1:F1048576"/>
    </sheetView>
  </sheetViews>
  <sheetFormatPr baseColWidth="10" defaultColWidth="8.83203125" defaultRowHeight="15" x14ac:dyDescent="0.2"/>
  <cols>
    <col min="1" max="1" width="9.33203125" bestFit="1" customWidth="1"/>
    <col min="2" max="2" width="12.6640625" bestFit="1" customWidth="1"/>
    <col min="3" max="3" width="12.83203125" bestFit="1" customWidth="1"/>
    <col min="4" max="4" width="14.1640625" bestFit="1" customWidth="1"/>
    <col min="5" max="5" width="27.5" bestFit="1" customWidth="1"/>
    <col min="6" max="6" width="20" bestFit="1" customWidth="1"/>
    <col min="7" max="8" width="12.6640625" customWidth="1"/>
    <col min="9" max="9" width="27.5" bestFit="1" customWidth="1"/>
    <col min="10" max="10" width="12.6640625" customWidth="1"/>
    <col min="11" max="11" width="13.5" bestFit="1" customWidth="1"/>
    <col min="12" max="12" width="15.1640625" bestFit="1" customWidth="1"/>
    <col min="13" max="13" width="12.6640625" customWidth="1"/>
    <col min="14" max="14" width="20.5" bestFit="1" customWidth="1"/>
    <col min="15" max="15" width="17.6640625" bestFit="1" customWidth="1"/>
    <col min="16" max="16" width="12.6640625" bestFit="1" customWidth="1"/>
    <col min="17" max="17" width="14.6640625" bestFit="1" customWidth="1"/>
    <col min="18" max="18" width="12.6640625" bestFit="1" customWidth="1"/>
    <col min="19" max="19" width="12" bestFit="1" customWidth="1"/>
    <col min="20" max="20" width="13.6640625" bestFit="1" customWidth="1"/>
    <col min="21" max="21" width="12.6640625" bestFit="1" customWidth="1"/>
    <col min="22" max="23" width="12.83203125" bestFit="1" customWidth="1"/>
  </cols>
  <sheetData>
    <row r="1" spans="1:15" x14ac:dyDescent="0.2">
      <c r="A1" s="14" t="s">
        <v>65</v>
      </c>
      <c r="B1" s="7" t="s">
        <v>152</v>
      </c>
      <c r="C1" s="13" t="s">
        <v>29</v>
      </c>
      <c r="D1" s="13" t="s">
        <v>13</v>
      </c>
      <c r="E1" s="15" t="s">
        <v>153</v>
      </c>
      <c r="F1" s="13" t="s">
        <v>154</v>
      </c>
      <c r="H1" s="14" t="s">
        <v>129</v>
      </c>
      <c r="I1" s="14" t="s">
        <v>118</v>
      </c>
      <c r="J1" s="14" t="s">
        <v>130</v>
      </c>
      <c r="K1" s="14" t="s">
        <v>131</v>
      </c>
      <c r="M1" s="14" t="s">
        <v>59</v>
      </c>
      <c r="N1" s="14" t="s">
        <v>132</v>
      </c>
      <c r="O1" s="14" t="s">
        <v>133</v>
      </c>
    </row>
    <row r="2" spans="1:15" x14ac:dyDescent="0.2">
      <c r="A2" s="3">
        <f>Data!A2</f>
        <v>38016</v>
      </c>
      <c r="B2">
        <f>Data!E2 - Factors!AB4</f>
        <v>5.7286923079391538E-3</v>
      </c>
      <c r="C2">
        <f>Factors!Z4</f>
        <v>-3.1291370802744023E-2</v>
      </c>
      <c r="D2">
        <f>Factors!J4</f>
        <v>1.5380019766567221E-2</v>
      </c>
      <c r="E2">
        <f>Factors!J4 - Factors!K4</f>
        <v>3.2700205686655437E-3</v>
      </c>
      <c r="F2">
        <f>Factors!H4 - Factors!AA4</f>
        <v>1.1450296976798224E-3</v>
      </c>
      <c r="M2" t="s">
        <v>29</v>
      </c>
      <c r="N2">
        <f>INDEX(LINEST(C2:C121, D2:F121, TRUE, TRUE), 3, 1)</f>
        <v>9.1420222637859511E-2</v>
      </c>
      <c r="O2" s="8">
        <f>1/(1-N2)</f>
        <v>1.1006188173186926</v>
      </c>
    </row>
    <row r="3" spans="1:15" x14ac:dyDescent="0.2">
      <c r="A3" s="3">
        <f>Data!A3</f>
        <v>38044</v>
      </c>
      <c r="B3">
        <f>Data!E3 - Factors!AB5</f>
        <v>1.9259224350265836E-2</v>
      </c>
      <c r="C3">
        <f>Factors!Z5</f>
        <v>-1.5654118524040306E-2</v>
      </c>
      <c r="D3">
        <f>Factors!J5</f>
        <v>1.0909982882428171E-2</v>
      </c>
      <c r="E3">
        <f>Factors!J5 - Factors!K5</f>
        <v>5.4099751638561067E-3</v>
      </c>
      <c r="F3">
        <f>Factors!H5 - Factors!AA5</f>
        <v>-2.7994449585027059E-3</v>
      </c>
      <c r="M3" t="s">
        <v>13</v>
      </c>
      <c r="N3">
        <f>INDEX(LINEST(D2:D121, CHOOSE({1,2}, C2:C121, E2:F121), TRUE, TRUE), 3, 1)</f>
        <v>0.12563651555396804</v>
      </c>
      <c r="O3">
        <f>1/(1-N3)</f>
        <v>1.1436891153266393</v>
      </c>
    </row>
    <row r="4" spans="1:15" x14ac:dyDescent="0.2">
      <c r="A4" s="3">
        <f>Data!A4</f>
        <v>38077</v>
      </c>
      <c r="B4">
        <f>Data!E4 - Factors!AB6</f>
        <v>1.043890853045526E-2</v>
      </c>
      <c r="C4">
        <f>Factors!Z6</f>
        <v>7.6486179477470717E-2</v>
      </c>
      <c r="D4">
        <f>Factors!J6</f>
        <v>4.4400218583666717E-3</v>
      </c>
      <c r="E4">
        <f>Factors!J6 - Factors!K6</f>
        <v>1.1003247716878661E-4</v>
      </c>
      <c r="F4">
        <f>Factors!H6 - Factors!AA6</f>
        <v>1.8676230293140583E-2</v>
      </c>
      <c r="M4" t="s">
        <v>153</v>
      </c>
      <c r="N4">
        <f>INDEX(LINEST(E2:E121, CHOOSE({1,2}, C2:D121, F2:F121), TRUE, TRUE), 3, 1)</f>
        <v>2.4900212441923836E-2</v>
      </c>
      <c r="O4">
        <f>1/(1-N4)</f>
        <v>1.0255360659079631</v>
      </c>
    </row>
    <row r="5" spans="1:15" x14ac:dyDescent="0.2">
      <c r="A5" s="3">
        <f>Data!A5</f>
        <v>38107</v>
      </c>
      <c r="B5">
        <f>Data!E5 - Factors!AB7</f>
        <v>-2.919046412692472E-2</v>
      </c>
      <c r="C5">
        <f>Factors!Z7</f>
        <v>-9.3094149372728308E-2</v>
      </c>
      <c r="D5">
        <f>Factors!J7</f>
        <v>-7.0900013461940858E-3</v>
      </c>
      <c r="E5">
        <f>Factors!J7 - Factors!K7</f>
        <v>-2.0300025951655032E-3</v>
      </c>
      <c r="F5">
        <f>Factors!H7 - Factors!AA7</f>
        <v>-5.0815691786906259E-3</v>
      </c>
      <c r="M5" t="s">
        <v>154</v>
      </c>
      <c r="N5">
        <f>INDEX(LINEST(F2:F121, C2:E121, TRUE, TRUE), 3, 1)</f>
        <v>0.14358925060812547</v>
      </c>
      <c r="O5">
        <f>1/(1-N5)</f>
        <v>1.1676639985078261</v>
      </c>
    </row>
    <row r="6" spans="1:15" x14ac:dyDescent="0.2">
      <c r="A6" s="3">
        <f>Data!A6</f>
        <v>38138</v>
      </c>
      <c r="B6">
        <f>Data!E6 - Factors!AB8</f>
        <v>-7.739837617513845E-3</v>
      </c>
      <c r="C6">
        <f>Factors!Z8</f>
        <v>2.2753716871363849E-2</v>
      </c>
      <c r="D6">
        <f>Factors!J8</f>
        <v>-8.7800170451353132E-3</v>
      </c>
      <c r="E6">
        <f>Factors!J8 - Factors!K8</f>
        <v>-5.3300232453854512E-3</v>
      </c>
      <c r="F6">
        <f>Factors!H8 - Factors!AA8</f>
        <v>-1.5632895689677406E-2</v>
      </c>
      <c r="H6" t="s">
        <v>104</v>
      </c>
    </row>
    <row r="7" spans="1:15" ht="16" thickBot="1" x14ac:dyDescent="0.25">
      <c r="A7" s="3">
        <f>Data!A7</f>
        <v>38168</v>
      </c>
      <c r="B7">
        <f>Data!E7 - Factors!AB9</f>
        <v>-1.7678050233127518E-3</v>
      </c>
      <c r="C7">
        <f>Factors!Z9</f>
        <v>-3.2865630135254786E-3</v>
      </c>
      <c r="D7">
        <f>Factors!J9</f>
        <v>3.6000125969946062E-3</v>
      </c>
      <c r="E7">
        <f>Factors!J9 - Factors!K9</f>
        <v>1.9900115237942995E-3</v>
      </c>
      <c r="F7">
        <f>Factors!H9 - Factors!AA9</f>
        <v>-8.7949415806041209E-3</v>
      </c>
    </row>
    <row r="8" spans="1:15" x14ac:dyDescent="0.2">
      <c r="A8" s="3">
        <f>Data!A8</f>
        <v>38198</v>
      </c>
      <c r="B8">
        <f>Data!E8 - Factors!AB10</f>
        <v>-4.2606935921434275E-3</v>
      </c>
      <c r="C8">
        <f>Factors!Z10</f>
        <v>-8.1166772352567751E-3</v>
      </c>
      <c r="D8">
        <f>Factors!J10</f>
        <v>-5.649998580187221E-3</v>
      </c>
      <c r="E8">
        <f>Factors!J10 - Factors!K10</f>
        <v>-1.216998511697942E-2</v>
      </c>
      <c r="F8">
        <f>Factors!H10 - Factors!AA10</f>
        <v>1.4276937793218147E-2</v>
      </c>
      <c r="H8" s="6" t="s">
        <v>105</v>
      </c>
      <c r="I8" s="6"/>
    </row>
    <row r="9" spans="1:15" x14ac:dyDescent="0.2">
      <c r="A9" s="3">
        <f>Data!A9</f>
        <v>38230</v>
      </c>
      <c r="B9">
        <f>Data!E9 - Factors!AB11</f>
        <v>-3.4209798769805344E-3</v>
      </c>
      <c r="C9">
        <f>Factors!Z11</f>
        <v>4.8075693645313944E-2</v>
      </c>
      <c r="D9">
        <f>Factors!J11</f>
        <v>-9.0006462964087319E-5</v>
      </c>
      <c r="E9">
        <f>Factors!J11 - Factors!K11</f>
        <v>-8.3400215477897888E-3</v>
      </c>
      <c r="F9">
        <f>Factors!H11 - Factors!AA11</f>
        <v>-7.7149420326562135E-3</v>
      </c>
      <c r="H9" t="s">
        <v>106</v>
      </c>
      <c r="I9">
        <v>0.7917994134051366</v>
      </c>
    </row>
    <row r="10" spans="1:15" x14ac:dyDescent="0.2">
      <c r="A10" s="3">
        <f>Data!A10</f>
        <v>38260</v>
      </c>
      <c r="B10">
        <f>Data!E10 - Factors!AB12</f>
        <v>7.1391284360360352E-3</v>
      </c>
      <c r="C10">
        <f>Factors!Z12</f>
        <v>2.0495303159692613E-2</v>
      </c>
      <c r="D10">
        <f>Factors!J12</f>
        <v>8.2399999444353611E-3</v>
      </c>
      <c r="E10">
        <f>Factors!J12 - Factors!K12</f>
        <v>4.6800139095997118E-3</v>
      </c>
      <c r="F10">
        <f>Factors!H12 - Factors!AA12</f>
        <v>9.0394150116599459E-3</v>
      </c>
      <c r="H10" t="s">
        <v>107</v>
      </c>
      <c r="I10">
        <v>0.62694631106871834</v>
      </c>
    </row>
    <row r="11" spans="1:15" x14ac:dyDescent="0.2">
      <c r="A11" s="3">
        <f>Data!A11</f>
        <v>38289</v>
      </c>
      <c r="B11">
        <f>Data!E11 - Factors!AB13</f>
        <v>7.1705913184787473E-3</v>
      </c>
      <c r="C11">
        <f>Factors!Z13</f>
        <v>2.462641960549905E-2</v>
      </c>
      <c r="D11">
        <f>Factors!J13</f>
        <v>7.7799953911141806E-3</v>
      </c>
      <c r="E11">
        <f>Factors!J13 - Factors!K13</f>
        <v>4.6699963296139568E-3</v>
      </c>
      <c r="F11">
        <f>Factors!H13 - Factors!AA13</f>
        <v>-1.0527279307751547E-2</v>
      </c>
      <c r="H11" t="s">
        <v>108</v>
      </c>
      <c r="I11">
        <v>0.61397053058415207</v>
      </c>
    </row>
    <row r="12" spans="1:15" x14ac:dyDescent="0.2">
      <c r="A12" s="3">
        <f>Data!A12</f>
        <v>38321</v>
      </c>
      <c r="B12">
        <f>Data!E12 - Factors!AB14</f>
        <v>2.6660861335426E-2</v>
      </c>
      <c r="C12">
        <f>Factors!Z14</f>
        <v>5.2269280130673224E-2</v>
      </c>
      <c r="D12">
        <f>Factors!J14</f>
        <v>2.6389990525552465E-2</v>
      </c>
      <c r="E12">
        <f>Factors!J14 - Factors!K14</f>
        <v>1.5719983907416024E-2</v>
      </c>
      <c r="F12">
        <f>Factors!H14 - Factors!AA14</f>
        <v>-6.7615630409612049E-3</v>
      </c>
      <c r="H12" t="s">
        <v>109</v>
      </c>
      <c r="I12">
        <v>8.6184020545678267E-3</v>
      </c>
    </row>
    <row r="13" spans="1:15" ht="16" thickBot="1" x14ac:dyDescent="0.25">
      <c r="A13" s="3">
        <f>Data!A13</f>
        <v>38352</v>
      </c>
      <c r="B13">
        <f>Data!E13 - Factors!AB15</f>
        <v>4.1299612665233187E-3</v>
      </c>
      <c r="C13">
        <f>Factors!Z15</f>
        <v>-2.7719259341390412E-2</v>
      </c>
      <c r="D13">
        <f>Factors!J15</f>
        <v>1.5049999769568556E-2</v>
      </c>
      <c r="E13">
        <f>Factors!J15 - Factors!K15</f>
        <v>7.5899935769789817E-3</v>
      </c>
      <c r="F13">
        <f>Factors!H15 - Factors!AA15</f>
        <v>-1.6418659500056387E-2</v>
      </c>
      <c r="H13" s="4" t="s">
        <v>110</v>
      </c>
      <c r="I13" s="4">
        <v>120</v>
      </c>
    </row>
    <row r="14" spans="1:15" x14ac:dyDescent="0.2">
      <c r="A14" s="3">
        <f>Data!A14</f>
        <v>38383</v>
      </c>
      <c r="B14">
        <f>Data!E14 - Factors!AB16</f>
        <v>-7.4455304976432934E-3</v>
      </c>
      <c r="C14">
        <f>Factors!Z16</f>
        <v>-3.615007412475757E-2</v>
      </c>
      <c r="D14">
        <f>Factors!J16</f>
        <v>1.700118604137657E-4</v>
      </c>
      <c r="E14">
        <f>Factors!J16 - Factors!K16</f>
        <v>-2.8399794031672698E-3</v>
      </c>
      <c r="F14">
        <f>Factors!H16 - Factors!AA16</f>
        <v>1.85550084221352E-2</v>
      </c>
    </row>
    <row r="15" spans="1:15" ht="16" thickBot="1" x14ac:dyDescent="0.25">
      <c r="A15" s="3">
        <f>Data!A15</f>
        <v>38411</v>
      </c>
      <c r="B15">
        <f>Data!E15 - Factors!AB17</f>
        <v>1.6437410909368344E-2</v>
      </c>
      <c r="C15">
        <f>Factors!Z17</f>
        <v>3.0880265026029141E-2</v>
      </c>
      <c r="D15">
        <f>Factors!J17</f>
        <v>1.4190008623000905E-2</v>
      </c>
      <c r="E15">
        <f>Factors!J17 - Factors!K17</f>
        <v>6.3600110545871669E-3</v>
      </c>
      <c r="F15">
        <f>Factors!H17 - Factors!AA17</f>
        <v>2.3578104194732497E-4</v>
      </c>
      <c r="H15" t="s">
        <v>111</v>
      </c>
    </row>
    <row r="16" spans="1:15" x14ac:dyDescent="0.2">
      <c r="A16" s="3">
        <f>Data!A16</f>
        <v>38442</v>
      </c>
      <c r="B16">
        <f>Data!E16 - Factors!AB18</f>
        <v>-8.2899574515765684E-3</v>
      </c>
      <c r="C16">
        <f>Factors!Z18</f>
        <v>-1.675657064156999E-2</v>
      </c>
      <c r="D16">
        <f>Factors!J18</f>
        <v>-5.1600136702056876E-3</v>
      </c>
      <c r="E16">
        <f>Factors!J18 - Factors!K18</f>
        <v>-1.6600209895392126E-3</v>
      </c>
      <c r="F16">
        <f>Factors!H18 - Factors!AA18</f>
        <v>7.1780439117846706E-3</v>
      </c>
      <c r="H16" s="5"/>
      <c r="I16" s="5" t="s">
        <v>112</v>
      </c>
      <c r="J16" s="5" t="s">
        <v>113</v>
      </c>
      <c r="K16" s="5" t="s">
        <v>114</v>
      </c>
      <c r="L16" s="5" t="s">
        <v>115</v>
      </c>
      <c r="M16" s="5" t="s">
        <v>116</v>
      </c>
    </row>
    <row r="17" spans="1:16" x14ac:dyDescent="0.2">
      <c r="A17" s="3">
        <f>Data!A17</f>
        <v>38471</v>
      </c>
      <c r="B17">
        <f>Data!E17 - Factors!AB19</f>
        <v>-1.2824907896132887E-2</v>
      </c>
      <c r="C17">
        <f>Factors!Z19</f>
        <v>1.4100618652970631E-2</v>
      </c>
      <c r="D17">
        <f>Factors!J19</f>
        <v>-1.5129993096155925E-2</v>
      </c>
      <c r="E17">
        <f>Factors!J19 - Factors!K19</f>
        <v>-6.6899932505322113E-3</v>
      </c>
      <c r="F17">
        <f>Factors!H19 - Factors!AA19</f>
        <v>-3.3539855990342149E-3</v>
      </c>
      <c r="H17" t="s">
        <v>117</v>
      </c>
      <c r="I17">
        <v>4</v>
      </c>
      <c r="J17">
        <v>1.4355236558537626E-2</v>
      </c>
      <c r="K17">
        <v>3.5888091396344066E-3</v>
      </c>
      <c r="L17">
        <v>48.31665515723099</v>
      </c>
      <c r="M17">
        <v>8.8233460889631678E-24</v>
      </c>
    </row>
    <row r="18" spans="1:16" x14ac:dyDescent="0.2">
      <c r="A18" s="3">
        <f>Data!A18</f>
        <v>38503</v>
      </c>
      <c r="B18">
        <f>Data!E18 - Factors!AB20</f>
        <v>1.0608021571816284E-3</v>
      </c>
      <c r="C18">
        <f>Factors!Z20</f>
        <v>-3.9457630240106734E-2</v>
      </c>
      <c r="D18">
        <f>Factors!J20</f>
        <v>2.1699911997266064E-3</v>
      </c>
      <c r="E18">
        <f>Factors!J20 - Factors!K20</f>
        <v>3.2099952196215087E-3</v>
      </c>
      <c r="F18">
        <f>Factors!H20 - Factors!AA20</f>
        <v>-1.6298994743119799E-2</v>
      </c>
      <c r="H18" t="s">
        <v>118</v>
      </c>
      <c r="I18">
        <v>115</v>
      </c>
      <c r="J18">
        <v>8.5418382070305797E-3</v>
      </c>
      <c r="K18">
        <v>7.4276853974178947E-5</v>
      </c>
    </row>
    <row r="19" spans="1:16" ht="16" thickBot="1" x14ac:dyDescent="0.25">
      <c r="A19" s="3">
        <f>Data!A19</f>
        <v>38533</v>
      </c>
      <c r="B19">
        <f>Data!E19 - Factors!AB21</f>
        <v>8.2856708716096961E-3</v>
      </c>
      <c r="C19">
        <f>Factors!Z21</f>
        <v>4.3738765727980855E-2</v>
      </c>
      <c r="D19">
        <f>Factors!J21</f>
        <v>1.3040001049762218E-2</v>
      </c>
      <c r="E19">
        <f>Factors!J21 - Factors!K21</f>
        <v>3.449991045725298E-3</v>
      </c>
      <c r="F19">
        <f>Factors!H21 - Factors!AA21</f>
        <v>1.8180603069193113E-2</v>
      </c>
      <c r="H19" s="4" t="s">
        <v>119</v>
      </c>
      <c r="I19" s="4">
        <v>119</v>
      </c>
      <c r="J19" s="4">
        <v>2.2897074765568206E-2</v>
      </c>
      <c r="K19" s="4"/>
      <c r="L19" s="4"/>
      <c r="M19" s="4"/>
    </row>
    <row r="20" spans="1:16" ht="16" thickBot="1" x14ac:dyDescent="0.25">
      <c r="A20" s="3">
        <f>Data!A20</f>
        <v>38562</v>
      </c>
      <c r="B20">
        <f>Data!E20 - Factors!AB22</f>
        <v>4.9724202396477235E-3</v>
      </c>
      <c r="C20">
        <f>Factors!Z22</f>
        <v>-1.3088404133180243E-2</v>
      </c>
      <c r="D20">
        <f>Factors!J22</f>
        <v>1.8030012270868534E-2</v>
      </c>
      <c r="E20">
        <f>Factors!J22 - Factors!K22</f>
        <v>4.6300243355219539E-3</v>
      </c>
      <c r="F20">
        <f>Factors!H22 - Factors!AA22</f>
        <v>-7.6985043331008196E-3</v>
      </c>
    </row>
    <row r="21" spans="1:16" x14ac:dyDescent="0.2">
      <c r="A21" s="3">
        <f>Data!A21</f>
        <v>38595</v>
      </c>
      <c r="B21">
        <f>Data!E21 - Factors!AB23</f>
        <v>4.4625004696154935E-3</v>
      </c>
      <c r="C21">
        <f>Factors!Z23</f>
        <v>1.2563983248022215E-2</v>
      </c>
      <c r="D21">
        <f>Factors!J23</f>
        <v>8.4599893882217891E-3</v>
      </c>
      <c r="E21">
        <f>Factors!J23 - Factors!K23</f>
        <v>1.5499907765241794E-3</v>
      </c>
      <c r="F21">
        <f>Factors!H23 - Factors!AA23</f>
        <v>1.6534063539796917E-2</v>
      </c>
      <c r="H21" s="5"/>
      <c r="I21" s="5" t="s">
        <v>120</v>
      </c>
      <c r="J21" s="5" t="s">
        <v>109</v>
      </c>
      <c r="K21" s="5" t="s">
        <v>121</v>
      </c>
      <c r="L21" s="5" t="s">
        <v>122</v>
      </c>
      <c r="M21" s="5" t="s">
        <v>123</v>
      </c>
      <c r="N21" s="5" t="s">
        <v>124</v>
      </c>
      <c r="O21" s="5" t="s">
        <v>125</v>
      </c>
      <c r="P21" s="5" t="s">
        <v>126</v>
      </c>
    </row>
    <row r="22" spans="1:16" x14ac:dyDescent="0.2">
      <c r="A22" s="3">
        <f>Data!A22</f>
        <v>38625</v>
      </c>
      <c r="B22">
        <f>Data!E22 - Factors!AB24</f>
        <v>1.8122825517558283E-2</v>
      </c>
      <c r="C22">
        <f>Factors!Z24</f>
        <v>7.8354779411764719E-2</v>
      </c>
      <c r="D22">
        <f>Factors!J24</f>
        <v>1.5259997371717793E-2</v>
      </c>
      <c r="E22">
        <f>Factors!J24 - Factors!K24</f>
        <v>3.5099832824203592E-3</v>
      </c>
      <c r="F22">
        <f>Factors!H24 - Factors!AA24</f>
        <v>1.4430686244480517E-2</v>
      </c>
      <c r="H22" t="s">
        <v>127</v>
      </c>
      <c r="I22">
        <v>2.2418120502784617E-3</v>
      </c>
      <c r="J22">
        <v>8.7226811548798771E-4</v>
      </c>
      <c r="K22">
        <v>2.5700951467477253</v>
      </c>
      <c r="L22">
        <v>1.1444741811640492E-2</v>
      </c>
      <c r="M22">
        <v>5.1401678925535915E-4</v>
      </c>
      <c r="N22">
        <v>3.9696073113015644E-3</v>
      </c>
      <c r="O22">
        <v>5.1401678925535915E-4</v>
      </c>
      <c r="P22">
        <v>3.9696073113015644E-3</v>
      </c>
    </row>
    <row r="23" spans="1:16" x14ac:dyDescent="0.2">
      <c r="A23" s="3">
        <f>Data!A23</f>
        <v>38656</v>
      </c>
      <c r="B23">
        <f>Data!E23 - Factors!AB25</f>
        <v>-8.9936197122291173E-3</v>
      </c>
      <c r="C23">
        <f>Factors!Z25</f>
        <v>-8.7577242701897262E-3</v>
      </c>
      <c r="D23">
        <f>Factors!J25</f>
        <v>-1.5100003441222198E-2</v>
      </c>
      <c r="E23">
        <f>Factors!J25 - Factors!K25</f>
        <v>-1.1550001434881607E-2</v>
      </c>
      <c r="F23">
        <f>Factors!H25 - Factors!AA25</f>
        <v>-2.0591313627064123E-3</v>
      </c>
      <c r="H23" t="s">
        <v>29</v>
      </c>
      <c r="I23">
        <v>8.8277652570716278E-2</v>
      </c>
      <c r="J23">
        <v>1.4965432288189796E-2</v>
      </c>
      <c r="K23">
        <v>5.8987706382783189</v>
      </c>
      <c r="L23" s="10">
        <v>3.7589544983225245E-8</v>
      </c>
      <c r="M23">
        <v>5.8634011438389991E-2</v>
      </c>
      <c r="N23">
        <v>0.11792129370304257</v>
      </c>
      <c r="O23">
        <v>5.8634011438389991E-2</v>
      </c>
      <c r="P23">
        <v>0.11792129370304257</v>
      </c>
    </row>
    <row r="24" spans="1:16" x14ac:dyDescent="0.2">
      <c r="A24" s="3">
        <f>Data!A24</f>
        <v>38686</v>
      </c>
      <c r="B24">
        <f>Data!E24 - Factors!AB26</f>
        <v>1.1561723282379477E-2</v>
      </c>
      <c r="C24">
        <f>Factors!Z26</f>
        <v>5.9953997291429362E-2</v>
      </c>
      <c r="D24">
        <f>Factors!J26</f>
        <v>1.7020022033619187E-2</v>
      </c>
      <c r="E24">
        <f>Factors!J26 - Factors!K26</f>
        <v>8.7800296204909589E-3</v>
      </c>
      <c r="F24">
        <f>Factors!H26 - Factors!AA26</f>
        <v>-1.6472298093219262E-2</v>
      </c>
      <c r="H24" t="s">
        <v>13</v>
      </c>
      <c r="I24">
        <v>0.31472457422392891</v>
      </c>
      <c r="J24">
        <v>6.0837686281572913E-2</v>
      </c>
      <c r="K24">
        <v>5.1731844759398031</v>
      </c>
      <c r="L24" s="10">
        <v>9.8495087261299475E-7</v>
      </c>
      <c r="M24">
        <v>0.1942168264540754</v>
      </c>
      <c r="N24">
        <v>0.43523232199378242</v>
      </c>
      <c r="O24">
        <v>0.1942168264540754</v>
      </c>
      <c r="P24">
        <v>0.43523232199378242</v>
      </c>
    </row>
    <row r="25" spans="1:16" x14ac:dyDescent="0.2">
      <c r="A25" s="3">
        <f>Data!A25</f>
        <v>38716</v>
      </c>
      <c r="B25">
        <f>Data!E25 - Factors!AB27</f>
        <v>9.5251369491837767E-3</v>
      </c>
      <c r="C25">
        <f>Factors!Z27</f>
        <v>4.8511397744787965E-2</v>
      </c>
      <c r="D25">
        <f>Factors!J27</f>
        <v>2.0079989311307056E-2</v>
      </c>
      <c r="E25">
        <f>Factors!J27 - Factors!K27</f>
        <v>5.3299862399158737E-3</v>
      </c>
      <c r="F25">
        <f>Factors!H27 - Factors!AA27</f>
        <v>2.2811883108241782E-2</v>
      </c>
      <c r="H25" t="s">
        <v>153</v>
      </c>
      <c r="I25">
        <v>0.7533152463199565</v>
      </c>
      <c r="J25">
        <v>0.11522091848484425</v>
      </c>
      <c r="K25">
        <v>6.5380076484900167</v>
      </c>
      <c r="L25" s="10">
        <v>1.7877033843850551E-9</v>
      </c>
      <c r="M25">
        <v>0.52508478209225806</v>
      </c>
      <c r="N25">
        <v>0.98154571054765494</v>
      </c>
      <c r="O25">
        <v>0.52508478209225806</v>
      </c>
      <c r="P25">
        <v>0.98154571054765494</v>
      </c>
    </row>
    <row r="26" spans="1:16" ht="16" thickBot="1" x14ac:dyDescent="0.25">
      <c r="A26" s="3">
        <f>Data!A26</f>
        <v>38748</v>
      </c>
      <c r="B26">
        <f>Data!E26 - Factors!AB28</f>
        <v>2.0795498712823823E-2</v>
      </c>
      <c r="C26">
        <f>Factors!Z28</f>
        <v>0.10038684719535773</v>
      </c>
      <c r="D26">
        <f>Factors!J28</f>
        <v>2.8360008065332343E-2</v>
      </c>
      <c r="E26">
        <f>Factors!J28 - Factors!K28</f>
        <v>6.370002523866658E-3</v>
      </c>
      <c r="F26">
        <f>Factors!H28 - Factors!AA28</f>
        <v>1.3042470905215708E-2</v>
      </c>
      <c r="H26" s="4" t="s">
        <v>154</v>
      </c>
      <c r="I26" s="4">
        <v>3.6420311862406657E-2</v>
      </c>
      <c r="J26" s="4">
        <v>3.490898618056601E-2</v>
      </c>
      <c r="K26" s="4">
        <v>1.0432933134758868</v>
      </c>
      <c r="L26" s="17">
        <v>0.29900066712902251</v>
      </c>
      <c r="M26" s="4">
        <v>-3.2727671216350673E-2</v>
      </c>
      <c r="N26" s="4">
        <v>0.10556829494116399</v>
      </c>
      <c r="O26" s="4">
        <v>-3.2727671216350673E-2</v>
      </c>
      <c r="P26" s="4">
        <v>0.10556829494116399</v>
      </c>
    </row>
    <row r="27" spans="1:16" x14ac:dyDescent="0.2">
      <c r="A27" s="3">
        <f>Data!A27</f>
        <v>38776</v>
      </c>
      <c r="B27">
        <f>Data!E27 - Factors!AB29</f>
        <v>-7.9241859652037228E-3</v>
      </c>
      <c r="C27">
        <f>Factors!Z29</f>
        <v>-1.2919669537704404E-2</v>
      </c>
      <c r="D27">
        <f>Factors!J29</f>
        <v>3.4699830436075718E-3</v>
      </c>
      <c r="E27">
        <f>Factors!J29 - Factors!K29</f>
        <v>-2.7600065209820723E-3</v>
      </c>
      <c r="F27">
        <f>Factors!H29 - Factors!AA29</f>
        <v>-2.5137164949309287E-3</v>
      </c>
    </row>
    <row r="28" spans="1:16" x14ac:dyDescent="0.2">
      <c r="A28" s="3">
        <f>Data!A28</f>
        <v>38807</v>
      </c>
      <c r="B28">
        <f>Data!E28 - Factors!AB30</f>
        <v>7.6372396051327396E-3</v>
      </c>
      <c r="C28">
        <f>Factors!Z30</f>
        <v>3.9355355711868878E-2</v>
      </c>
      <c r="D28">
        <f>Factors!J30</f>
        <v>1.6610014203980672E-2</v>
      </c>
      <c r="E28">
        <f>Factors!J30 - Factors!K30</f>
        <v>3.270006321279384E-3</v>
      </c>
      <c r="F28">
        <f>Factors!H30 - Factors!AA30</f>
        <v>1.301292538724752E-2</v>
      </c>
    </row>
    <row r="29" spans="1:16" x14ac:dyDescent="0.2">
      <c r="A29" s="3">
        <f>Data!A29</f>
        <v>38835</v>
      </c>
      <c r="B29">
        <f>Data!E29 - Factors!AB31</f>
        <v>2.3879732286085087E-2</v>
      </c>
      <c r="C29">
        <f>Factors!Z31</f>
        <v>0.12125417630429203</v>
      </c>
      <c r="D29">
        <f>Factors!J31</f>
        <v>1.7169992265817502E-2</v>
      </c>
      <c r="E29">
        <f>Factors!J31 - Factors!K31</f>
        <v>6.0199914344778449E-3</v>
      </c>
      <c r="F29">
        <f>Factors!H31 - Factors!AA31</f>
        <v>4.1719547542262703E-3</v>
      </c>
    </row>
    <row r="30" spans="1:16" x14ac:dyDescent="0.2">
      <c r="A30" s="3">
        <f>Data!A30</f>
        <v>38868</v>
      </c>
      <c r="B30">
        <f>Data!E30 - Factors!AB32</f>
        <v>-1.7616716771781227E-2</v>
      </c>
      <c r="C30">
        <f>Factors!Z32</f>
        <v>-1.4088811466642093E-2</v>
      </c>
      <c r="D30">
        <f>Factors!J32</f>
        <v>-1.9659986305595956E-2</v>
      </c>
      <c r="E30">
        <f>Factors!J32 - Factors!K32</f>
        <v>-2.16999772446127E-2</v>
      </c>
      <c r="F30">
        <f>Factors!H32 - Factors!AA32</f>
        <v>5.5513250984435825E-3</v>
      </c>
      <c r="I30" s="7" t="s">
        <v>136</v>
      </c>
      <c r="J30" s="7">
        <f>1 - SUMSQ(I38:I121) / DEVSQ(B38:B121)</f>
        <v>0.47792683365221955</v>
      </c>
    </row>
    <row r="31" spans="1:16" x14ac:dyDescent="0.2">
      <c r="A31" s="3">
        <f>Data!A31</f>
        <v>38898</v>
      </c>
      <c r="B31">
        <f>Data!E31 - Factors!AB33</f>
        <v>-8.8009587418047541E-3</v>
      </c>
      <c r="C31">
        <f>Factors!Z33</f>
        <v>-4.5489770613763247E-2</v>
      </c>
      <c r="D31">
        <f>Factors!J33</f>
        <v>-6.2600113383721734E-3</v>
      </c>
      <c r="E31">
        <f>Factors!J33 - Factors!K33</f>
        <v>-1.1780019686965515E-2</v>
      </c>
      <c r="F31">
        <f>Factors!H33 - Factors!AA33</f>
        <v>-6.7056015019577586E-3</v>
      </c>
      <c r="I31" s="7" t="s">
        <v>137</v>
      </c>
      <c r="J31" s="7">
        <f>SQRT( SUMSQ(I38:I121) / COUNT(I38:I121) )</f>
        <v>1.0391378215408493E-2</v>
      </c>
    </row>
    <row r="32" spans="1:16" x14ac:dyDescent="0.2">
      <c r="A32" s="3">
        <f>Data!A32</f>
        <v>38929</v>
      </c>
      <c r="B32">
        <f>Data!E32 - Factors!AB34</f>
        <v>-6.6596944235139954E-3</v>
      </c>
      <c r="C32">
        <f>Factors!Z34</f>
        <v>3.3936835268328247E-2</v>
      </c>
      <c r="D32">
        <f>Factors!J34</f>
        <v>-2.2099992923791945E-3</v>
      </c>
      <c r="E32">
        <f>Factors!J34 - Factors!K34</f>
        <v>-6.3899906906006443E-3</v>
      </c>
      <c r="F32">
        <f>Factors!H34 - Factors!AA34</f>
        <v>-1.1588534564024866E-2</v>
      </c>
      <c r="I32" s="7" t="s">
        <v>138</v>
      </c>
      <c r="J32" s="7">
        <f>1 - SUMSQ(J38:J121) / DEVSQ(K38:K121)</f>
        <v>0.53830236131301401</v>
      </c>
    </row>
    <row r="33" spans="1:11" x14ac:dyDescent="0.2">
      <c r="A33" s="3">
        <f>Data!A33</f>
        <v>38960</v>
      </c>
      <c r="B33">
        <f>Data!E33 - Factors!AB35</f>
        <v>-1.9510745344661906E-3</v>
      </c>
      <c r="C33">
        <f>Factors!Z35</f>
        <v>-1.4840989399293347E-2</v>
      </c>
      <c r="D33">
        <f>Factors!J35</f>
        <v>8.1299984132738867E-3</v>
      </c>
      <c r="E33">
        <f>Factors!J35 - Factors!K35</f>
        <v>1.0199931029595266E-3</v>
      </c>
      <c r="F33">
        <f>Factors!H35 - Factors!AA35</f>
        <v>-1.3492987674589951E-2</v>
      </c>
    </row>
    <row r="34" spans="1:11" x14ac:dyDescent="0.2">
      <c r="A34" s="3">
        <f>Data!A34</f>
        <v>38989</v>
      </c>
      <c r="B34">
        <f>Data!E34 - Factors!AB36</f>
        <v>-1.1966320285637044E-2</v>
      </c>
      <c r="C34">
        <f>Factors!Z36</f>
        <v>-4.6229874063446474E-2</v>
      </c>
      <c r="D34">
        <f>Factors!J36</f>
        <v>7.499931159544726E-4</v>
      </c>
      <c r="E34">
        <f>Factors!J36 - Factors!K36</f>
        <v>-2.9499987938994554E-3</v>
      </c>
      <c r="F34">
        <f>Factors!H36 - Factors!AA36</f>
        <v>-2.4190310455007635E-2</v>
      </c>
    </row>
    <row r="35" spans="1:11" x14ac:dyDescent="0.2">
      <c r="A35" s="3">
        <f>Data!A35</f>
        <v>39021</v>
      </c>
      <c r="B35">
        <f>Data!E35 - Factors!AB37</f>
        <v>7.4743409557123108E-3</v>
      </c>
      <c r="C35">
        <f>Factors!Z37</f>
        <v>1.3872639144242083E-2</v>
      </c>
      <c r="D35">
        <f>Factors!J37</f>
        <v>1.6250018524567089E-2</v>
      </c>
      <c r="E35">
        <f>Factors!J37 - Factors!K37</f>
        <v>3.9800122674329419E-3</v>
      </c>
      <c r="F35">
        <f>Factors!H37 - Factors!AA37</f>
        <v>-1.3955950911594517E-2</v>
      </c>
    </row>
    <row r="36" spans="1:11" x14ac:dyDescent="0.2">
      <c r="A36" s="3">
        <f>Data!A36</f>
        <v>39051</v>
      </c>
      <c r="B36">
        <f>Data!E36 - Factors!AB38</f>
        <v>1.9408257670699758E-2</v>
      </c>
      <c r="C36">
        <f>Factors!Z38</f>
        <v>6.8249258160237414E-2</v>
      </c>
      <c r="D36">
        <f>Factors!J38</f>
        <v>1.7829984452331971E-2</v>
      </c>
      <c r="E36">
        <f>Factors!J38 - Factors!K38</f>
        <v>4.0999812460860152E-3</v>
      </c>
      <c r="F36">
        <f>Factors!H38 - Factors!AA38</f>
        <v>9.8412905992528721E-4</v>
      </c>
    </row>
    <row r="37" spans="1:11" x14ac:dyDescent="0.2">
      <c r="A37" s="3">
        <f>Data!A37</f>
        <v>39080</v>
      </c>
      <c r="B37">
        <f>Data!E37 - Factors!AB39</f>
        <v>8.3874781696628986E-3</v>
      </c>
      <c r="C37">
        <f>Factors!Z39</f>
        <v>-1.743827160493816E-2</v>
      </c>
      <c r="D37">
        <f>Factors!J39</f>
        <v>1.7860009511927233E-2</v>
      </c>
      <c r="E37">
        <f>Factors!J39 - Factors!K39</f>
        <v>1.7500130235001965E-3</v>
      </c>
      <c r="F37">
        <f>Factors!H39 - Factors!AA39</f>
        <v>-5.6765241684675338E-4</v>
      </c>
      <c r="H37" s="147" t="s">
        <v>139</v>
      </c>
      <c r="I37" s="147"/>
      <c r="J37" s="147"/>
      <c r="K37" s="147"/>
    </row>
    <row r="38" spans="1:11" x14ac:dyDescent="0.2">
      <c r="A38" s="3">
        <f>Data!A38</f>
        <v>39113</v>
      </c>
      <c r="B38">
        <f>Data!E38 - Factors!AB40</f>
        <v>-4.0867297795266211E-4</v>
      </c>
      <c r="C38">
        <f>Factors!Z40</f>
        <v>2.5914873566828867E-2</v>
      </c>
      <c r="D38">
        <f>Factors!J40</f>
        <v>1.2942254448817581E-2</v>
      </c>
      <c r="E38">
        <f>Factors!J40 - Factors!K40</f>
        <v>-7.2645542786409223E-4</v>
      </c>
      <c r="F38">
        <f>Factors!H40 - Factors!AA40</f>
        <v>-3.5490453753015405E-3</v>
      </c>
      <c r="H38" cm="1">
        <f t="array" ref="H38">TREND(B2:B37, C2:F37, C38:F38, TRUE)</f>
        <v>7.0425290999744303E-3</v>
      </c>
      <c r="I38">
        <f t="shared" ref="I38:I69" si="0">B38 - H38</f>
        <v>-7.4512020779270924E-3</v>
      </c>
      <c r="J38">
        <f t="shared" ref="J38:J69" si="1">IF(OR(YEAR(A38)=2008, YEAR(A38)=2009), "", I38)</f>
        <v>-7.4512020779270924E-3</v>
      </c>
      <c r="K38">
        <f t="shared" ref="K38:K69" si="2">IF(OR(YEAR(A38)=2008, YEAR(A38)=2009), "", B38)</f>
        <v>-4.0867297795266211E-4</v>
      </c>
    </row>
    <row r="39" spans="1:11" x14ac:dyDescent="0.2">
      <c r="A39" s="3">
        <f>Data!A39</f>
        <v>39141</v>
      </c>
      <c r="B39">
        <f>Data!E39 - Factors!AB41</f>
        <v>-1.5428829245927034E-3</v>
      </c>
      <c r="C39">
        <f>Factors!Z41</f>
        <v>2.4724433557868908E-2</v>
      </c>
      <c r="D39">
        <f>Factors!J41</f>
        <v>8.1972118953617112E-3</v>
      </c>
      <c r="E39">
        <f>Factors!J41 - Factors!K41</f>
        <v>6.3454804920937136E-4</v>
      </c>
      <c r="F39">
        <f>Factors!H41 - Factors!AA41</f>
        <v>2.5829046521955057E-2</v>
      </c>
      <c r="H39" cm="1">
        <f t="array" ref="H39">TREND(B3:B38, C3:F38, C39:F39, TRUE)</f>
        <v>5.8235914816860933E-3</v>
      </c>
      <c r="I39">
        <f t="shared" si="0"/>
        <v>-7.3664744062787967E-3</v>
      </c>
      <c r="J39">
        <f t="shared" si="1"/>
        <v>-7.3664744062787967E-3</v>
      </c>
      <c r="K39">
        <f t="shared" si="2"/>
        <v>-1.5428829245927034E-3</v>
      </c>
    </row>
    <row r="40" spans="1:11" x14ac:dyDescent="0.2">
      <c r="A40" s="3">
        <f>Data!A40</f>
        <v>39171</v>
      </c>
      <c r="B40">
        <f>Data!E40 - Factors!AB42</f>
        <v>-5.3784363693408777E-3</v>
      </c>
      <c r="C40">
        <f>Factors!Z42</f>
        <v>-8.3065660715621048E-3</v>
      </c>
      <c r="D40">
        <f>Factors!J42</f>
        <v>1.1549314300771663E-2</v>
      </c>
      <c r="E40">
        <f>Factors!J42 - Factors!K42</f>
        <v>4.0145878304049809E-3</v>
      </c>
      <c r="F40">
        <f>Factors!H42 - Factors!AA42</f>
        <v>-1.0966703826464919E-3</v>
      </c>
      <c r="H40" cm="1">
        <f t="array" ref="H40">TREND(B4:B39, C4:F39, C40:F40, TRUE)</f>
        <v>2.5902837715097008E-3</v>
      </c>
      <c r="I40">
        <f t="shared" si="0"/>
        <v>-7.968720140850578E-3</v>
      </c>
      <c r="J40">
        <f t="shared" si="1"/>
        <v>-7.968720140850578E-3</v>
      </c>
      <c r="K40">
        <f t="shared" si="2"/>
        <v>-5.3784363693408777E-3</v>
      </c>
    </row>
    <row r="41" spans="1:11" x14ac:dyDescent="0.2">
      <c r="A41" s="3">
        <f>Data!A41</f>
        <v>39202</v>
      </c>
      <c r="B41">
        <f>Data!E41 - Factors!AB43</f>
        <v>1.1976878489052156E-2</v>
      </c>
      <c r="C41">
        <f>Factors!Z43</f>
        <v>2.2085298061133907E-2</v>
      </c>
      <c r="D41">
        <f>Factors!J43</f>
        <v>1.67607619123884E-2</v>
      </c>
      <c r="E41">
        <f>Factors!J43 - Factors!K43</f>
        <v>2.5702188138221338E-3</v>
      </c>
      <c r="F41">
        <f>Factors!H43 - Factors!AA43</f>
        <v>-2.5716111725691437E-2</v>
      </c>
      <c r="H41" cm="1">
        <f t="array" ref="H41">TREND(B5:B40, C5:F40, C41:F41, TRUE)</f>
        <v>8.4934843067103454E-3</v>
      </c>
      <c r="I41">
        <f t="shared" si="0"/>
        <v>3.4833941823418108E-3</v>
      </c>
      <c r="J41">
        <f t="shared" si="1"/>
        <v>3.4833941823418108E-3</v>
      </c>
      <c r="K41">
        <f t="shared" si="2"/>
        <v>1.1976878489052156E-2</v>
      </c>
    </row>
    <row r="42" spans="1:11" x14ac:dyDescent="0.2">
      <c r="A42" s="3">
        <f>Data!A42</f>
        <v>39233</v>
      </c>
      <c r="B42">
        <f>Data!E42 - Factors!AB44</f>
        <v>1.3884227015438677E-2</v>
      </c>
      <c r="C42">
        <f>Factors!Z44</f>
        <v>-2.6457366054978282E-2</v>
      </c>
      <c r="D42">
        <f>Factors!J44</f>
        <v>2.1465347532600321E-2</v>
      </c>
      <c r="E42">
        <f>Factors!J44 - Factors!K44</f>
        <v>6.5919347317506816E-3</v>
      </c>
      <c r="F42">
        <f>Factors!H44 - Factors!AA44</f>
        <v>-1.2519771390311574E-2</v>
      </c>
      <c r="H42" cm="1">
        <f t="array" ref="H42">TREND(B6:B41, C6:F41, C42:F42, TRUE)</f>
        <v>6.6107636857132904E-3</v>
      </c>
      <c r="I42">
        <f t="shared" si="0"/>
        <v>7.2734633297253867E-3</v>
      </c>
      <c r="J42">
        <f t="shared" si="1"/>
        <v>7.2734633297253867E-3</v>
      </c>
      <c r="K42">
        <f t="shared" si="2"/>
        <v>1.3884227015438677E-2</v>
      </c>
    </row>
    <row r="43" spans="1:11" x14ac:dyDescent="0.2">
      <c r="A43" s="3">
        <f>Data!A43</f>
        <v>39262</v>
      </c>
      <c r="B43">
        <f>Data!E43 - Factors!AB45</f>
        <v>1.1078126401868227E-2</v>
      </c>
      <c r="C43">
        <f>Factors!Z45</f>
        <v>-1.6426949280847869E-2</v>
      </c>
      <c r="D43">
        <f>Factors!J45</f>
        <v>5.2586548845623415E-3</v>
      </c>
      <c r="E43">
        <f>Factors!J45 - Factors!K45</f>
        <v>-3.6297874574997557E-4</v>
      </c>
      <c r="F43">
        <f>Factors!H45 - Factors!AA45</f>
        <v>2.5493860280509706E-2</v>
      </c>
      <c r="H43" cm="1">
        <f t="array" ref="H43">TREND(B7:B42, C7:F42, C43:F43, TRUE)</f>
        <v>-2.1893109102704643E-3</v>
      </c>
      <c r="I43">
        <f t="shared" si="0"/>
        <v>1.3267437312138692E-2</v>
      </c>
      <c r="J43">
        <f t="shared" si="1"/>
        <v>1.3267437312138692E-2</v>
      </c>
      <c r="K43">
        <f t="shared" si="2"/>
        <v>1.1078126401868227E-2</v>
      </c>
    </row>
    <row r="44" spans="1:11" x14ac:dyDescent="0.2">
      <c r="A44" s="3">
        <f>Data!A44</f>
        <v>39294</v>
      </c>
      <c r="B44">
        <f>Data!E44 - Factors!AB46</f>
        <v>4.1229099206852027E-3</v>
      </c>
      <c r="C44">
        <f>Factors!Z46</f>
        <v>2.2550604171476918E-2</v>
      </c>
      <c r="D44">
        <f>Factors!J46</f>
        <v>1.9128343868641817E-3</v>
      </c>
      <c r="E44">
        <f>Factors!J46 - Factors!K46</f>
        <v>7.7167154955903872E-3</v>
      </c>
      <c r="F44">
        <f>Factors!H46 - Factors!AA46</f>
        <v>3.2678176144706694E-2</v>
      </c>
      <c r="H44" cm="1">
        <f t="array" ref="H44">TREND(B8:B43, C8:F43, C44:F44, TRUE)</f>
        <v>5.6761919240654966E-3</v>
      </c>
      <c r="I44">
        <f t="shared" si="0"/>
        <v>-1.5532820033802939E-3</v>
      </c>
      <c r="J44">
        <f t="shared" si="1"/>
        <v>-1.5532820033802939E-3</v>
      </c>
      <c r="K44">
        <f t="shared" si="2"/>
        <v>4.1229099206852027E-3</v>
      </c>
    </row>
    <row r="45" spans="1:11" x14ac:dyDescent="0.2">
      <c r="A45" s="3">
        <f>Data!A45</f>
        <v>39325</v>
      </c>
      <c r="B45">
        <f>Data!E45 - Factors!AB47</f>
        <v>-2.6040932352910162E-2</v>
      </c>
      <c r="C45">
        <f>Factors!Z47</f>
        <v>1.3548095739876587E-2</v>
      </c>
      <c r="D45">
        <f>Factors!J47</f>
        <v>-2.1834293319518805E-2</v>
      </c>
      <c r="E45">
        <f>Factors!J47 - Factors!K47</f>
        <v>-1.4952908364068818E-2</v>
      </c>
      <c r="F45">
        <f>Factors!H47 - Factors!AA47</f>
        <v>-3.1664313031336211E-2</v>
      </c>
      <c r="H45" cm="1">
        <f t="array" ref="H45">TREND(B9:B44, C9:F44, C45:F45, TRUE)</f>
        <v>-1.7304005510121786E-2</v>
      </c>
      <c r="I45">
        <f t="shared" si="0"/>
        <v>-8.7369268427883763E-3</v>
      </c>
      <c r="J45">
        <f t="shared" si="1"/>
        <v>-8.7369268427883763E-3</v>
      </c>
      <c r="K45">
        <f t="shared" si="2"/>
        <v>-2.6040932352910162E-2</v>
      </c>
    </row>
    <row r="46" spans="1:11" x14ac:dyDescent="0.2">
      <c r="A46" s="3">
        <f>Data!A46</f>
        <v>39353</v>
      </c>
      <c r="B46">
        <f>Data!E46 - Factors!AB48</f>
        <v>2.8787165507307311E-2</v>
      </c>
      <c r="C46">
        <f>Factors!Z48</f>
        <v>0.1044111094608644</v>
      </c>
      <c r="D46">
        <f>Factors!J48</f>
        <v>1.8790037969382833E-2</v>
      </c>
      <c r="E46">
        <f>Factors!J48 - Factors!K48</f>
        <v>5.2881996361964223E-3</v>
      </c>
      <c r="F46">
        <f>Factors!H48 - Factors!AA48</f>
        <v>-5.6349190990199194E-3</v>
      </c>
      <c r="H46" cm="1">
        <f t="array" ref="H46">TREND(B10:B45, C10:F45, C46:F46, TRUE)</f>
        <v>1.7675306462164551E-2</v>
      </c>
      <c r="I46">
        <f t="shared" si="0"/>
        <v>1.1111859045142759E-2</v>
      </c>
      <c r="J46">
        <f t="shared" si="1"/>
        <v>1.1111859045142759E-2</v>
      </c>
      <c r="K46">
        <f t="shared" si="2"/>
        <v>2.8787165507307311E-2</v>
      </c>
    </row>
    <row r="47" spans="1:11" x14ac:dyDescent="0.2">
      <c r="A47" s="3">
        <f>Data!A47</f>
        <v>39386</v>
      </c>
      <c r="B47">
        <f>Data!E47 - Factors!AB49</f>
        <v>2.956701257864891E-2</v>
      </c>
      <c r="C47">
        <f>Factors!Z49</f>
        <v>7.1543840774609846E-2</v>
      </c>
      <c r="D47">
        <f>Factors!J49</f>
        <v>3.0656165055060747E-2</v>
      </c>
      <c r="E47">
        <f>Factors!J49 - Factors!K49</f>
        <v>9.6536195957961368E-3</v>
      </c>
      <c r="F47">
        <f>Factors!H49 - Factors!AA49</f>
        <v>1.5021690124761955E-2</v>
      </c>
      <c r="H47" cm="1">
        <f t="array" ref="H47">TREND(B11:B46, C11:F46, C47:F47, TRUE)</f>
        <v>2.4879858869955293E-2</v>
      </c>
      <c r="I47">
        <f t="shared" si="0"/>
        <v>4.6871537086936171E-3</v>
      </c>
      <c r="J47">
        <f t="shared" si="1"/>
        <v>4.6871537086936171E-3</v>
      </c>
      <c r="K47">
        <f t="shared" si="2"/>
        <v>2.956701257864891E-2</v>
      </c>
    </row>
    <row r="48" spans="1:11" x14ac:dyDescent="0.2">
      <c r="A48" s="3">
        <f>Data!A48</f>
        <v>39416</v>
      </c>
      <c r="B48">
        <f>Data!E48 - Factors!AB50</f>
        <v>-1.2781412924715574E-2</v>
      </c>
      <c r="C48">
        <f>Factors!Z50</f>
        <v>-1.6629016064257041E-2</v>
      </c>
      <c r="D48">
        <f>Factors!J50</f>
        <v>-1.4675704327976047E-2</v>
      </c>
      <c r="E48">
        <f>Factors!J50 - Factors!K50</f>
        <v>-9.3557817349954053E-3</v>
      </c>
      <c r="F48">
        <f>Factors!H50 - Factors!AA50</f>
        <v>1.2904033139819027E-2</v>
      </c>
      <c r="H48" cm="1">
        <f t="array" ref="H48">TREND(B12:B47, C12:F47, C48:F48, TRUE)</f>
        <v>-1.4986427013502973E-2</v>
      </c>
      <c r="I48">
        <f t="shared" si="0"/>
        <v>2.2050140887873992E-3</v>
      </c>
      <c r="J48">
        <f t="shared" si="1"/>
        <v>2.2050140887873992E-3</v>
      </c>
      <c r="K48">
        <f t="shared" si="2"/>
        <v>-1.2781412924715574E-2</v>
      </c>
    </row>
    <row r="49" spans="1:11" x14ac:dyDescent="0.2">
      <c r="A49" s="3">
        <f>Data!A49</f>
        <v>39447</v>
      </c>
      <c r="B49">
        <f>Data!E49 - Factors!AB51</f>
        <v>7.0711374109098113E-3</v>
      </c>
      <c r="C49">
        <f>Factors!Z51</f>
        <v>6.4003573479676001E-2</v>
      </c>
      <c r="D49">
        <f>Factors!J51</f>
        <v>3.3379196444245363E-3</v>
      </c>
      <c r="E49">
        <f>Factors!J51 - Factors!K51</f>
        <v>-3.0985504013767429E-3</v>
      </c>
      <c r="F49">
        <f>Factors!H51 - Factors!AA51</f>
        <v>1.2219170967191273E-2</v>
      </c>
      <c r="H49" cm="1">
        <f t="array" ref="H49">TREND(B13:B48, C13:F48, C49:F49, TRUE)</f>
        <v>5.2499124735417299E-3</v>
      </c>
      <c r="I49">
        <f t="shared" si="0"/>
        <v>1.8212249373680814E-3</v>
      </c>
      <c r="J49">
        <f t="shared" si="1"/>
        <v>1.8212249373680814E-3</v>
      </c>
      <c r="K49">
        <f t="shared" si="2"/>
        <v>7.0711374109098113E-3</v>
      </c>
    </row>
    <row r="50" spans="1:11" x14ac:dyDescent="0.2">
      <c r="A50" s="3">
        <f>Data!A50</f>
        <v>39478</v>
      </c>
      <c r="B50">
        <f>Data!E50 - Factors!AB52</f>
        <v>7.0476875638760816E-3</v>
      </c>
      <c r="C50">
        <f>Factors!Z52</f>
        <v>0.11083123425692687</v>
      </c>
      <c r="D50">
        <f>Factors!J52</f>
        <v>-2.8342341803256788E-2</v>
      </c>
      <c r="E50">
        <f>Factors!J52 - Factors!K52</f>
        <v>-1.5423060983967729E-2</v>
      </c>
      <c r="F50">
        <f>Factors!H52 - Factors!AA52</f>
        <v>1.5242318009432432E-2</v>
      </c>
      <c r="H50" cm="1">
        <f t="array" ref="H50">TREND(B14:B49, C14:F49, C50:F50, TRUE)</f>
        <v>-1.1282815402460681E-2</v>
      </c>
      <c r="I50">
        <f t="shared" si="0"/>
        <v>1.8330502966336763E-2</v>
      </c>
      <c r="J50" t="str">
        <f t="shared" si="1"/>
        <v/>
      </c>
      <c r="K50" t="str">
        <f t="shared" si="2"/>
        <v/>
      </c>
    </row>
    <row r="51" spans="1:11" x14ac:dyDescent="0.2">
      <c r="A51" s="3">
        <f>Data!A51</f>
        <v>39507</v>
      </c>
      <c r="B51">
        <f>Data!E51 - Factors!AB53</f>
        <v>4.0866911003281547E-2</v>
      </c>
      <c r="C51">
        <f>Factors!Z53</f>
        <v>5.1614296512255686E-2</v>
      </c>
      <c r="D51">
        <f>Factors!J53</f>
        <v>1.2406877158998464E-2</v>
      </c>
      <c r="E51">
        <f>Factors!J53 - Factors!K53</f>
        <v>1.3329300345202411E-2</v>
      </c>
      <c r="F51">
        <f>Factors!H53 - Factors!AA53</f>
        <v>4.557574409849563E-2</v>
      </c>
      <c r="H51" cm="1">
        <f t="array" ref="H51">TREND(B15:B50, C15:F50, C51:F51, TRUE)</f>
        <v>1.72945310292861E-2</v>
      </c>
      <c r="I51">
        <f t="shared" si="0"/>
        <v>2.3572379973995448E-2</v>
      </c>
      <c r="J51" t="str">
        <f t="shared" si="1"/>
        <v/>
      </c>
      <c r="K51" t="str">
        <f t="shared" si="2"/>
        <v/>
      </c>
    </row>
    <row r="52" spans="1:11" x14ac:dyDescent="0.2">
      <c r="A52" s="3">
        <f>Data!A52</f>
        <v>39538</v>
      </c>
      <c r="B52">
        <f>Data!E52 - Factors!AB54</f>
        <v>-1.4329799550588218E-2</v>
      </c>
      <c r="C52">
        <f>Factors!Z54</f>
        <v>-5.8527569565663851E-2</v>
      </c>
      <c r="D52">
        <f>Factors!J54</f>
        <v>-2.5935990429313827E-2</v>
      </c>
      <c r="E52">
        <f>Factors!J54 - Factors!K54</f>
        <v>-6.0066705310083401E-3</v>
      </c>
      <c r="F52">
        <f>Factors!H54 - Factors!AA54</f>
        <v>-2.4109025855368671E-2</v>
      </c>
      <c r="H52" cm="1">
        <f t="array" ref="H52">TREND(B16:B51, C16:F51, C52:F52, TRUE)</f>
        <v>-2.1873493846124172E-2</v>
      </c>
      <c r="I52">
        <f t="shared" si="0"/>
        <v>7.5436942955359534E-3</v>
      </c>
      <c r="J52" t="str">
        <f t="shared" si="1"/>
        <v/>
      </c>
      <c r="K52" t="str">
        <f t="shared" si="2"/>
        <v/>
      </c>
    </row>
    <row r="53" spans="1:11" x14ac:dyDescent="0.2">
      <c r="A53" s="3">
        <f>Data!A53</f>
        <v>39568</v>
      </c>
      <c r="B53">
        <f>Data!E53 - Factors!AB55</f>
        <v>-1.4906110402959083E-3</v>
      </c>
      <c r="C53">
        <f>Factors!Z55</f>
        <v>-4.2916348565819606E-2</v>
      </c>
      <c r="D53">
        <f>Factors!J55</f>
        <v>9.7373502364541675E-3</v>
      </c>
      <c r="E53">
        <f>Factors!J55 - Factors!K55</f>
        <v>-4.1186373351576044E-3</v>
      </c>
      <c r="F53">
        <f>Factors!H55 - Factors!AA55</f>
        <v>-2.4249927979682173E-2</v>
      </c>
      <c r="H53" cm="1">
        <f t="array" ref="H53">TREND(B17:B52, C17:F52, C53:F53, TRUE)</f>
        <v>-9.3050549509840208E-3</v>
      </c>
      <c r="I53">
        <f t="shared" si="0"/>
        <v>7.8144439106881125E-3</v>
      </c>
      <c r="J53" t="str">
        <f t="shared" si="1"/>
        <v/>
      </c>
      <c r="K53" t="str">
        <f t="shared" si="2"/>
        <v/>
      </c>
    </row>
    <row r="54" spans="1:11" x14ac:dyDescent="0.2">
      <c r="A54" s="3">
        <f>Data!A54</f>
        <v>39598</v>
      </c>
      <c r="B54">
        <f>Data!E54 - Factors!AB56</f>
        <v>1.1464986713504821E-2</v>
      </c>
      <c r="C54">
        <f>Factors!Z56</f>
        <v>1.0198849068429272E-2</v>
      </c>
      <c r="D54">
        <f>Factors!J56</f>
        <v>1.8462281598387476E-2</v>
      </c>
      <c r="E54">
        <f>Factors!J56 - Factors!K56</f>
        <v>5.7464236497848376E-3</v>
      </c>
      <c r="F54">
        <f>Factors!H56 - Factors!AA56</f>
        <v>1.0866501792561989E-2</v>
      </c>
      <c r="H54" cm="1">
        <f t="array" ref="H54">TREND(B18:B53, C18:F53, C54:F54, TRUE)</f>
        <v>1.1450021473677947E-2</v>
      </c>
      <c r="I54">
        <f t="shared" si="0"/>
        <v>1.4965239826874102E-5</v>
      </c>
      <c r="J54" t="str">
        <f t="shared" si="1"/>
        <v/>
      </c>
      <c r="K54" t="str">
        <f t="shared" si="2"/>
        <v/>
      </c>
    </row>
    <row r="55" spans="1:11" x14ac:dyDescent="0.2">
      <c r="A55" s="3">
        <f>Data!A55</f>
        <v>39629</v>
      </c>
      <c r="B55">
        <f>Data!E55 - Factors!AB57</f>
        <v>1.0182424592799721E-2</v>
      </c>
      <c r="C55">
        <f>Factors!Z57</f>
        <v>4.3880428652002257E-2</v>
      </c>
      <c r="D55">
        <f>Factors!J57</f>
        <v>-8.081337807452682E-3</v>
      </c>
      <c r="E55">
        <f>Factors!J57 - Factors!K57</f>
        <v>-1.8010987760349595E-3</v>
      </c>
      <c r="F55">
        <f>Factors!H57 - Factors!AA57</f>
        <v>5.9907207281899244E-2</v>
      </c>
      <c r="H55" cm="1">
        <f t="array" ref="H55">TREND(B19:B54, C19:F54, C55:F55, TRUE)</f>
        <v>1.041119731691843E-2</v>
      </c>
      <c r="I55">
        <f t="shared" si="0"/>
        <v>-2.2877272411870805E-4</v>
      </c>
      <c r="J55" t="str">
        <f t="shared" si="1"/>
        <v/>
      </c>
      <c r="K55" t="str">
        <f t="shared" si="2"/>
        <v/>
      </c>
    </row>
    <row r="56" spans="1:11" x14ac:dyDescent="0.2">
      <c r="A56" s="3">
        <f>Data!A56</f>
        <v>39660</v>
      </c>
      <c r="B56">
        <f>Data!E56 - Factors!AB58</f>
        <v>-2.7922462738658171E-2</v>
      </c>
      <c r="C56">
        <f>Factors!Z58</f>
        <v>-1.2210935811540868E-2</v>
      </c>
      <c r="D56">
        <f>Factors!J58</f>
        <v>-2.6122942477532662E-2</v>
      </c>
      <c r="E56">
        <f>Factors!J58 - Factors!K58</f>
        <v>-1.7971957154108709E-2</v>
      </c>
      <c r="F56">
        <f>Factors!H58 - Factors!AA58</f>
        <v>-2.0039248375930852E-2</v>
      </c>
      <c r="H56" cm="1">
        <f t="array" ref="H56">TREND(B20:B55, C20:F55, C56:F56, TRUE)</f>
        <v>-2.1745009289180994E-2</v>
      </c>
      <c r="I56">
        <f t="shared" si="0"/>
        <v>-6.1774534494771771E-3</v>
      </c>
      <c r="J56" t="str">
        <f t="shared" si="1"/>
        <v/>
      </c>
      <c r="K56" t="str">
        <f t="shared" si="2"/>
        <v/>
      </c>
    </row>
    <row r="57" spans="1:11" x14ac:dyDescent="0.2">
      <c r="A57" s="3">
        <f>Data!A57</f>
        <v>39689</v>
      </c>
      <c r="B57">
        <f>Data!E57 - Factors!AB59</f>
        <v>-1.3153990600262344E-2</v>
      </c>
      <c r="C57">
        <f>Factors!Z59</f>
        <v>-9.0744995077125079E-2</v>
      </c>
      <c r="D57">
        <f>Factors!J59</f>
        <v>-1.3897780726167874E-2</v>
      </c>
      <c r="E57">
        <f>Factors!J59 - Factors!K59</f>
        <v>-1.2457661602195635E-2</v>
      </c>
      <c r="F57">
        <f>Factors!H59 - Factors!AA59</f>
        <v>-3.6208466341929091E-2</v>
      </c>
      <c r="H57" cm="1">
        <f t="array" ref="H57">TREND(B21:B56, C21:F56, C57:F57, TRUE)</f>
        <v>-2.7199912524727372E-2</v>
      </c>
      <c r="I57">
        <f t="shared" si="0"/>
        <v>1.4045921924465028E-2</v>
      </c>
      <c r="J57" t="str">
        <f t="shared" si="1"/>
        <v/>
      </c>
      <c r="K57" t="str">
        <f t="shared" si="2"/>
        <v/>
      </c>
    </row>
    <row r="58" spans="1:11" x14ac:dyDescent="0.2">
      <c r="A58" s="3">
        <f>Data!A58</f>
        <v>39721</v>
      </c>
      <c r="B58">
        <f>Data!E58 - Factors!AB60</f>
        <v>-1.4086686970596562E-2</v>
      </c>
      <c r="C58">
        <f>Factors!Z60</f>
        <v>4.7885459904950967E-2</v>
      </c>
      <c r="D58">
        <f>Factors!J60</f>
        <v>-6.5295530508631461E-2</v>
      </c>
      <c r="E58">
        <f>Factors!J60 - Factors!K60</f>
        <v>-6.3147057827476205E-3</v>
      </c>
      <c r="F58">
        <f>Factors!H60 - Factors!AA60</f>
        <v>7.7036919078825594E-3</v>
      </c>
      <c r="H58" cm="1">
        <f t="array" ref="H58">TREND(B22:B57, C22:F57, C58:F58, TRUE)</f>
        <v>-1.0411790848943331E-2</v>
      </c>
      <c r="I58">
        <f t="shared" si="0"/>
        <v>-3.6748961216532313E-3</v>
      </c>
      <c r="J58" t="str">
        <f t="shared" si="1"/>
        <v/>
      </c>
      <c r="K58" t="str">
        <f t="shared" si="2"/>
        <v/>
      </c>
    </row>
    <row r="59" spans="1:11" x14ac:dyDescent="0.2">
      <c r="A59" s="3">
        <f>Data!A59</f>
        <v>39752</v>
      </c>
      <c r="B59">
        <f>Data!E59 - Factors!AB61</f>
        <v>1.5112046362782072E-2</v>
      </c>
      <c r="C59">
        <f>Factors!Z61</f>
        <v>-0.16889603306734025</v>
      </c>
      <c r="D59">
        <f>Factors!J61</f>
        <v>-5.7196273130460606E-2</v>
      </c>
      <c r="E59">
        <f>Factors!J61 - Factors!K61</f>
        <v>2.3115465795631951E-2</v>
      </c>
      <c r="F59">
        <f>Factors!H61 - Factors!AA61</f>
        <v>7.3364066075285894E-2</v>
      </c>
      <c r="H59" cm="1">
        <f t="array" ref="H59">TREND(B23:B58, C23:F58, C59:F59, TRUE)</f>
        <v>-3.4051631173022613E-3</v>
      </c>
      <c r="I59">
        <f t="shared" si="0"/>
        <v>1.8517209480084333E-2</v>
      </c>
      <c r="J59" t="str">
        <f t="shared" si="1"/>
        <v/>
      </c>
      <c r="K59" t="str">
        <f t="shared" si="2"/>
        <v/>
      </c>
    </row>
    <row r="60" spans="1:11" x14ac:dyDescent="0.2">
      <c r="A60" s="3">
        <f>Data!A60</f>
        <v>39780</v>
      </c>
      <c r="B60">
        <f>Data!E60 - Factors!AB62</f>
        <v>6.7004776575583236E-3</v>
      </c>
      <c r="C60">
        <f>Factors!Z62</f>
        <v>0.13013745941838772</v>
      </c>
      <c r="D60">
        <f>Factors!J62</f>
        <v>-2.6423082314796176E-2</v>
      </c>
      <c r="E60">
        <f>Factors!J62 - Factors!K62</f>
        <v>1.6013293299830256E-3</v>
      </c>
      <c r="F60">
        <f>Factors!H62 - Factors!AA62</f>
        <v>3.4038239747914645E-2</v>
      </c>
      <c r="H60" cm="1">
        <f t="array" ref="H60">TREND(B24:B59, C24:F59, C60:F60, TRUE)</f>
        <v>1.4915138222293654E-2</v>
      </c>
      <c r="I60">
        <f t="shared" si="0"/>
        <v>-8.21466056473533E-3</v>
      </c>
      <c r="J60" t="str">
        <f t="shared" si="1"/>
        <v/>
      </c>
      <c r="K60" t="str">
        <f t="shared" si="2"/>
        <v/>
      </c>
    </row>
    <row r="61" spans="1:11" x14ac:dyDescent="0.2">
      <c r="A61" s="3">
        <f>Data!A61</f>
        <v>39813</v>
      </c>
      <c r="B61">
        <f>Data!E61 - Factors!AB63</f>
        <v>1.1075280778467311E-2</v>
      </c>
      <c r="C61">
        <f>Factors!Z63</f>
        <v>7.8234826722082929E-2</v>
      </c>
      <c r="D61">
        <f>Factors!J63</f>
        <v>-1.7190822580770204E-2</v>
      </c>
      <c r="E61">
        <f>Factors!J63 - Factors!K63</f>
        <v>-1.4831622188643534E-2</v>
      </c>
      <c r="F61">
        <f>Factors!H63 - Factors!AA63</f>
        <v>-8.4460169364399817E-3</v>
      </c>
      <c r="H61" cm="1">
        <f t="array" ref="H61">TREND(B25:B60, C25:F60, C61:F61, TRUE)</f>
        <v>-1.0161826783859311E-2</v>
      </c>
      <c r="I61">
        <f t="shared" si="0"/>
        <v>2.1237107562326621E-2</v>
      </c>
      <c r="J61" t="str">
        <f t="shared" si="1"/>
        <v/>
      </c>
      <c r="K61" t="str">
        <f t="shared" si="2"/>
        <v/>
      </c>
    </row>
    <row r="62" spans="1:11" x14ac:dyDescent="0.2">
      <c r="A62" s="3">
        <f>Data!A62</f>
        <v>39843</v>
      </c>
      <c r="B62">
        <f>Data!E62 - Factors!AB64</f>
        <v>-9.4248079123571138E-4</v>
      </c>
      <c r="C62">
        <f>Factors!Z64</f>
        <v>5.192449407629951E-2</v>
      </c>
      <c r="D62">
        <f>Factors!J64</f>
        <v>1.1136160111223647E-2</v>
      </c>
      <c r="E62">
        <f>Factors!J64 - Factors!K64</f>
        <v>-9.4108660552010281E-3</v>
      </c>
      <c r="F62">
        <f>Factors!H64 - Factors!AA64</f>
        <v>7.5474662323863018E-2</v>
      </c>
      <c r="H62" cm="1">
        <f t="array" ref="H62">TREND(B26:B61, C26:F61, C62:F62, TRUE)</f>
        <v>1.0978850028870233E-2</v>
      </c>
      <c r="I62">
        <f t="shared" si="0"/>
        <v>-1.1921330820105944E-2</v>
      </c>
      <c r="J62" t="str">
        <f t="shared" si="1"/>
        <v/>
      </c>
      <c r="K62" t="str">
        <f t="shared" si="2"/>
        <v/>
      </c>
    </row>
    <row r="63" spans="1:11" x14ac:dyDescent="0.2">
      <c r="A63" s="3">
        <f>Data!A63</f>
        <v>39871</v>
      </c>
      <c r="B63">
        <f>Data!E63 - Factors!AB65</f>
        <v>-1.4340593447443872E-3</v>
      </c>
      <c r="C63">
        <f>Factors!Z65</f>
        <v>1.559519318855429E-2</v>
      </c>
      <c r="D63">
        <f>Factors!J65</f>
        <v>-2.1065470394521224E-3</v>
      </c>
      <c r="E63">
        <f>Factors!J65 - Factors!K65</f>
        <v>-7.2900244780822465E-3</v>
      </c>
      <c r="F63">
        <f>Factors!H65 - Factors!AA65</f>
        <v>8.4438320359566887E-2</v>
      </c>
      <c r="H63" cm="1">
        <f t="array" ref="H63">TREND(B27:B62, C27:F62, C63:F63, TRUE)</f>
        <v>3.3297994446499063E-3</v>
      </c>
      <c r="I63">
        <f t="shared" si="0"/>
        <v>-4.763858789394294E-3</v>
      </c>
      <c r="J63" t="str">
        <f t="shared" si="1"/>
        <v/>
      </c>
      <c r="K63" t="str">
        <f t="shared" si="2"/>
        <v/>
      </c>
    </row>
    <row r="64" spans="1:11" x14ac:dyDescent="0.2">
      <c r="A64" s="3">
        <f>Data!A64</f>
        <v>39903</v>
      </c>
      <c r="B64">
        <f>Data!E64 - Factors!AB66</f>
        <v>-6.3546821775313234E-3</v>
      </c>
      <c r="C64">
        <f>Factors!Z66</f>
        <v>-2.4376008150097661E-2</v>
      </c>
      <c r="D64">
        <f>Factors!J66</f>
        <v>3.4840468824759441E-4</v>
      </c>
      <c r="E64">
        <f>Factors!J66 - Factors!K66</f>
        <v>-9.6086353601596564E-3</v>
      </c>
      <c r="F64">
        <f>Factors!H66 - Factors!AA66</f>
        <v>-5.8595774984524507E-2</v>
      </c>
      <c r="H64" cm="1">
        <f t="array" ref="H64">TREND(B28:B63, C28:F63, C64:F64, TRUE)</f>
        <v>-1.2630071652087115E-2</v>
      </c>
      <c r="I64">
        <f t="shared" si="0"/>
        <v>6.2753894745557915E-3</v>
      </c>
      <c r="J64" t="str">
        <f t="shared" si="1"/>
        <v/>
      </c>
      <c r="K64" t="str">
        <f t="shared" si="2"/>
        <v/>
      </c>
    </row>
    <row r="65" spans="1:11" x14ac:dyDescent="0.2">
      <c r="A65" s="3">
        <f>Data!A65</f>
        <v>39933</v>
      </c>
      <c r="B65">
        <f>Data!E65 - Factors!AB67</f>
        <v>-1.1532240322855714E-3</v>
      </c>
      <c r="C65">
        <f>Factors!Z67</f>
        <v>-3.3882634470005946E-2</v>
      </c>
      <c r="D65">
        <f>Factors!J67</f>
        <v>7.9822961908986301E-3</v>
      </c>
      <c r="E65">
        <f>Factors!J67 - Factors!K67</f>
        <v>-2.3014830486682403E-2</v>
      </c>
      <c r="F65">
        <f>Factors!H67 - Factors!AA67</f>
        <v>-4.1266514243392338E-2</v>
      </c>
      <c r="H65" cm="1">
        <f t="array" ref="H65">TREND(B29:B64, C29:F64, C65:F65, TRUE)</f>
        <v>-2.4406122305207362E-2</v>
      </c>
      <c r="I65">
        <f t="shared" si="0"/>
        <v>2.325289827292179E-2</v>
      </c>
      <c r="J65" t="str">
        <f t="shared" si="1"/>
        <v/>
      </c>
      <c r="K65" t="str">
        <f t="shared" si="2"/>
        <v/>
      </c>
    </row>
    <row r="66" spans="1:11" x14ac:dyDescent="0.2">
      <c r="A66" s="3">
        <f>Data!A66</f>
        <v>39962</v>
      </c>
      <c r="B66">
        <f>Data!E66 - Factors!AB68</f>
        <v>3.5300189726129139E-2</v>
      </c>
      <c r="C66">
        <f>Factors!Z68</f>
        <v>0.10242062598513835</v>
      </c>
      <c r="D66">
        <f>Factors!J68</f>
        <v>2.8634142135389284E-2</v>
      </c>
      <c r="E66">
        <f>Factors!J68 - Factors!K68</f>
        <v>-1.0694938737042081E-2</v>
      </c>
      <c r="F66">
        <f>Factors!H68 - Factors!AA68</f>
        <v>7.8112778279793016E-3</v>
      </c>
      <c r="H66" cm="1">
        <f t="array" ref="H66">TREND(B30:B65, C30:F65, C66:F66, TRUE)</f>
        <v>8.4699890128127966E-3</v>
      </c>
      <c r="I66">
        <f t="shared" si="0"/>
        <v>2.6830200713316342E-2</v>
      </c>
      <c r="J66" t="str">
        <f t="shared" si="1"/>
        <v/>
      </c>
      <c r="K66" t="str">
        <f t="shared" si="2"/>
        <v/>
      </c>
    </row>
    <row r="67" spans="1:11" x14ac:dyDescent="0.2">
      <c r="A67" s="3">
        <f>Data!A67</f>
        <v>39994</v>
      </c>
      <c r="B67">
        <f>Data!E67 - Factors!AB69</f>
        <v>-1.1794631084505847E-2</v>
      </c>
      <c r="C67">
        <f>Factors!Z69</f>
        <v>-5.3790455181429109E-2</v>
      </c>
      <c r="D67">
        <f>Factors!J69</f>
        <v>4.597507104333598E-3</v>
      </c>
      <c r="E67">
        <f>Factors!J69 - Factors!K69</f>
        <v>-1.086287347218029E-2</v>
      </c>
      <c r="F67">
        <f>Factors!H69 - Factors!AA69</f>
        <v>-1.6251685186863263E-4</v>
      </c>
      <c r="H67" cm="1">
        <f t="array" ref="H67">TREND(B31:B66, C31:F66, C67:F67, TRUE)</f>
        <v>-8.1850791437355422E-3</v>
      </c>
      <c r="I67">
        <f t="shared" si="0"/>
        <v>-3.6095519407703044E-3</v>
      </c>
      <c r="J67" t="str">
        <f t="shared" si="1"/>
        <v/>
      </c>
      <c r="K67" t="str">
        <f t="shared" si="2"/>
        <v/>
      </c>
    </row>
    <row r="68" spans="1:11" x14ac:dyDescent="0.2">
      <c r="A68" s="3">
        <f>Data!A68</f>
        <v>40025</v>
      </c>
      <c r="B68">
        <f>Data!E68 - Factors!AB70</f>
        <v>4.7626416731338939E-3</v>
      </c>
      <c r="C68">
        <f>Factors!Z70</f>
        <v>2.9681597409606075E-2</v>
      </c>
      <c r="D68">
        <f>Factors!J70</f>
        <v>1.4734159911400146E-2</v>
      </c>
      <c r="E68">
        <f>Factors!J70 - Factors!K70</f>
        <v>-1.4958338659874615E-2</v>
      </c>
      <c r="F68">
        <f>Factors!H70 - Factors!AA70</f>
        <v>-4.3606366350536607E-2</v>
      </c>
      <c r="H68" cm="1">
        <f t="array" ref="H68">TREND(B32:B67, C32:F67, C68:F68, TRUE)</f>
        <v>-4.3878118356786124E-3</v>
      </c>
      <c r="I68">
        <f t="shared" si="0"/>
        <v>9.1504535088125054E-3</v>
      </c>
      <c r="J68" t="str">
        <f t="shared" si="1"/>
        <v/>
      </c>
      <c r="K68" t="str">
        <f t="shared" si="2"/>
        <v/>
      </c>
    </row>
    <row r="69" spans="1:11" x14ac:dyDescent="0.2">
      <c r="A69" s="3">
        <f>Data!A69</f>
        <v>40056</v>
      </c>
      <c r="B69">
        <f>Data!E69 - Factors!AB71</f>
        <v>3.5378123481093482E-3</v>
      </c>
      <c r="C69">
        <f>Factors!Z71</f>
        <v>-2.945492662473792E-3</v>
      </c>
      <c r="D69">
        <f>Factors!J71</f>
        <v>1.1457930825694573E-2</v>
      </c>
      <c r="E69">
        <f>Factors!J71 - Factors!K71</f>
        <v>-6.0643564508267023E-3</v>
      </c>
      <c r="F69">
        <f>Factors!H71 - Factors!AA71</f>
        <v>-2.2431393367512875E-2</v>
      </c>
      <c r="H69" cm="1">
        <f t="array" ref="H69">TREND(B33:B68, C33:F68, C69:F69, TRUE)</f>
        <v>1.0222420347694638E-3</v>
      </c>
      <c r="I69">
        <f t="shared" si="0"/>
        <v>2.5155703133398844E-3</v>
      </c>
      <c r="J69" t="str">
        <f t="shared" si="1"/>
        <v/>
      </c>
      <c r="K69" t="str">
        <f t="shared" si="2"/>
        <v/>
      </c>
    </row>
    <row r="70" spans="1:11" x14ac:dyDescent="0.2">
      <c r="A70" s="3">
        <f>Data!A70</f>
        <v>40086</v>
      </c>
      <c r="B70">
        <f>Data!E70 - Factors!AB72</f>
        <v>1.6932291632936192E-2</v>
      </c>
      <c r="C70">
        <f>Factors!Z72</f>
        <v>5.9409791944827095E-2</v>
      </c>
      <c r="D70">
        <f>Factors!J72</f>
        <v>1.6931328115874722E-2</v>
      </c>
      <c r="E70">
        <f>Factors!J72 - Factors!K72</f>
        <v>-7.5793043747116595E-3</v>
      </c>
      <c r="F70">
        <f>Factors!H72 - Factors!AA72</f>
        <v>-5.1461525082594495E-3</v>
      </c>
      <c r="H70" cm="1">
        <f t="array" ref="H70">TREND(B34:B69, C34:F69, C70:F70, TRUE)</f>
        <v>8.3988541017126998E-3</v>
      </c>
      <c r="I70">
        <f t="shared" ref="I70:I101" si="3">B70 - H70</f>
        <v>8.5334375312234919E-3</v>
      </c>
      <c r="J70" t="str">
        <f t="shared" ref="J70:J101" si="4">IF(OR(YEAR(A70)=2008, YEAR(A70)=2009), "", I70)</f>
        <v/>
      </c>
      <c r="K70" t="str">
        <f t="shared" ref="K70:K101" si="5">IF(OR(YEAR(A70)=2008, YEAR(A70)=2009), "", B70)</f>
        <v/>
      </c>
    </row>
    <row r="71" spans="1:11" x14ac:dyDescent="0.2">
      <c r="A71" s="3">
        <f>Data!A71</f>
        <v>40116</v>
      </c>
      <c r="B71">
        <f>Data!E71 - Factors!AB73</f>
        <v>-5.2600330414919183E-3</v>
      </c>
      <c r="C71">
        <f>Factors!Z73</f>
        <v>3.7461546095068021E-2</v>
      </c>
      <c r="D71">
        <f>Factors!J73</f>
        <v>-3.9690569861128289E-4</v>
      </c>
      <c r="E71">
        <f>Factors!J73 - Factors!K73</f>
        <v>-1.2954070660404771E-2</v>
      </c>
      <c r="F71">
        <f>Factors!H73 - Factors!AA73</f>
        <v>1.1406547680002044E-2</v>
      </c>
      <c r="H71" cm="1">
        <f t="array" ref="H71">TREND(B35:B70, C35:F70, C71:F71, TRUE)</f>
        <v>-9.9274352322986127E-4</v>
      </c>
      <c r="I71">
        <f t="shared" si="3"/>
        <v>-4.267289518262057E-3</v>
      </c>
      <c r="J71" t="str">
        <f t="shared" si="4"/>
        <v/>
      </c>
      <c r="K71" t="str">
        <f t="shared" si="5"/>
        <v/>
      </c>
    </row>
    <row r="72" spans="1:11" x14ac:dyDescent="0.2">
      <c r="A72" s="3">
        <f>Data!A72</f>
        <v>40147</v>
      </c>
      <c r="B72">
        <f>Data!E72 - Factors!AB74</f>
        <v>2.1647657747396076E-2</v>
      </c>
      <c r="C72">
        <f>Factors!Z74</f>
        <v>0.12834664498541293</v>
      </c>
      <c r="D72">
        <f>Factors!J74</f>
        <v>7.9809861968849205E-3</v>
      </c>
      <c r="E72">
        <f>Factors!J74 - Factors!K74</f>
        <v>1.8764205720722682E-3</v>
      </c>
      <c r="F72">
        <f>Factors!H74 - Factors!AA74</f>
        <v>-4.4320231785777819E-2</v>
      </c>
      <c r="H72" cm="1">
        <f t="array" ref="H72">TREND(B36:B71, C36:F71, C72:F72, TRUE)</f>
        <v>2.0227416539231931E-2</v>
      </c>
      <c r="I72">
        <f t="shared" si="3"/>
        <v>1.4202412081641448E-3</v>
      </c>
      <c r="J72" t="str">
        <f t="shared" si="4"/>
        <v/>
      </c>
      <c r="K72" t="str">
        <f t="shared" si="5"/>
        <v/>
      </c>
    </row>
    <row r="73" spans="1:11" x14ac:dyDescent="0.2">
      <c r="A73" s="3">
        <f>Data!A73</f>
        <v>40178</v>
      </c>
      <c r="B73">
        <f>Data!E73 - Factors!AB75</f>
        <v>-1.3023219320867363E-2</v>
      </c>
      <c r="C73">
        <f>Factors!Z75</f>
        <v>-7.0072819443384837E-2</v>
      </c>
      <c r="D73">
        <f>Factors!J75</f>
        <v>8.092985115390583E-3</v>
      </c>
      <c r="E73">
        <f>Factors!J75 - Factors!K75</f>
        <v>-1.2419243330031193E-2</v>
      </c>
      <c r="F73">
        <f>Factors!H75 - Factors!AA75</f>
        <v>1.3657719539743596E-3</v>
      </c>
      <c r="H73" cm="1">
        <f t="array" ref="H73">TREND(B37:B72, C37:F72, C73:F73, TRUE)</f>
        <v>-9.6312419966936812E-3</v>
      </c>
      <c r="I73">
        <f t="shared" si="3"/>
        <v>-3.3919773241736818E-3</v>
      </c>
      <c r="J73" t="str">
        <f t="shared" si="4"/>
        <v/>
      </c>
      <c r="K73" t="str">
        <f t="shared" si="5"/>
        <v/>
      </c>
    </row>
    <row r="74" spans="1:11" x14ac:dyDescent="0.2">
      <c r="A74" s="3">
        <f>Data!A74</f>
        <v>40207</v>
      </c>
      <c r="B74">
        <f>Data!E74 - Factors!AB76</f>
        <v>-1.963500950850805E-2</v>
      </c>
      <c r="C74">
        <f>Factors!Z76</f>
        <v>-1.4375962879568216E-2</v>
      </c>
      <c r="D74">
        <f>Factors!J76</f>
        <v>-1.1812019209289648E-3</v>
      </c>
      <c r="E74">
        <f>Factors!J76 - Factors!K76</f>
        <v>-1.6498858759911528E-2</v>
      </c>
      <c r="F74">
        <f>Factors!H76 - Factors!AA76</f>
        <v>2.3260381400135755E-2</v>
      </c>
      <c r="H74" cm="1">
        <f t="array" ref="H74">TREND(B38:B73, C38:F73, C74:F74, TRUE)</f>
        <v>-9.691507427501132E-3</v>
      </c>
      <c r="I74">
        <f t="shared" si="3"/>
        <v>-9.9435020810069181E-3</v>
      </c>
      <c r="J74">
        <f t="shared" si="4"/>
        <v>-9.9435020810069181E-3</v>
      </c>
      <c r="K74">
        <f t="shared" si="5"/>
        <v>-1.963500950850805E-2</v>
      </c>
    </row>
    <row r="75" spans="1:11" x14ac:dyDescent="0.2">
      <c r="A75" s="3">
        <f>Data!A75</f>
        <v>40235</v>
      </c>
      <c r="B75">
        <f>Data!E75 - Factors!AB77</f>
        <v>1.5972913859152449E-3</v>
      </c>
      <c r="C75">
        <f>Factors!Z77</f>
        <v>3.36570477247502E-2</v>
      </c>
      <c r="D75">
        <f>Factors!J77</f>
        <v>1.2472976154498383E-3</v>
      </c>
      <c r="E75">
        <f>Factors!J77 - Factors!K77</f>
        <v>-4.3769582493360382E-3</v>
      </c>
      <c r="F75">
        <f>Factors!H77 - Factors!AA77</f>
        <v>-2.1807780263803256E-2</v>
      </c>
      <c r="H75" cm="1">
        <f t="array" ref="H75">TREND(B39:B74, C39:F74, C75:F75, TRUE)</f>
        <v>5.5618681106643052E-3</v>
      </c>
      <c r="I75">
        <f t="shared" si="3"/>
        <v>-3.9645767247490603E-3</v>
      </c>
      <c r="J75">
        <f t="shared" si="4"/>
        <v>-3.9645767247490603E-3</v>
      </c>
      <c r="K75">
        <f t="shared" si="5"/>
        <v>1.5972913859152449E-3</v>
      </c>
    </row>
    <row r="76" spans="1:11" x14ac:dyDescent="0.2">
      <c r="A76" s="3">
        <f>Data!A76</f>
        <v>40268</v>
      </c>
      <c r="B76">
        <f>Data!E76 - Factors!AB78</f>
        <v>1.5849567639139917E-2</v>
      </c>
      <c r="C76">
        <f>Factors!Z78</f>
        <v>-3.8833561502875646E-3</v>
      </c>
      <c r="D76">
        <f>Factors!J78</f>
        <v>1.5559272311045147E-2</v>
      </c>
      <c r="E76">
        <f>Factors!J78 - Factors!K78</f>
        <v>-6.4636733003187175E-4</v>
      </c>
      <c r="F76">
        <f>Factors!H78 - Factors!AA78</f>
        <v>-2.8806190249837771E-2</v>
      </c>
      <c r="H76" cm="1">
        <f t="array" ref="H76">TREND(B40:B75, C40:F75, C76:F76, TRUE)</f>
        <v>8.6797290151763226E-3</v>
      </c>
      <c r="I76">
        <f t="shared" si="3"/>
        <v>7.1698386239635939E-3</v>
      </c>
      <c r="J76">
        <f t="shared" si="4"/>
        <v>7.1698386239635939E-3</v>
      </c>
      <c r="K76">
        <f t="shared" si="5"/>
        <v>1.5849567639139917E-2</v>
      </c>
    </row>
    <row r="77" spans="1:11" x14ac:dyDescent="0.2">
      <c r="A77" s="3">
        <f>Data!A77</f>
        <v>40298</v>
      </c>
      <c r="B77">
        <f>Data!E77 - Factors!AB79</f>
        <v>8.0716412240007251E-3</v>
      </c>
      <c r="C77">
        <f>Factors!Z79</f>
        <v>5.9088255108915355E-2</v>
      </c>
      <c r="D77">
        <f>Factors!J79</f>
        <v>8.7067818642223571E-3</v>
      </c>
      <c r="E77">
        <f>Factors!J79 - Factors!K79</f>
        <v>-5.190765947365561E-3</v>
      </c>
      <c r="F77">
        <f>Factors!H79 - Factors!AA79</f>
        <v>-3.8900121766480833E-3</v>
      </c>
      <c r="H77" cm="1">
        <f t="array" ref="H77">TREND(B41:B76, C41:F76, C77:F77, TRUE)</f>
        <v>1.0377414525007534E-2</v>
      </c>
      <c r="I77">
        <f t="shared" si="3"/>
        <v>-2.3057733010068086E-3</v>
      </c>
      <c r="J77">
        <f t="shared" si="4"/>
        <v>-2.3057733010068086E-3</v>
      </c>
      <c r="K77">
        <f t="shared" si="5"/>
        <v>8.0716412240007251E-3</v>
      </c>
    </row>
    <row r="78" spans="1:11" x14ac:dyDescent="0.2">
      <c r="A78" s="3">
        <f>Data!A78</f>
        <v>40329</v>
      </c>
      <c r="B78">
        <f>Data!E78 - Factors!AB80</f>
        <v>-1.5987796100666807E-2</v>
      </c>
      <c r="C78">
        <f>Factors!Z80</f>
        <v>3.161073085502486E-2</v>
      </c>
      <c r="D78">
        <f>Factors!J80</f>
        <v>-2.299986753860217E-2</v>
      </c>
      <c r="E78">
        <f>Factors!J80 - Factors!K80</f>
        <v>-5.10550524466169E-3</v>
      </c>
      <c r="F78">
        <f>Factors!H80 - Factors!AA80</f>
        <v>3.9387055521053371E-2</v>
      </c>
      <c r="H78" cm="1">
        <f t="array" ref="H78">TREND(B42:B77, C42:F77, C78:F78, TRUE)</f>
        <v>-7.1600566905013867E-4</v>
      </c>
      <c r="I78">
        <f t="shared" si="3"/>
        <v>-1.5271790431616668E-2</v>
      </c>
      <c r="J78">
        <f t="shared" si="4"/>
        <v>-1.5271790431616668E-2</v>
      </c>
      <c r="K78">
        <f t="shared" si="5"/>
        <v>-1.5987796100666807E-2</v>
      </c>
    </row>
    <row r="79" spans="1:11" x14ac:dyDescent="0.2">
      <c r="A79" s="3">
        <f>Data!A79</f>
        <v>40359</v>
      </c>
      <c r="B79">
        <f>Data!E79 - Factors!AB81</f>
        <v>-1.2637729322501068E-3</v>
      </c>
      <c r="C79">
        <f>Factors!Z81</f>
        <v>2.1442078434596779E-2</v>
      </c>
      <c r="D79">
        <f>Factors!J81</f>
        <v>-1.0224874718030352E-2</v>
      </c>
      <c r="E79">
        <f>Factors!J81 - Factors!K81</f>
        <v>-1.3880931583502343E-2</v>
      </c>
      <c r="F79">
        <f>Factors!H81 - Factors!AA81</f>
        <v>3.3895079875668088E-2</v>
      </c>
      <c r="H79" cm="1">
        <f t="array" ref="H79">TREND(B43:B78, C43:F78, C79:F79, TRUE)</f>
        <v>-8.2798377543209494E-3</v>
      </c>
      <c r="I79">
        <f t="shared" si="3"/>
        <v>7.0160648220708426E-3</v>
      </c>
      <c r="J79">
        <f t="shared" si="4"/>
        <v>7.0160648220708426E-3</v>
      </c>
      <c r="K79">
        <f t="shared" si="5"/>
        <v>-1.2637729322501068E-3</v>
      </c>
    </row>
    <row r="80" spans="1:11" x14ac:dyDescent="0.2">
      <c r="A80" s="3">
        <f>Data!A80</f>
        <v>40389</v>
      </c>
      <c r="B80">
        <f>Data!E80 - Factors!AB82</f>
        <v>-8.3186414711855505E-4</v>
      </c>
      <c r="C80">
        <f>Factors!Z82</f>
        <v>-4.9405173940340386E-2</v>
      </c>
      <c r="D80">
        <f>Factors!J82</f>
        <v>6.445471881599607E-3</v>
      </c>
      <c r="E80">
        <f>Factors!J82 - Factors!K82</f>
        <v>-1.0569480096350059E-2</v>
      </c>
      <c r="F80">
        <f>Factors!H82 - Factors!AA82</f>
        <v>-4.6496467733256885E-2</v>
      </c>
      <c r="H80" cm="1">
        <f t="array" ref="H80">TREND(B44:B79, C44:F79, C80:F80, TRUE)</f>
        <v>-5.7695165587869504E-3</v>
      </c>
      <c r="I80">
        <f t="shared" si="3"/>
        <v>4.9376524116683954E-3</v>
      </c>
      <c r="J80">
        <f t="shared" si="4"/>
        <v>4.9376524116683954E-3</v>
      </c>
      <c r="K80">
        <f t="shared" si="5"/>
        <v>-8.3186414711855505E-4</v>
      </c>
    </row>
    <row r="81" spans="1:11" x14ac:dyDescent="0.2">
      <c r="A81" s="3">
        <f>Data!A81</f>
        <v>40421</v>
      </c>
      <c r="B81">
        <f>Data!E81 - Factors!AB83</f>
        <v>1.6786382415671763E-2</v>
      </c>
      <c r="C81">
        <f>Factors!Z83</f>
        <v>5.6223539373412512E-2</v>
      </c>
      <c r="D81">
        <f>Factors!J83</f>
        <v>1.4777954820992534E-3</v>
      </c>
      <c r="E81">
        <f>Factors!J83 - Factors!K83</f>
        <v>-6.7100306840071067E-3</v>
      </c>
      <c r="F81">
        <f>Factors!H83 - Factors!AA83</f>
        <v>3.1417898010628997E-2</v>
      </c>
      <c r="H81" cm="1">
        <f t="array" ref="H81">TREND(B45:B80, C45:F80, C81:F81, TRUE)</f>
        <v>6.6849634859126239E-3</v>
      </c>
      <c r="I81">
        <f t="shared" si="3"/>
        <v>1.0101418929759139E-2</v>
      </c>
      <c r="J81">
        <f t="shared" si="4"/>
        <v>1.0101418929759139E-2</v>
      </c>
      <c r="K81">
        <f t="shared" si="5"/>
        <v>1.6786382415671763E-2</v>
      </c>
    </row>
    <row r="82" spans="1:11" x14ac:dyDescent="0.2">
      <c r="A82" s="3">
        <f>Data!A82</f>
        <v>40451</v>
      </c>
      <c r="B82">
        <f>Data!E82 - Factors!AB84</f>
        <v>2.7248533923662999E-2</v>
      </c>
      <c r="C82">
        <f>Factors!Z84</f>
        <v>4.9013949013948954E-2</v>
      </c>
      <c r="D82">
        <f>Factors!J84</f>
        <v>1.9913805509131688E-2</v>
      </c>
      <c r="E82">
        <f>Factors!J84 - Factors!K84</f>
        <v>3.5992978396723885E-3</v>
      </c>
      <c r="F82">
        <f>Factors!H84 - Factors!AA84</f>
        <v>-4.1845974098151828E-2</v>
      </c>
      <c r="H82" cm="1">
        <f t="array" ref="H82">TREND(B46:B81, C46:F81, C82:F82, TRUE)</f>
        <v>2.3242558870912974E-2</v>
      </c>
      <c r="I82">
        <f t="shared" si="3"/>
        <v>4.005975052750025E-3</v>
      </c>
      <c r="J82">
        <f t="shared" si="4"/>
        <v>4.005975052750025E-3</v>
      </c>
      <c r="K82">
        <f t="shared" si="5"/>
        <v>2.7248533923662999E-2</v>
      </c>
    </row>
    <row r="83" spans="1:11" x14ac:dyDescent="0.2">
      <c r="A83" s="3">
        <f>Data!A83</f>
        <v>40480</v>
      </c>
      <c r="B83">
        <f>Data!E83 - Factors!AB85</f>
        <v>2.2203811201051193E-2</v>
      </c>
      <c r="C83">
        <f>Factors!Z85</f>
        <v>3.8867745731884451E-2</v>
      </c>
      <c r="D83">
        <f>Factors!J85</f>
        <v>1.387358691908358E-2</v>
      </c>
      <c r="E83">
        <f>Factors!J85 - Factors!K85</f>
        <v>-1.7340740810456445E-3</v>
      </c>
      <c r="F83">
        <f>Factors!H85 - Factors!AA85</f>
        <v>-1.4383202411720086E-2</v>
      </c>
      <c r="H83" cm="1">
        <f t="array" ref="H83">TREND(B47:B82, C47:F82, C83:F83, TRUE)</f>
        <v>1.5191450337213742E-2</v>
      </c>
      <c r="I83">
        <f t="shared" si="3"/>
        <v>7.0123608638374517E-3</v>
      </c>
      <c r="J83">
        <f t="shared" si="4"/>
        <v>7.0123608638374517E-3</v>
      </c>
      <c r="K83">
        <f t="shared" si="5"/>
        <v>2.2203811201051193E-2</v>
      </c>
    </row>
    <row r="84" spans="1:11" x14ac:dyDescent="0.2">
      <c r="A84" s="3">
        <f>Data!A84</f>
        <v>40512</v>
      </c>
      <c r="B84">
        <f>Data!E84 - Factors!AB86</f>
        <v>-9.2671775500139386E-3</v>
      </c>
      <c r="C84">
        <f>Factors!Z86</f>
        <v>1.9729292334853543E-2</v>
      </c>
      <c r="D84">
        <f>Factors!J86</f>
        <v>-1.8671455939112125E-4</v>
      </c>
      <c r="E84">
        <f>Factors!J86 - Factors!K86</f>
        <v>-4.8239227650591632E-3</v>
      </c>
      <c r="F84">
        <f>Factors!H86 - Factors!AA86</f>
        <v>6.243884461516469E-3</v>
      </c>
      <c r="H84" cm="1">
        <f t="array" ref="H84">TREND(B48:B83, C48:F83, C84:F84, TRUE)</f>
        <v>6.1542335398849695E-3</v>
      </c>
      <c r="I84">
        <f t="shared" si="3"/>
        <v>-1.5421411089898907E-2</v>
      </c>
      <c r="J84">
        <f t="shared" si="4"/>
        <v>-1.5421411089898907E-2</v>
      </c>
      <c r="K84">
        <f t="shared" si="5"/>
        <v>-9.2671775500139386E-3</v>
      </c>
    </row>
    <row r="85" spans="1:11" x14ac:dyDescent="0.2">
      <c r="A85" s="3">
        <f>Data!A85</f>
        <v>40543</v>
      </c>
      <c r="B85">
        <f>Data!E85 - Factors!AB87</f>
        <v>3.3187395288934551E-2</v>
      </c>
      <c r="C85">
        <f>Factors!Z87</f>
        <v>2.5378367070162167E-2</v>
      </c>
      <c r="D85">
        <f>Factors!J87</f>
        <v>2.1734780853239322E-2</v>
      </c>
      <c r="E85">
        <f>Factors!J87 - Factors!K87</f>
        <v>1.1061618089067693E-2</v>
      </c>
      <c r="F85">
        <f>Factors!H87 - Factors!AA87</f>
        <v>-3.1599235959206995E-2</v>
      </c>
      <c r="H85" cm="1">
        <f t="array" ref="H85">TREND(B49:B84, C49:F84, C85:F85, TRUE)</f>
        <v>3.0927092052859796E-2</v>
      </c>
      <c r="I85">
        <f t="shared" si="3"/>
        <v>2.2603032360747552E-3</v>
      </c>
      <c r="J85">
        <f t="shared" si="4"/>
        <v>2.2603032360747552E-3</v>
      </c>
      <c r="K85">
        <f t="shared" si="5"/>
        <v>3.3187395288934551E-2</v>
      </c>
    </row>
    <row r="86" spans="1:11" x14ac:dyDescent="0.2">
      <c r="A86" s="3">
        <f>Data!A86</f>
        <v>40574</v>
      </c>
      <c r="B86">
        <f>Data!E86 - Factors!AB88</f>
        <v>-7.2646312546593705E-3</v>
      </c>
      <c r="C86">
        <f>Factors!Z88</f>
        <v>-6.2424370339102309E-2</v>
      </c>
      <c r="D86">
        <f>Factors!J88</f>
        <v>2.5613937636308481E-3</v>
      </c>
      <c r="E86">
        <f>Factors!J88 - Factors!K88</f>
        <v>-8.8929202417624698E-3</v>
      </c>
      <c r="F86">
        <f>Factors!H88 - Factors!AA88</f>
        <v>-1.9486330288817078E-2</v>
      </c>
      <c r="H86" cm="1">
        <f t="array" ref="H86">TREND(B50:B85, C50:F85, C86:F86, TRUE)</f>
        <v>-5.3767569359123857E-3</v>
      </c>
      <c r="I86">
        <f t="shared" si="3"/>
        <v>-1.8878743187469849E-3</v>
      </c>
      <c r="J86">
        <f t="shared" si="4"/>
        <v>-1.8878743187469849E-3</v>
      </c>
      <c r="K86">
        <f t="shared" si="5"/>
        <v>-7.2646312546593705E-3</v>
      </c>
    </row>
    <row r="87" spans="1:11" x14ac:dyDescent="0.2">
      <c r="A87" s="3">
        <f>Data!A87</f>
        <v>40602</v>
      </c>
      <c r="B87">
        <f>Data!E87 - Factors!AB89</f>
        <v>1.2596517393219875E-2</v>
      </c>
      <c r="C87">
        <f>Factors!Z89</f>
        <v>5.9024364621399039E-2</v>
      </c>
      <c r="D87">
        <f>Factors!J89</f>
        <v>8.9363873758778745E-3</v>
      </c>
      <c r="E87">
        <f>Factors!J89 - Factors!K89</f>
        <v>-1.4079908037456512E-4</v>
      </c>
      <c r="F87">
        <f>Factors!H89 - Factors!AA89</f>
        <v>-2.1252558670661337E-2</v>
      </c>
      <c r="H87" cm="1">
        <f t="array" ref="H87">TREND(B51:B86, C51:F86, C87:F87, TRUE)</f>
        <v>1.8212450814884353E-2</v>
      </c>
      <c r="I87">
        <f t="shared" si="3"/>
        <v>-5.6159334216644777E-3</v>
      </c>
      <c r="J87">
        <f t="shared" si="4"/>
        <v>-5.6159334216644777E-3</v>
      </c>
      <c r="K87">
        <f t="shared" si="5"/>
        <v>1.2596517393219875E-2</v>
      </c>
    </row>
    <row r="88" spans="1:11" x14ac:dyDescent="0.2">
      <c r="A88" s="3">
        <f>Data!A88</f>
        <v>40633</v>
      </c>
      <c r="B88">
        <f>Data!E88 - Factors!AB90</f>
        <v>-1.1061941426263378E-2</v>
      </c>
      <c r="C88">
        <f>Factors!Z90</f>
        <v>1.478746997513003E-2</v>
      </c>
      <c r="D88">
        <f>Factors!J90</f>
        <v>-6.9007107654817101E-4</v>
      </c>
      <c r="E88">
        <f>Factors!J90 - Factors!K90</f>
        <v>-3.546865812682376E-3</v>
      </c>
      <c r="F88">
        <f>Factors!H90 - Factors!AA90</f>
        <v>4.5956294601310343E-3</v>
      </c>
      <c r="H88" cm="1">
        <f t="array" ref="H88">TREND(B52:B87, C52:F87, C88:F88, TRUE)</f>
        <v>5.9922199877085035E-3</v>
      </c>
      <c r="I88">
        <f t="shared" si="3"/>
        <v>-1.7054161413971883E-2</v>
      </c>
      <c r="J88">
        <f t="shared" si="4"/>
        <v>-1.7054161413971883E-2</v>
      </c>
      <c r="K88">
        <f t="shared" si="5"/>
        <v>-1.1061941426263378E-2</v>
      </c>
    </row>
    <row r="89" spans="1:11" x14ac:dyDescent="0.2">
      <c r="A89" s="3">
        <f>Data!A89</f>
        <v>40662</v>
      </c>
      <c r="B89">
        <f>Data!E89 - Factors!AB91</f>
        <v>2.3604093954620486E-2</v>
      </c>
      <c r="C89">
        <f>Factors!Z91</f>
        <v>9.1816785365172349E-2</v>
      </c>
      <c r="D89">
        <f>Factors!J91</f>
        <v>1.1135294881996716E-2</v>
      </c>
      <c r="E89">
        <f>Factors!J91 - Factors!K91</f>
        <v>2.869876713991415E-3</v>
      </c>
      <c r="F89">
        <f>Factors!H91 - Factors!AA91</f>
        <v>-1.6257760447180969E-2</v>
      </c>
      <c r="H89" cm="1">
        <f t="array" ref="H89">TREND(B53:B88, C53:F88, C89:F89, TRUE)</f>
        <v>2.3255163097498321E-2</v>
      </c>
      <c r="I89">
        <f t="shared" si="3"/>
        <v>3.4893085712216568E-4</v>
      </c>
      <c r="J89">
        <f t="shared" si="4"/>
        <v>3.4893085712216568E-4</v>
      </c>
      <c r="K89">
        <f t="shared" si="5"/>
        <v>2.3604093954620486E-2</v>
      </c>
    </row>
    <row r="90" spans="1:11" x14ac:dyDescent="0.2">
      <c r="A90" s="3">
        <f>Data!A90</f>
        <v>40694</v>
      </c>
      <c r="B90">
        <f>Data!E90 - Factors!AB92</f>
        <v>-2.3066998018216212E-2</v>
      </c>
      <c r="C90">
        <f>Factors!Z92</f>
        <v>-1.789345782439089E-2</v>
      </c>
      <c r="D90">
        <f>Factors!J92</f>
        <v>-9.876820707390932E-3</v>
      </c>
      <c r="E90">
        <f>Factors!J92 - Factors!K92</f>
        <v>-1.0873187113345173E-2</v>
      </c>
      <c r="F90">
        <f>Factors!H92 - Factors!AA92</f>
        <v>-1.4843100560157918E-3</v>
      </c>
      <c r="H90" cm="1">
        <f t="array" ref="H90">TREND(B54:B89, C54:F89, C90:F90, TRUE)</f>
        <v>-7.5720142864170534E-3</v>
      </c>
      <c r="I90">
        <f t="shared" si="3"/>
        <v>-1.5494983731799158E-2</v>
      </c>
      <c r="J90">
        <f t="shared" si="4"/>
        <v>-1.5494983731799158E-2</v>
      </c>
      <c r="K90">
        <f t="shared" si="5"/>
        <v>-2.3066998018216212E-2</v>
      </c>
    </row>
    <row r="91" spans="1:11" x14ac:dyDescent="0.2">
      <c r="A91" s="3">
        <f>Data!A91</f>
        <v>40724</v>
      </c>
      <c r="B91">
        <f>Data!E91 - Factors!AB93</f>
        <v>-1.7460618278639317E-2</v>
      </c>
      <c r="C91">
        <f>Factors!Z93</f>
        <v>-2.3148751074414609E-2</v>
      </c>
      <c r="D91">
        <f>Factors!J93</f>
        <v>-1.2971422260582011E-2</v>
      </c>
      <c r="E91">
        <f>Factors!J93 - Factors!K93</f>
        <v>-1.046439447679004E-2</v>
      </c>
      <c r="F91">
        <f>Factors!H93 - Factors!AA93</f>
        <v>4.0717453730455544E-3</v>
      </c>
      <c r="H91" cm="1">
        <f t="array" ref="H91">TREND(B55:B90, C55:F90, C91:F91, TRUE)</f>
        <v>-9.5884389732908762E-3</v>
      </c>
      <c r="I91">
        <f t="shared" si="3"/>
        <v>-7.872179305348441E-3</v>
      </c>
      <c r="J91">
        <f t="shared" si="4"/>
        <v>-7.872179305348441E-3</v>
      </c>
      <c r="K91">
        <f t="shared" si="5"/>
        <v>-1.7460618278639317E-2</v>
      </c>
    </row>
    <row r="92" spans="1:11" x14ac:dyDescent="0.2">
      <c r="A92" s="3">
        <f>Data!A92</f>
        <v>40753</v>
      </c>
      <c r="B92">
        <f>Data!E92 - Factors!AB94</f>
        <v>1.6608689013653533E-2</v>
      </c>
      <c r="C92">
        <f>Factors!Z94</f>
        <v>8.4577081264123333E-2</v>
      </c>
      <c r="D92">
        <f>Factors!J94</f>
        <v>3.4010100506687291E-3</v>
      </c>
      <c r="E92">
        <f>Factors!J94 - Factors!K94</f>
        <v>3.4345024117495848E-3</v>
      </c>
      <c r="F92">
        <f>Factors!H94 - Factors!AA94</f>
        <v>1.7063345671843533E-2</v>
      </c>
      <c r="H92" cm="1">
        <f t="array" ref="H92">TREND(B56:B91, C56:F91, C92:F92, TRUE)</f>
        <v>2.0601334678133115E-2</v>
      </c>
      <c r="I92">
        <f t="shared" si="3"/>
        <v>-3.992645664479582E-3</v>
      </c>
      <c r="J92">
        <f t="shared" si="4"/>
        <v>-3.992645664479582E-3</v>
      </c>
      <c r="K92">
        <f t="shared" si="5"/>
        <v>1.6608689013653533E-2</v>
      </c>
    </row>
    <row r="93" spans="1:11" x14ac:dyDescent="0.2">
      <c r="A93" s="3">
        <f>Data!A93</f>
        <v>40786</v>
      </c>
      <c r="B93">
        <f>Data!E93 - Factors!AB95</f>
        <v>-5.2164075416469835E-3</v>
      </c>
      <c r="C93">
        <f>Factors!Z95</f>
        <v>0.12199993853907376</v>
      </c>
      <c r="D93">
        <f>Factors!J95</f>
        <v>-2.4465804041879369E-2</v>
      </c>
      <c r="E93">
        <f>Factors!J95 - Factors!K95</f>
        <v>-2.7617308491720838E-3</v>
      </c>
      <c r="F93">
        <f>Factors!H95 - Factors!AA95</f>
        <v>5.4431745927553399E-3</v>
      </c>
      <c r="H93" cm="1">
        <f t="array" ref="H93">TREND(B57:B92, C57:F92, C93:F93, TRUE)</f>
        <v>7.2344563293619754E-3</v>
      </c>
      <c r="I93">
        <f t="shared" si="3"/>
        <v>-1.2450863871008959E-2</v>
      </c>
      <c r="J93">
        <f t="shared" si="4"/>
        <v>-1.2450863871008959E-2</v>
      </c>
      <c r="K93">
        <f t="shared" si="5"/>
        <v>-5.2164075416469835E-3</v>
      </c>
    </row>
    <row r="94" spans="1:11" x14ac:dyDescent="0.2">
      <c r="A94" s="3">
        <f>Data!A94</f>
        <v>40816</v>
      </c>
      <c r="B94">
        <f>Data!E94 - Factors!AB96</f>
        <v>-1.2433538373822772E-2</v>
      </c>
      <c r="C94">
        <f>Factors!Z96</f>
        <v>-0.11052011722494592</v>
      </c>
      <c r="D94">
        <f>Factors!J96</f>
        <v>-2.2738241229829148E-2</v>
      </c>
      <c r="E94">
        <f>Factors!J96 - Factors!K96</f>
        <v>-5.9400443721741025E-3</v>
      </c>
      <c r="F94">
        <f>Factors!H96 - Factors!AA96</f>
        <v>9.9451249741936421E-3</v>
      </c>
      <c r="H94" cm="1">
        <f t="array" ref="H94">TREND(B58:B93, C58:F93, C94:F94, TRUE)</f>
        <v>-1.5212033080910002E-2</v>
      </c>
      <c r="I94">
        <f t="shared" si="3"/>
        <v>2.7784947070872302E-3</v>
      </c>
      <c r="J94">
        <f t="shared" si="4"/>
        <v>2.7784947070872302E-3</v>
      </c>
      <c r="K94">
        <f t="shared" si="5"/>
        <v>-1.2433538373822772E-2</v>
      </c>
    </row>
    <row r="95" spans="1:11" x14ac:dyDescent="0.2">
      <c r="A95" s="3">
        <f>Data!A95</f>
        <v>40847</v>
      </c>
      <c r="B95">
        <f>Data!E95 - Factors!AB97</f>
        <v>-9.2932404149276282E-3</v>
      </c>
      <c r="C95">
        <f>Factors!Z97</f>
        <v>5.5986303647639124E-2</v>
      </c>
      <c r="D95">
        <f>Factors!J97</f>
        <v>7.5684685760968318E-3</v>
      </c>
      <c r="E95">
        <f>Factors!J97 - Factors!K97</f>
        <v>-5.0950981048070165E-3</v>
      </c>
      <c r="F95">
        <f>Factors!H97 - Factors!AA97</f>
        <v>-6.0212196763237413E-2</v>
      </c>
      <c r="H95" cm="1">
        <f t="array" ref="H95">TREND(B59:B94, C59:F94, C95:F95, TRUE)</f>
        <v>1.066600373231668E-2</v>
      </c>
      <c r="I95">
        <f t="shared" si="3"/>
        <v>-1.9959244147244308E-2</v>
      </c>
      <c r="J95">
        <f t="shared" si="4"/>
        <v>-1.9959244147244308E-2</v>
      </c>
      <c r="K95">
        <f t="shared" si="5"/>
        <v>-9.2932404149276282E-3</v>
      </c>
    </row>
    <row r="96" spans="1:11" x14ac:dyDescent="0.2">
      <c r="A96" s="3">
        <f>Data!A96</f>
        <v>40877</v>
      </c>
      <c r="B96">
        <f>Data!E96 - Factors!AB98</f>
        <v>-6.527056965234701E-3</v>
      </c>
      <c r="C96">
        <f>Factors!Z98</f>
        <v>1.8458039307167384E-2</v>
      </c>
      <c r="D96">
        <f>Factors!J98</f>
        <v>-8.4087184938023141E-3</v>
      </c>
      <c r="E96">
        <f>Factors!J98 - Factors!K98</f>
        <v>-2.4594883000992329E-3</v>
      </c>
      <c r="F96">
        <f>Factors!H98 - Factors!AA98</f>
        <v>-1.8004876664051372E-2</v>
      </c>
      <c r="H96" cm="1">
        <f t="array" ref="H96">TREND(B60:B95, C60:F95, C96:F96, TRUE)</f>
        <v>-1.8263027674255685E-3</v>
      </c>
      <c r="I96">
        <f t="shared" si="3"/>
        <v>-4.7007541978091325E-3</v>
      </c>
      <c r="J96">
        <f t="shared" si="4"/>
        <v>-4.7007541978091325E-3</v>
      </c>
      <c r="K96">
        <f t="shared" si="5"/>
        <v>-6.527056965234701E-3</v>
      </c>
    </row>
    <row r="97" spans="1:11" x14ac:dyDescent="0.2">
      <c r="A97" s="3">
        <f>Data!A97</f>
        <v>40907</v>
      </c>
      <c r="B97">
        <f>Data!E97 - Factors!AB99</f>
        <v>-2.4774665427476084E-3</v>
      </c>
      <c r="C97">
        <f>Factors!Z99</f>
        <v>-0.10389669882898611</v>
      </c>
      <c r="D97">
        <f>Factors!J99</f>
        <v>-4.9091743503163476E-3</v>
      </c>
      <c r="E97">
        <f>Factors!J99 - Factors!K99</f>
        <v>-8.6996348110029986E-3</v>
      </c>
      <c r="F97">
        <f>Factors!H99 - Factors!AA99</f>
        <v>-1.9372139308067027E-2</v>
      </c>
      <c r="H97" cm="1">
        <f t="array" ref="H97">TREND(B61:B96, C61:F96, C97:F97, TRUE)</f>
        <v>-1.761227200899106E-2</v>
      </c>
      <c r="I97">
        <f t="shared" si="3"/>
        <v>1.5134805466243451E-2</v>
      </c>
      <c r="J97">
        <f t="shared" si="4"/>
        <v>1.5134805466243451E-2</v>
      </c>
      <c r="K97">
        <f t="shared" si="5"/>
        <v>-2.4774665427476084E-3</v>
      </c>
    </row>
    <row r="98" spans="1:11" x14ac:dyDescent="0.2">
      <c r="A98" s="3">
        <f>Data!A98</f>
        <v>40939</v>
      </c>
      <c r="B98">
        <f>Data!E98 - Factors!AB100</f>
        <v>1.2674140364055342E-2</v>
      </c>
      <c r="C98">
        <f>Factors!Z100</f>
        <v>0.1104536363113533</v>
      </c>
      <c r="D98">
        <f>Factors!J100</f>
        <v>1.57456894257475E-2</v>
      </c>
      <c r="E98">
        <f>Factors!J100 - Factors!K100</f>
        <v>-3.9926837045045627E-3</v>
      </c>
      <c r="F98">
        <f>Factors!H100 - Factors!AA100</f>
        <v>-5.9908436141125065E-3</v>
      </c>
      <c r="H98" cm="1">
        <f t="array" ref="H98">TREND(B62:B97, C62:F97, C98:F98, TRUE)</f>
        <v>1.9731123797420765E-2</v>
      </c>
      <c r="I98">
        <f t="shared" si="3"/>
        <v>-7.0569834333654227E-3</v>
      </c>
      <c r="J98">
        <f t="shared" si="4"/>
        <v>-7.0569834333654227E-3</v>
      </c>
      <c r="K98">
        <f t="shared" si="5"/>
        <v>1.2674140364055342E-2</v>
      </c>
    </row>
    <row r="99" spans="1:11" x14ac:dyDescent="0.2">
      <c r="A99" s="3">
        <f>Data!A99</f>
        <v>40968</v>
      </c>
      <c r="B99">
        <f>Data!E99 - Factors!AB101</f>
        <v>7.894786998136949E-3</v>
      </c>
      <c r="C99">
        <f>Factors!Z101</f>
        <v>-2.3593591750299181E-2</v>
      </c>
      <c r="D99">
        <f>Factors!J101</f>
        <v>1.3200955980328555E-2</v>
      </c>
      <c r="E99">
        <f>Factors!J101 - Factors!K101</f>
        <v>-2.5665610837164454E-3</v>
      </c>
      <c r="F99">
        <f>Factors!H101 - Factors!AA101</f>
        <v>-1.4307816435817688E-2</v>
      </c>
      <c r="H99" cm="1">
        <f t="array" ref="H99">TREND(B63:B98, C63:F98, C99:F99, TRUE)</f>
        <v>1.0485963825383814E-2</v>
      </c>
      <c r="I99">
        <f t="shared" si="3"/>
        <v>-2.5911768272468653E-3</v>
      </c>
      <c r="J99">
        <f t="shared" si="4"/>
        <v>-2.5911768272468653E-3</v>
      </c>
      <c r="K99">
        <f t="shared" si="5"/>
        <v>7.894786998136949E-3</v>
      </c>
    </row>
    <row r="100" spans="1:11" x14ac:dyDescent="0.2">
      <c r="A100" s="3">
        <f>Data!A100</f>
        <v>40998</v>
      </c>
      <c r="B100">
        <f>Data!E100 - Factors!AB102</f>
        <v>-1.3289784139097427E-2</v>
      </c>
      <c r="C100">
        <f>Factors!Z102</f>
        <v>-1.6861547891275031E-2</v>
      </c>
      <c r="D100">
        <f>Factors!J102</f>
        <v>1.3742676150236832E-3</v>
      </c>
      <c r="E100">
        <f>Factors!J102 - Factors!K102</f>
        <v>-3.7818742078556955E-3</v>
      </c>
      <c r="F100">
        <f>Factors!H102 - Factors!AA102</f>
        <v>-3.2856250783209973E-2</v>
      </c>
      <c r="H100" cm="1">
        <f t="array" ref="H100">TREND(B64:B99, C64:F99, C100:F100, TRUE)</f>
        <v>-6.4796258048675694E-4</v>
      </c>
      <c r="I100">
        <f t="shared" si="3"/>
        <v>-1.2641821558610669E-2</v>
      </c>
      <c r="J100">
        <f t="shared" si="4"/>
        <v>-1.2641821558610669E-2</v>
      </c>
      <c r="K100">
        <f t="shared" si="5"/>
        <v>-1.3289784139097427E-2</v>
      </c>
    </row>
    <row r="101" spans="1:11" x14ac:dyDescent="0.2">
      <c r="A101" s="3">
        <f>Data!A101</f>
        <v>41029</v>
      </c>
      <c r="B101">
        <f>Data!E101 - Factors!AB103</f>
        <v>-5.8454730776176245E-3</v>
      </c>
      <c r="C101">
        <f>Factors!Z103</f>
        <v>-2.0381860144471631E-3</v>
      </c>
      <c r="D101">
        <f>Factors!J103</f>
        <v>-2.8145952957865372E-3</v>
      </c>
      <c r="E101">
        <f>Factors!J103 - Factors!K103</f>
        <v>-5.7231793588730095E-3</v>
      </c>
      <c r="F101">
        <f>Factors!H103 - Factors!AA103</f>
        <v>-1.9110415846274043E-3</v>
      </c>
      <c r="H101" cm="1">
        <f t="array" ref="H101">TREND(B65:B100, C65:F100, C101:F101, TRUE)</f>
        <v>-3.2635385743353404E-3</v>
      </c>
      <c r="I101">
        <f t="shared" si="3"/>
        <v>-2.581934503282284E-3</v>
      </c>
      <c r="J101">
        <f t="shared" si="4"/>
        <v>-2.581934503282284E-3</v>
      </c>
      <c r="K101">
        <f t="shared" si="5"/>
        <v>-5.8454730776176245E-3</v>
      </c>
    </row>
    <row r="102" spans="1:11" x14ac:dyDescent="0.2">
      <c r="A102" s="3">
        <f>Data!A102</f>
        <v>41060</v>
      </c>
      <c r="B102">
        <f>Data!E102 - Factors!AB104</f>
        <v>3.9323302788962788E-3</v>
      </c>
      <c r="C102">
        <f>Factors!Z104</f>
        <v>-6.2616008409671076E-2</v>
      </c>
      <c r="D102">
        <f>Factors!J104</f>
        <v>-1.1900829122259204E-2</v>
      </c>
      <c r="E102">
        <f>Factors!J104 - Factors!K104</f>
        <v>-1.356631426410071E-3</v>
      </c>
      <c r="F102">
        <f>Factors!H104 - Factors!AA104</f>
        <v>1.2972851297161081E-2</v>
      </c>
      <c r="H102" cm="1">
        <f t="array" ref="H102">TREND(B66:B101, C66:F101, C102:F102, TRUE)</f>
        <v>-8.3889972446064606E-3</v>
      </c>
      <c r="I102">
        <f t="shared" ref="I102:I121" si="6">B102 - H102</f>
        <v>1.2321327523502739E-2</v>
      </c>
      <c r="J102">
        <f t="shared" ref="J102:J121" si="7">IF(OR(YEAR(A102)=2008, YEAR(A102)=2009), "", I102)</f>
        <v>1.2321327523502739E-2</v>
      </c>
      <c r="K102">
        <f t="shared" ref="K102:K121" si="8">IF(OR(YEAR(A102)=2008, YEAR(A102)=2009), "", B102)</f>
        <v>3.9323302788962788E-3</v>
      </c>
    </row>
    <row r="103" spans="1:11" x14ac:dyDescent="0.2">
      <c r="A103" s="3">
        <f>Data!A103</f>
        <v>41089</v>
      </c>
      <c r="B103">
        <f>Data!E103 - Factors!AB105</f>
        <v>-1.4253780032522867E-2</v>
      </c>
      <c r="C103">
        <f>Factors!Z105</f>
        <v>2.3671748338684129E-2</v>
      </c>
      <c r="D103">
        <f>Factors!J105</f>
        <v>-4.0606946280623557E-3</v>
      </c>
      <c r="E103">
        <f>Factors!J105 - Factors!K105</f>
        <v>-1.2886849157860869E-2</v>
      </c>
      <c r="F103">
        <f>Factors!H105 - Factors!AA105</f>
        <v>-3.1983860838842748E-2</v>
      </c>
      <c r="H103" cm="1">
        <f t="array" ref="H103">TREND(B67:B102, C67:F102, C103:F103, TRUE)</f>
        <v>-1.4425653847660985E-2</v>
      </c>
      <c r="I103">
        <f t="shared" si="6"/>
        <v>1.7187381513811793E-4</v>
      </c>
      <c r="J103">
        <f t="shared" si="7"/>
        <v>1.7187381513811793E-4</v>
      </c>
      <c r="K103">
        <f t="shared" si="8"/>
        <v>-1.4253780032522867E-2</v>
      </c>
    </row>
    <row r="104" spans="1:11" x14ac:dyDescent="0.2">
      <c r="A104" s="3">
        <f>Data!A104</f>
        <v>41121</v>
      </c>
      <c r="B104">
        <f>Data!E104 - Factors!AB106</f>
        <v>2.0036864847239544E-2</v>
      </c>
      <c r="C104">
        <f>Factors!Z106</f>
        <v>1.072334032364064E-2</v>
      </c>
      <c r="D104">
        <f>Factors!J106</f>
        <v>9.0257066089889371E-3</v>
      </c>
      <c r="E104">
        <f>Factors!J106 - Factors!K106</f>
        <v>-2.9906427809802683E-3</v>
      </c>
      <c r="F104">
        <f>Factors!H106 - Factors!AA106</f>
        <v>-1.1135555063880309E-2</v>
      </c>
      <c r="H104" cm="1">
        <f t="array" ref="H104">TREND(B68:B103, C68:F103, C104:F104, TRUE)</f>
        <v>9.0150112674099517E-3</v>
      </c>
      <c r="I104">
        <f t="shared" si="6"/>
        <v>1.1021853579829592E-2</v>
      </c>
      <c r="J104">
        <f t="shared" si="7"/>
        <v>1.1021853579829592E-2</v>
      </c>
      <c r="K104">
        <f t="shared" si="8"/>
        <v>2.0036864847239544E-2</v>
      </c>
    </row>
    <row r="105" spans="1:11" x14ac:dyDescent="0.2">
      <c r="A105" s="3">
        <f>Data!A105</f>
        <v>41152</v>
      </c>
      <c r="B105">
        <f>Data!E105 - Factors!AB107</f>
        <v>-2.3343535743141075E-3</v>
      </c>
      <c r="C105">
        <f>Factors!Z107</f>
        <v>4.7857647189981201E-2</v>
      </c>
      <c r="D105">
        <f>Factors!J107</f>
        <v>6.6002649942331626E-3</v>
      </c>
      <c r="E105">
        <f>Factors!J107 - Factors!K107</f>
        <v>-3.9318030888184641E-3</v>
      </c>
      <c r="F105">
        <f>Factors!H107 - Factors!AA107</f>
        <v>-1.0744005186284822E-2</v>
      </c>
      <c r="H105" cm="1">
        <f t="array" ref="H105">TREND(B69:B104, C69:F104, C105:F105, TRUE)</f>
        <v>7.4918394803986932E-3</v>
      </c>
      <c r="I105">
        <f t="shared" si="6"/>
        <v>-9.8261930547128007E-3</v>
      </c>
      <c r="J105">
        <f t="shared" si="7"/>
        <v>-9.8261930547128007E-3</v>
      </c>
      <c r="K105">
        <f t="shared" si="8"/>
        <v>-2.3343535743141075E-3</v>
      </c>
    </row>
    <row r="106" spans="1:11" x14ac:dyDescent="0.2">
      <c r="A106" s="3">
        <f>Data!A106</f>
        <v>41180</v>
      </c>
      <c r="B106">
        <f>Data!E106 - Factors!AB108</f>
        <v>-4.0594287285733444E-4</v>
      </c>
      <c r="C106">
        <f>Factors!Z108</f>
        <v>4.7521943434701619E-2</v>
      </c>
      <c r="D106">
        <f>Factors!J108</f>
        <v>6.5387650685306831E-3</v>
      </c>
      <c r="E106">
        <f>Factors!J108 - Factors!K108</f>
        <v>-6.5924129485634975E-3</v>
      </c>
      <c r="F106">
        <f>Factors!H108 - Factors!AA108</f>
        <v>-6.2224506052703799E-3</v>
      </c>
      <c r="H106" cm="1">
        <f t="array" ref="H106">TREND(B70:B105, C70:F105, C106:F106, TRUE)</f>
        <v>4.0765365746354863E-3</v>
      </c>
      <c r="I106">
        <f t="shared" si="6"/>
        <v>-4.4824794474928207E-3</v>
      </c>
      <c r="J106">
        <f t="shared" si="7"/>
        <v>-4.4824794474928207E-3</v>
      </c>
      <c r="K106">
        <f t="shared" si="8"/>
        <v>-4.0594287285733444E-4</v>
      </c>
    </row>
    <row r="107" spans="1:11" x14ac:dyDescent="0.2">
      <c r="A107" s="3">
        <f>Data!A107</f>
        <v>41213</v>
      </c>
      <c r="B107">
        <f>Data!E107 - Factors!AB109</f>
        <v>-1.8425307002197577E-2</v>
      </c>
      <c r="C107">
        <f>Factors!Z109</f>
        <v>-2.9115531104528136E-2</v>
      </c>
      <c r="D107">
        <f>Factors!J109</f>
        <v>-2.0813062460760534E-3</v>
      </c>
      <c r="E107">
        <f>Factors!J109 - Factors!K109</f>
        <v>-8.5619724767274086E-3</v>
      </c>
      <c r="F107">
        <f>Factors!H109 - Factors!AA109</f>
        <v>1.5978653706865464E-2</v>
      </c>
      <c r="H107" cm="1">
        <f t="array" ref="H107">TREND(B71:B106, C71:F106, C107:F107, TRUE)</f>
        <v>-4.4203982388922401E-3</v>
      </c>
      <c r="I107">
        <f t="shared" si="6"/>
        <v>-1.4004908763305337E-2</v>
      </c>
      <c r="J107">
        <f t="shared" si="7"/>
        <v>-1.4004908763305337E-2</v>
      </c>
      <c r="K107">
        <f t="shared" si="8"/>
        <v>-1.8425307002197577E-2</v>
      </c>
    </row>
    <row r="108" spans="1:11" x14ac:dyDescent="0.2">
      <c r="A108" s="3">
        <f>Data!A108</f>
        <v>41243</v>
      </c>
      <c r="B108">
        <f>Data!E108 - Factors!AB110</f>
        <v>-7.4883754524490698E-4</v>
      </c>
      <c r="C108">
        <f>Factors!Z110</f>
        <v>-3.3010780809578089E-3</v>
      </c>
      <c r="D108">
        <f>Factors!J110</f>
        <v>4.5185292148639533E-3</v>
      </c>
      <c r="E108">
        <f>Factors!J110 - Factors!K110</f>
        <v>-1.0912606405140135E-3</v>
      </c>
      <c r="F108">
        <f>Factors!H110 - Factors!AA110</f>
        <v>-1.2980033197149687E-3</v>
      </c>
      <c r="H108" cm="1">
        <f t="array" ref="H108">TREND(B72:B107, C72:F107, C108:F108, TRUE)</f>
        <v>8.6263175290709603E-3</v>
      </c>
      <c r="I108">
        <f t="shared" si="6"/>
        <v>-9.3751550743158673E-3</v>
      </c>
      <c r="J108">
        <f t="shared" si="7"/>
        <v>-9.3751550743158673E-3</v>
      </c>
      <c r="K108">
        <f t="shared" si="8"/>
        <v>-7.4883754524490698E-4</v>
      </c>
    </row>
    <row r="109" spans="1:11" x14ac:dyDescent="0.2">
      <c r="A109" s="3">
        <f>Data!A109</f>
        <v>41274</v>
      </c>
      <c r="B109">
        <f>Data!E109 - Factors!AB111</f>
        <v>1.0106631164133795E-2</v>
      </c>
      <c r="C109">
        <f>Factors!Z111</f>
        <v>-2.3102444940727884E-2</v>
      </c>
      <c r="D109">
        <f>Factors!J111</f>
        <v>1.1279931639825103E-2</v>
      </c>
      <c r="E109">
        <f>Factors!J111 - Factors!K111</f>
        <v>-4.7757931271985576E-4</v>
      </c>
      <c r="F109">
        <f>Factors!H111 - Factors!AA111</f>
        <v>7.2503845849438697E-3</v>
      </c>
      <c r="H109" cm="1">
        <f t="array" ref="H109">TREND(B73:B108, C73:F108, C109:F109, TRUE)</f>
        <v>1.4086783209033907E-2</v>
      </c>
      <c r="I109">
        <f t="shared" si="6"/>
        <v>-3.9801520449001121E-3</v>
      </c>
      <c r="J109">
        <f t="shared" si="7"/>
        <v>-3.9801520449001121E-3</v>
      </c>
      <c r="K109">
        <f t="shared" si="8"/>
        <v>1.0106631164133795E-2</v>
      </c>
    </row>
    <row r="110" spans="1:11" x14ac:dyDescent="0.2">
      <c r="A110" s="3">
        <f>Data!A110</f>
        <v>41305</v>
      </c>
      <c r="B110">
        <f>Data!E110 - Factors!AB112</f>
        <v>1.526979061451339E-2</v>
      </c>
      <c r="C110">
        <f>Factors!Z112</f>
        <v>-6.9537708538514043E-3</v>
      </c>
      <c r="D110">
        <f>Factors!J112</f>
        <v>2.0520075697851192E-2</v>
      </c>
      <c r="E110">
        <f>Factors!J112 - Factors!K112</f>
        <v>2.8292039105330957E-3</v>
      </c>
      <c r="F110">
        <f>Factors!H112 - Factors!AA112</f>
        <v>-1.8429381243616927E-2</v>
      </c>
      <c r="H110" cm="1">
        <f t="array" ref="H110">TREND(B74:B109, C74:F109, C110:F110, TRUE)</f>
        <v>2.2326696131810889E-2</v>
      </c>
      <c r="I110">
        <f t="shared" si="6"/>
        <v>-7.0569055172974987E-3</v>
      </c>
      <c r="J110">
        <f t="shared" si="7"/>
        <v>-7.0569055172974987E-3</v>
      </c>
      <c r="K110">
        <f t="shared" si="8"/>
        <v>1.526979061451339E-2</v>
      </c>
    </row>
    <row r="111" spans="1:11" x14ac:dyDescent="0.2">
      <c r="A111" s="3">
        <f>Data!A111</f>
        <v>41333</v>
      </c>
      <c r="B111">
        <f>Data!E111 - Factors!AB113</f>
        <v>-6.7914589939099823E-3</v>
      </c>
      <c r="C111">
        <f>Factors!Z113</f>
        <v>-5.0543968263509154E-2</v>
      </c>
      <c r="D111">
        <f>Factors!J113</f>
        <v>2.6238727119396454E-3</v>
      </c>
      <c r="E111">
        <f>Factors!J113 - Factors!K113</f>
        <v>-1.255256793675219E-3</v>
      </c>
      <c r="F111">
        <f>Factors!H113 - Factors!AA113</f>
        <v>-1.0409827100810176E-2</v>
      </c>
      <c r="H111" cm="1">
        <f t="array" ref="H111">TREND(B75:B110, C75:F110, C111:F111, TRUE)</f>
        <v>3.8198838184397175E-3</v>
      </c>
      <c r="I111">
        <f t="shared" si="6"/>
        <v>-1.0611342812349701E-2</v>
      </c>
      <c r="J111">
        <f t="shared" si="7"/>
        <v>-1.0611342812349701E-2</v>
      </c>
      <c r="K111">
        <f t="shared" si="8"/>
        <v>-6.7914589939099823E-3</v>
      </c>
    </row>
    <row r="112" spans="1:11" x14ac:dyDescent="0.2">
      <c r="A112" s="3">
        <f>Data!A112</f>
        <v>41362</v>
      </c>
      <c r="B112">
        <f>Data!E112 - Factors!AB114</f>
        <v>3.9177536223049536E-3</v>
      </c>
      <c r="C112">
        <f>Factors!Z114</f>
        <v>1.1325580364773602E-2</v>
      </c>
      <c r="D112">
        <f>Factors!J114</f>
        <v>9.3186486452792039E-3</v>
      </c>
      <c r="E112">
        <f>Factors!J114 - Factors!K114</f>
        <v>4.8940210561854158E-4</v>
      </c>
      <c r="F112">
        <f>Factors!H114 - Factors!AA114</f>
        <v>-2.5280294908052614E-2</v>
      </c>
      <c r="H112" cm="1">
        <f t="array" ref="H112">TREND(B76:B111, C76:F111, C112:F112, TRUE)</f>
        <v>9.6093725245587781E-3</v>
      </c>
      <c r="I112">
        <f t="shared" si="6"/>
        <v>-5.6916189022538245E-3</v>
      </c>
      <c r="J112">
        <f t="shared" si="7"/>
        <v>-5.6916189022538245E-3</v>
      </c>
      <c r="K112">
        <f t="shared" si="8"/>
        <v>3.9177536223049536E-3</v>
      </c>
    </row>
    <row r="113" spans="1:11" x14ac:dyDescent="0.2">
      <c r="A113" s="3">
        <f>Data!A113</f>
        <v>41394</v>
      </c>
      <c r="B113">
        <f>Data!E113 - Factors!AB115</f>
        <v>6.477299538610426E-3</v>
      </c>
      <c r="C113">
        <f>Factors!Z115</f>
        <v>-7.5611893583724554E-2</v>
      </c>
      <c r="D113">
        <f>Factors!J115</f>
        <v>8.5975033639389409E-3</v>
      </c>
      <c r="E113">
        <f>Factors!J115 - Factors!K115</f>
        <v>-2.0453467356416066E-3</v>
      </c>
      <c r="F113">
        <f>Factors!H115 - Factors!AA115</f>
        <v>-1.5608335795793682E-2</v>
      </c>
      <c r="H113" cm="1">
        <f t="array" ref="H113">TREND(B77:B112, C77:F112, C113:F113, TRUE)</f>
        <v>4.1557362317805255E-3</v>
      </c>
      <c r="I113">
        <f t="shared" si="6"/>
        <v>2.3215633068299005E-3</v>
      </c>
      <c r="J113">
        <f t="shared" si="7"/>
        <v>2.3215633068299005E-3</v>
      </c>
      <c r="K113">
        <f t="shared" si="8"/>
        <v>6.477299538610426E-3</v>
      </c>
    </row>
    <row r="114" spans="1:11" x14ac:dyDescent="0.2">
      <c r="A114" s="3">
        <f>Data!A114</f>
        <v>41425</v>
      </c>
      <c r="B114">
        <f>Data!E114 - Factors!AB116</f>
        <v>-1.256238989283176E-2</v>
      </c>
      <c r="C114">
        <f>Factors!Z116</f>
        <v>-6.0208165448869533E-2</v>
      </c>
      <c r="D114">
        <f>Factors!J116</f>
        <v>6.1574763744156602E-3</v>
      </c>
      <c r="E114">
        <f>Factors!J116 - Factors!K116</f>
        <v>5.5326475437509348E-3</v>
      </c>
      <c r="F114">
        <f>Factors!H116 - Factors!AA116</f>
        <v>-1.1156818841421723E-2</v>
      </c>
      <c r="H114" cm="1">
        <f t="array" ref="H114">TREND(B78:B113, C78:F113, C114:F114, TRUE)</f>
        <v>1.2399148336393171E-2</v>
      </c>
      <c r="I114">
        <f t="shared" si="6"/>
        <v>-2.4961538229224929E-2</v>
      </c>
      <c r="J114">
        <f t="shared" si="7"/>
        <v>-2.4961538229224929E-2</v>
      </c>
      <c r="K114">
        <f t="shared" si="8"/>
        <v>-1.256238989283176E-2</v>
      </c>
    </row>
    <row r="115" spans="1:11" x14ac:dyDescent="0.2">
      <c r="A115" s="3">
        <f>Data!A115</f>
        <v>41453</v>
      </c>
      <c r="B115">
        <f>Data!E115 - Factors!AB117</f>
        <v>-1.5689032159481475E-2</v>
      </c>
      <c r="C115">
        <f>Factors!Z117</f>
        <v>-0.11044098573281447</v>
      </c>
      <c r="D115">
        <f>Factors!J117</f>
        <v>-1.3137384469871116E-2</v>
      </c>
      <c r="E115">
        <f>Factors!J117 - Factors!K117</f>
        <v>-1.1975674863602404E-3</v>
      </c>
      <c r="F115">
        <f>Factors!H117 - Factors!AA117</f>
        <v>-2.9219192699019292E-3</v>
      </c>
      <c r="H115" cm="1">
        <f t="array" ref="H115">TREND(B79:B114, C79:F114, C115:F115, TRUE)</f>
        <v>-1.2776913886898665E-2</v>
      </c>
      <c r="I115">
        <f t="shared" si="6"/>
        <v>-2.9121182725828105E-3</v>
      </c>
      <c r="J115">
        <f t="shared" si="7"/>
        <v>-2.9121182725828105E-3</v>
      </c>
      <c r="K115">
        <f t="shared" si="8"/>
        <v>-1.5689032159481475E-2</v>
      </c>
    </row>
    <row r="116" spans="1:11" x14ac:dyDescent="0.2">
      <c r="A116" s="3">
        <f>Data!A116</f>
        <v>41486</v>
      </c>
      <c r="B116">
        <f>Data!E116 - Factors!AB118</f>
        <v>-6.1322387052076266E-4</v>
      </c>
      <c r="C116">
        <f>Factors!Z118</f>
        <v>7.333965152730193E-2</v>
      </c>
      <c r="D116">
        <f>Factors!J118</f>
        <v>9.1891103847112632E-3</v>
      </c>
      <c r="E116">
        <f>Factors!J118 - Factors!K118</f>
        <v>3.4419365519455791E-3</v>
      </c>
      <c r="F116">
        <f>Factors!H118 - Factors!AA118</f>
        <v>-2.8219349515015812E-2</v>
      </c>
      <c r="H116" cm="1">
        <f t="array" ref="H116">TREND(B80:B115, C80:F115, C116:F116, TRUE)</f>
        <v>1.3492240936262761E-2</v>
      </c>
      <c r="I116">
        <f t="shared" si="6"/>
        <v>-1.4105464806783524E-2</v>
      </c>
      <c r="J116">
        <f t="shared" si="7"/>
        <v>-1.4105464806783524E-2</v>
      </c>
      <c r="K116">
        <f t="shared" si="8"/>
        <v>-6.1322387052076266E-4</v>
      </c>
    </row>
    <row r="117" spans="1:11" x14ac:dyDescent="0.2">
      <c r="A117" s="3">
        <f>Data!A117</f>
        <v>41516</v>
      </c>
      <c r="B117">
        <f>Data!E117 - Factors!AB119</f>
        <v>-1.0876732834084302E-2</v>
      </c>
      <c r="C117">
        <f>Factors!Z119</f>
        <v>5.2978333220131901E-2</v>
      </c>
      <c r="D117">
        <f>Factors!J119</f>
        <v>-6.9632203176211993E-3</v>
      </c>
      <c r="E117">
        <f>Factors!J119 - Factors!K119</f>
        <v>-5.8214860073264596E-3</v>
      </c>
      <c r="F117">
        <f>Factors!H119 - Factors!AA119</f>
        <v>2.0476856171182445E-2</v>
      </c>
      <c r="H117" cm="1">
        <f t="array" ref="H117">TREND(B81:B116, C81:F116, C117:F117, TRUE)</f>
        <v>-1.4613344944583362E-3</v>
      </c>
      <c r="I117">
        <f t="shared" si="6"/>
        <v>-9.4153983396259647E-3</v>
      </c>
      <c r="J117">
        <f t="shared" si="7"/>
        <v>-9.4153983396259647E-3</v>
      </c>
      <c r="K117">
        <f t="shared" si="8"/>
        <v>-1.0876732834084302E-2</v>
      </c>
    </row>
    <row r="118" spans="1:11" x14ac:dyDescent="0.2">
      <c r="A118" s="3">
        <f>Data!A118</f>
        <v>41547</v>
      </c>
      <c r="B118">
        <f>Data!E118 - Factors!AB120</f>
        <v>-1.6629693997630701E-3</v>
      </c>
      <c r="C118">
        <f>Factors!Z120</f>
        <v>-4.7474682319551098E-2</v>
      </c>
      <c r="D118">
        <f>Factors!J120</f>
        <v>1.2089449946689035E-2</v>
      </c>
      <c r="E118">
        <f>Factors!J120 - Factors!K120</f>
        <v>1.0831444598664586E-3</v>
      </c>
      <c r="F118">
        <f>Factors!H120 - Factors!AA120</f>
        <v>-4.725568013956849E-3</v>
      </c>
      <c r="H118" cm="1">
        <f t="array" ref="H118">TREND(B82:B117, C82:F117, C118:F118, TRUE)</f>
        <v>9.075689079290801E-3</v>
      </c>
      <c r="I118">
        <f t="shared" si="6"/>
        <v>-1.0738658479053871E-2</v>
      </c>
      <c r="J118">
        <f t="shared" si="7"/>
        <v>-1.0738658479053871E-2</v>
      </c>
      <c r="K118">
        <f t="shared" si="8"/>
        <v>-1.6629693997630701E-3</v>
      </c>
    </row>
    <row r="119" spans="1:11" x14ac:dyDescent="0.2">
      <c r="A119" s="3">
        <f>Data!A119</f>
        <v>41578</v>
      </c>
      <c r="B119">
        <f>Data!E119 - Factors!AB121</f>
        <v>8.2944110470013488E-3</v>
      </c>
      <c r="C119">
        <f>Factors!Z121</f>
        <v>-4.4919979232974638E-3</v>
      </c>
      <c r="D119">
        <f>Factors!J121</f>
        <v>1.2077240762550012E-2</v>
      </c>
      <c r="E119">
        <f>Factors!J121 - Factors!K121</f>
        <v>1.0787915086685196E-3</v>
      </c>
      <c r="F119">
        <f>Factors!H121 - Factors!AA121</f>
        <v>-2.5871635788712544E-2</v>
      </c>
      <c r="H119" cm="1">
        <f t="array" ref="H119">TREND(B83:B118, C83:F118, C119:F119, TRUE)</f>
        <v>7.4922403680271659E-3</v>
      </c>
      <c r="I119">
        <f t="shared" si="6"/>
        <v>8.0217067897418292E-4</v>
      </c>
      <c r="J119">
        <f t="shared" si="7"/>
        <v>8.0217067897418292E-4</v>
      </c>
      <c r="K119">
        <f t="shared" si="8"/>
        <v>8.2944110470013488E-3</v>
      </c>
    </row>
    <row r="120" spans="1:11" x14ac:dyDescent="0.2">
      <c r="A120" s="3">
        <f>Data!A120</f>
        <v>41607</v>
      </c>
      <c r="B120">
        <f>Data!E120 - Factors!AB122</f>
        <v>5.1859124533482071E-3</v>
      </c>
      <c r="C120">
        <f>Factors!Z122</f>
        <v>-5.2688464619896291E-2</v>
      </c>
      <c r="D120">
        <f>Factors!J122</f>
        <v>1.1616239432692188E-2</v>
      </c>
      <c r="E120">
        <f>Factors!J122 - Factors!K122</f>
        <v>6.8330470174815527E-3</v>
      </c>
      <c r="F120">
        <f>Factors!H122 - Factors!AA122</f>
        <v>-1.8517326710229876E-2</v>
      </c>
      <c r="H120" cm="1">
        <f t="array" ref="H120">TREND(B84:B119, C84:F119, C120:F120, TRUE)</f>
        <v>1.1646522542846628E-2</v>
      </c>
      <c r="I120">
        <f t="shared" si="6"/>
        <v>-6.4606100894984211E-3</v>
      </c>
      <c r="J120">
        <f t="shared" si="7"/>
        <v>-6.4606100894984211E-3</v>
      </c>
      <c r="K120">
        <f t="shared" si="8"/>
        <v>5.1859124533482071E-3</v>
      </c>
    </row>
    <row r="121" spans="1:11" x14ac:dyDescent="0.2">
      <c r="A121" s="3">
        <f>Data!A121</f>
        <v>41639</v>
      </c>
      <c r="B121">
        <f>Data!E121 - Factors!AB123</f>
        <v>4.652574061155601E-3</v>
      </c>
      <c r="C121">
        <f>Factors!Z123</f>
        <v>-4.125743008736571E-2</v>
      </c>
      <c r="D121">
        <f>Factors!J123</f>
        <v>1.5226749450585553E-2</v>
      </c>
      <c r="E121">
        <f>Factors!J123 - Factors!K123</f>
        <v>7.5417590831057257E-3</v>
      </c>
      <c r="F121">
        <f>Factors!H123 - Factors!AA123</f>
        <v>-1.1172553166579169E-2</v>
      </c>
      <c r="H121" cm="1">
        <f t="array" ref="H121">TREND(B85:B120, C85:F120, C121:F121, TRUE)</f>
        <v>1.4484248756147053E-2</v>
      </c>
      <c r="I121">
        <f t="shared" si="6"/>
        <v>-9.8316746949914519E-3</v>
      </c>
      <c r="J121">
        <f t="shared" si="7"/>
        <v>-9.8316746949914519E-3</v>
      </c>
      <c r="K121">
        <f t="shared" si="8"/>
        <v>4.652574061155601E-3</v>
      </c>
    </row>
    <row r="122" spans="1:11" x14ac:dyDescent="0.2">
      <c r="A122" s="3"/>
    </row>
    <row r="123" spans="1:11" x14ac:dyDescent="0.2">
      <c r="A123" s="3"/>
    </row>
    <row r="124" spans="1:11" x14ac:dyDescent="0.2">
      <c r="A124" s="3"/>
    </row>
  </sheetData>
  <mergeCells count="1">
    <mergeCell ref="H37:K3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00604-8059-4BD6-B404-46217AB822EE}">
  <sheetPr>
    <tabColor theme="9" tint="0.59999389629810485"/>
  </sheetPr>
  <dimension ref="A1:P124"/>
  <sheetViews>
    <sheetView zoomScale="93" workbookViewId="0">
      <selection activeCell="B1" sqref="B1:B1048576"/>
    </sheetView>
  </sheetViews>
  <sheetFormatPr baseColWidth="10" defaultColWidth="8.83203125" defaultRowHeight="15" x14ac:dyDescent="0.2"/>
  <cols>
    <col min="1" max="1" width="9.33203125" bestFit="1" customWidth="1"/>
    <col min="2" max="2" width="12.6640625" bestFit="1" customWidth="1"/>
    <col min="3" max="3" width="12.83203125" bestFit="1" customWidth="1"/>
    <col min="4" max="4" width="14.1640625" bestFit="1" customWidth="1"/>
    <col min="5" max="5" width="18" bestFit="1" customWidth="1"/>
    <col min="6" max="6" width="13.6640625" bestFit="1" customWidth="1"/>
    <col min="7" max="8" width="12.6640625" customWidth="1"/>
    <col min="9" max="9" width="27.5" bestFit="1" customWidth="1"/>
    <col min="10" max="10" width="12.6640625" customWidth="1"/>
    <col min="11" max="11" width="13.5" bestFit="1" customWidth="1"/>
    <col min="12" max="12" width="15.1640625" bestFit="1" customWidth="1"/>
    <col min="13" max="13" width="12.6640625" customWidth="1"/>
    <col min="14" max="14" width="20.5" bestFit="1" customWidth="1"/>
    <col min="15" max="15" width="17.6640625" bestFit="1" customWidth="1"/>
    <col min="16" max="16" width="12.6640625" bestFit="1" customWidth="1"/>
    <col min="17" max="17" width="14.6640625" bestFit="1" customWidth="1"/>
    <col min="18" max="18" width="12.6640625" bestFit="1" customWidth="1"/>
    <col min="19" max="19" width="12" bestFit="1" customWidth="1"/>
    <col min="20" max="20" width="13.6640625" bestFit="1" customWidth="1"/>
    <col min="21" max="21" width="12.6640625" bestFit="1" customWidth="1"/>
    <col min="22" max="23" width="12.83203125" bestFit="1" customWidth="1"/>
  </cols>
  <sheetData>
    <row r="1" spans="1:15" x14ac:dyDescent="0.2">
      <c r="A1" s="14" t="s">
        <v>65</v>
      </c>
      <c r="B1" s="7" t="s">
        <v>152</v>
      </c>
      <c r="C1" s="13" t="s">
        <v>29</v>
      </c>
      <c r="D1" s="13" t="s">
        <v>13</v>
      </c>
      <c r="E1" s="15" t="s">
        <v>155</v>
      </c>
      <c r="F1" s="13" t="s">
        <v>8</v>
      </c>
      <c r="H1" s="14" t="s">
        <v>129</v>
      </c>
      <c r="I1" s="14" t="s">
        <v>118</v>
      </c>
      <c r="J1" s="14" t="s">
        <v>130</v>
      </c>
      <c r="K1" s="14" t="s">
        <v>131</v>
      </c>
      <c r="O1" s="2"/>
    </row>
    <row r="2" spans="1:15" x14ac:dyDescent="0.2">
      <c r="A2" s="3">
        <f>Data!A2</f>
        <v>38016</v>
      </c>
      <c r="B2">
        <f>Data!E2 - Factors!AB4</f>
        <v>5.7286923079391538E-3</v>
      </c>
      <c r="C2">
        <f>Factors!Z4</f>
        <v>-3.1291370802744023E-2</v>
      </c>
      <c r="D2">
        <f>Factors!J4</f>
        <v>1.5380019766567221E-2</v>
      </c>
      <c r="E2">
        <f>Factors!N4 - Factors!D4</f>
        <v>8.1077053274645206E-3</v>
      </c>
      <c r="F2">
        <f>Factors!E4</f>
        <v>3.7328896444264181E-3</v>
      </c>
      <c r="O2" s="2"/>
    </row>
    <row r="3" spans="1:15" x14ac:dyDescent="0.2">
      <c r="A3" s="3">
        <f>Data!A3</f>
        <v>38044</v>
      </c>
      <c r="B3">
        <f>Data!E3 - Factors!AB5</f>
        <v>1.9259224350265836E-2</v>
      </c>
      <c r="C3">
        <f>Factors!Z5</f>
        <v>-1.5654118524040306E-2</v>
      </c>
      <c r="D3">
        <f>Factors!J5</f>
        <v>1.0909982882428171E-2</v>
      </c>
      <c r="E3">
        <f>Factors!N5 - Factors!D5</f>
        <v>-1.1920732979201376E-2</v>
      </c>
      <c r="F3">
        <f>Factors!E5</f>
        <v>5.1522151231468971E-3</v>
      </c>
    </row>
    <row r="4" spans="1:15" x14ac:dyDescent="0.2">
      <c r="A4" s="3">
        <f>Data!A4</f>
        <v>38077</v>
      </c>
      <c r="B4">
        <f>Data!E4 - Factors!AB6</f>
        <v>1.043890853045526E-2</v>
      </c>
      <c r="C4">
        <f>Factors!Z6</f>
        <v>7.6486179477470717E-2</v>
      </c>
      <c r="D4">
        <f>Factors!J6</f>
        <v>4.4400218583666717E-3</v>
      </c>
      <c r="E4">
        <f>Factors!N6 - Factors!D6</f>
        <v>-8.1760495112725984E-4</v>
      </c>
      <c r="F4">
        <f>Factors!E6</f>
        <v>1.1076523950998451E-2</v>
      </c>
    </row>
    <row r="5" spans="1:15" x14ac:dyDescent="0.2">
      <c r="A5" s="3">
        <f>Data!A5</f>
        <v>38107</v>
      </c>
      <c r="B5">
        <f>Data!E5 - Factors!AB7</f>
        <v>-2.919046412692472E-2</v>
      </c>
      <c r="C5">
        <f>Factors!Z7</f>
        <v>-9.3094149372728308E-2</v>
      </c>
      <c r="D5">
        <f>Factors!J7</f>
        <v>-7.0900013461940858E-3</v>
      </c>
      <c r="E5">
        <f>Factors!N7 - Factors!D7</f>
        <v>1.941530832329097E-2</v>
      </c>
      <c r="F5">
        <f>Factors!E7</f>
        <v>-3.656403634352956E-2</v>
      </c>
      <c r="H5" t="s">
        <v>104</v>
      </c>
    </row>
    <row r="6" spans="1:15" ht="16" thickBot="1" x14ac:dyDescent="0.25">
      <c r="A6" s="3">
        <f>Data!A6</f>
        <v>38138</v>
      </c>
      <c r="B6">
        <f>Data!E6 - Factors!AB8</f>
        <v>-7.739837617513845E-3</v>
      </c>
      <c r="C6">
        <f>Factors!Z8</f>
        <v>2.2753716871363849E-2</v>
      </c>
      <c r="D6">
        <f>Factors!J8</f>
        <v>-8.7800170451353132E-3</v>
      </c>
      <c r="E6">
        <f>Factors!N8 - Factors!D8</f>
        <v>-1.1705638083558956E-2</v>
      </c>
      <c r="F6">
        <f>Factors!E8</f>
        <v>4.9003611723277274E-3</v>
      </c>
    </row>
    <row r="7" spans="1:15" x14ac:dyDescent="0.2">
      <c r="A7" s="3">
        <f>Data!A7</f>
        <v>38168</v>
      </c>
      <c r="B7">
        <f>Data!E7 - Factors!AB9</f>
        <v>-1.7678050233127518E-3</v>
      </c>
      <c r="C7">
        <f>Factors!Z9</f>
        <v>-3.2865630135254786E-3</v>
      </c>
      <c r="D7">
        <f>Factors!J9</f>
        <v>3.6000125969946062E-3</v>
      </c>
      <c r="E7">
        <f>Factors!N9 - Factors!D9</f>
        <v>8.8758342949051272E-3</v>
      </c>
      <c r="F7">
        <f>Factors!E9</f>
        <v>2.922565977729219E-3</v>
      </c>
      <c r="H7" s="6" t="s">
        <v>105</v>
      </c>
      <c r="I7" s="6"/>
    </row>
    <row r="8" spans="1:15" x14ac:dyDescent="0.2">
      <c r="A8" s="3">
        <f>Data!A8</f>
        <v>38198</v>
      </c>
      <c r="B8">
        <f>Data!E8 - Factors!AB10</f>
        <v>-4.2606935921434275E-3</v>
      </c>
      <c r="C8">
        <f>Factors!Z10</f>
        <v>-8.1166772352567751E-3</v>
      </c>
      <c r="D8">
        <f>Factors!J10</f>
        <v>-5.649998580187221E-3</v>
      </c>
      <c r="E8">
        <f>Factors!N10 - Factors!D10</f>
        <v>3.5641780845903082E-3</v>
      </c>
      <c r="F8">
        <f>Factors!E10</f>
        <v>-2.074828000888651E-4</v>
      </c>
      <c r="H8" t="s">
        <v>106</v>
      </c>
      <c r="I8">
        <v>0.74904956346139662</v>
      </c>
    </row>
    <row r="9" spans="1:15" x14ac:dyDescent="0.2">
      <c r="A9" s="3">
        <f>Data!A9</f>
        <v>38230</v>
      </c>
      <c r="B9">
        <f>Data!E9 - Factors!AB11</f>
        <v>-3.4209798769805344E-3</v>
      </c>
      <c r="C9">
        <f>Factors!Z11</f>
        <v>4.8075693645313944E-2</v>
      </c>
      <c r="D9">
        <f>Factors!J11</f>
        <v>-9.0006462964087319E-5</v>
      </c>
      <c r="E9">
        <f>Factors!N11 - Factors!D11</f>
        <v>-9.0321684533356539E-4</v>
      </c>
      <c r="F9">
        <f>Factors!E11</f>
        <v>2.1887266998019905E-2</v>
      </c>
      <c r="H9" t="s">
        <v>107</v>
      </c>
      <c r="I9">
        <v>0.56107524852170887</v>
      </c>
    </row>
    <row r="10" spans="1:15" x14ac:dyDescent="0.2">
      <c r="A10" s="3">
        <f>Data!A10</f>
        <v>38260</v>
      </c>
      <c r="B10">
        <f>Data!E10 - Factors!AB12</f>
        <v>7.1391284360360352E-3</v>
      </c>
      <c r="C10">
        <f>Factors!Z12</f>
        <v>2.0495303159692613E-2</v>
      </c>
      <c r="D10">
        <f>Factors!J12</f>
        <v>8.2399999444353611E-3</v>
      </c>
      <c r="E10">
        <f>Factors!N12 - Factors!D12</f>
        <v>1.1218053190450217E-2</v>
      </c>
      <c r="F10">
        <f>Factors!E12</f>
        <v>1.1817089718343832E-2</v>
      </c>
      <c r="H10" t="s">
        <v>108</v>
      </c>
      <c r="I10">
        <v>0.54580830064420316</v>
      </c>
    </row>
    <row r="11" spans="1:15" x14ac:dyDescent="0.2">
      <c r="A11" s="3">
        <f>Data!A11</f>
        <v>38289</v>
      </c>
      <c r="B11">
        <f>Data!E11 - Factors!AB13</f>
        <v>7.1705913184787473E-3</v>
      </c>
      <c r="C11">
        <f>Factors!Z13</f>
        <v>2.462641960549905E-2</v>
      </c>
      <c r="D11">
        <f>Factors!J13</f>
        <v>7.7799953911141806E-3</v>
      </c>
      <c r="E11">
        <f>Factors!N13 - Factors!D13</f>
        <v>1.0894461420726254E-2</v>
      </c>
      <c r="F11">
        <f>Factors!E13</f>
        <v>2.3953957382419455E-2</v>
      </c>
      <c r="H11" t="s">
        <v>109</v>
      </c>
      <c r="I11">
        <v>9.3483748185618151E-3</v>
      </c>
    </row>
    <row r="12" spans="1:15" ht="16" thickBot="1" x14ac:dyDescent="0.25">
      <c r="A12" s="3">
        <f>Data!A12</f>
        <v>38321</v>
      </c>
      <c r="B12">
        <f>Data!E12 - Factors!AB14</f>
        <v>2.6660861335426E-2</v>
      </c>
      <c r="C12">
        <f>Factors!Z14</f>
        <v>5.2269280130673224E-2</v>
      </c>
      <c r="D12">
        <f>Factors!J14</f>
        <v>2.6389990525552465E-2</v>
      </c>
      <c r="E12">
        <f>Factors!N14 - Factors!D14</f>
        <v>1.8380450565109951E-2</v>
      </c>
      <c r="F12">
        <f>Factors!E14</f>
        <v>2.6496978688449468E-2</v>
      </c>
      <c r="H12" s="4" t="s">
        <v>110</v>
      </c>
      <c r="I12" s="4">
        <v>120</v>
      </c>
    </row>
    <row r="13" spans="1:15" x14ac:dyDescent="0.2">
      <c r="A13" s="3">
        <f>Data!A13</f>
        <v>38352</v>
      </c>
      <c r="B13">
        <f>Data!E13 - Factors!AB15</f>
        <v>4.1299612665233187E-3</v>
      </c>
      <c r="C13">
        <f>Factors!Z15</f>
        <v>-2.7719259341390412E-2</v>
      </c>
      <c r="D13">
        <f>Factors!J15</f>
        <v>1.5049999769568556E-2</v>
      </c>
      <c r="E13">
        <f>Factors!N15 - Factors!D15</f>
        <v>5.8803135508929127E-3</v>
      </c>
      <c r="F13">
        <f>Factors!E15</f>
        <v>1.5321933507419283E-2</v>
      </c>
    </row>
    <row r="14" spans="1:15" ht="16" thickBot="1" x14ac:dyDescent="0.25">
      <c r="A14" s="3">
        <f>Data!A14</f>
        <v>38383</v>
      </c>
      <c r="B14">
        <f>Data!E14 - Factors!AB16</f>
        <v>-7.4455304976432934E-3</v>
      </c>
      <c r="C14">
        <f>Factors!Z16</f>
        <v>-3.615007412475757E-2</v>
      </c>
      <c r="D14">
        <f>Factors!J16</f>
        <v>1.700118604137657E-4</v>
      </c>
      <c r="E14">
        <f>Factors!N16 - Factors!D16</f>
        <v>-7.2984348321349923E-3</v>
      </c>
      <c r="F14">
        <f>Factors!E16</f>
        <v>-1.0524263850465232E-2</v>
      </c>
      <c r="H14" t="s">
        <v>111</v>
      </c>
    </row>
    <row r="15" spans="1:15" x14ac:dyDescent="0.2">
      <c r="A15" s="3">
        <f>Data!A15</f>
        <v>38411</v>
      </c>
      <c r="B15">
        <f>Data!E15 - Factors!AB17</f>
        <v>1.6437410909368344E-2</v>
      </c>
      <c r="C15">
        <f>Factors!Z17</f>
        <v>3.0880265026029141E-2</v>
      </c>
      <c r="D15">
        <f>Factors!J17</f>
        <v>1.4190008623000905E-2</v>
      </c>
      <c r="E15">
        <f>Factors!N17 - Factors!D17</f>
        <v>2.0187179048355541E-2</v>
      </c>
      <c r="F15">
        <f>Factors!E17</f>
        <v>1.9035658999762006E-3</v>
      </c>
      <c r="H15" s="5"/>
      <c r="I15" s="5" t="s">
        <v>112</v>
      </c>
      <c r="J15" s="5" t="s">
        <v>113</v>
      </c>
      <c r="K15" s="5" t="s">
        <v>114</v>
      </c>
      <c r="L15" s="5" t="s">
        <v>115</v>
      </c>
      <c r="M15" s="5" t="s">
        <v>116</v>
      </c>
    </row>
    <row r="16" spans="1:15" x14ac:dyDescent="0.2">
      <c r="A16" s="3">
        <f>Data!A16</f>
        <v>38442</v>
      </c>
      <c r="B16">
        <f>Data!E16 - Factors!AB18</f>
        <v>-8.2899574515765684E-3</v>
      </c>
      <c r="C16">
        <f>Factors!Z18</f>
        <v>-1.675657064156999E-2</v>
      </c>
      <c r="D16">
        <f>Factors!J18</f>
        <v>-5.1600136702056876E-3</v>
      </c>
      <c r="E16">
        <f>Factors!N18 - Factors!D18</f>
        <v>-2.2176904370909911E-2</v>
      </c>
      <c r="F16">
        <f>Factors!E18</f>
        <v>-1.2098136671757076E-2</v>
      </c>
      <c r="H16" t="s">
        <v>117</v>
      </c>
      <c r="I16">
        <v>4</v>
      </c>
      <c r="J16">
        <v>1.284698191451133E-2</v>
      </c>
      <c r="K16">
        <v>3.2117454786278325E-3</v>
      </c>
      <c r="L16">
        <v>36.750976883100094</v>
      </c>
      <c r="M16">
        <v>9.1069978140534195E-20</v>
      </c>
    </row>
    <row r="17" spans="1:16" x14ac:dyDescent="0.2">
      <c r="A17" s="3">
        <f>Data!A17</f>
        <v>38471</v>
      </c>
      <c r="B17">
        <f>Data!E17 - Factors!AB19</f>
        <v>-1.2824907896132887E-2</v>
      </c>
      <c r="C17">
        <f>Factors!Z19</f>
        <v>1.4100618652970631E-2</v>
      </c>
      <c r="D17">
        <f>Factors!J19</f>
        <v>-1.5129993096155925E-2</v>
      </c>
      <c r="E17">
        <f>Factors!N19 - Factors!D19</f>
        <v>-2.4261661777440269E-2</v>
      </c>
      <c r="F17">
        <f>Factors!E19</f>
        <v>1.3086725952309086E-2</v>
      </c>
      <c r="H17" t="s">
        <v>118</v>
      </c>
      <c r="I17">
        <v>115</v>
      </c>
      <c r="J17">
        <v>1.0050092851056876E-2</v>
      </c>
      <c r="K17">
        <v>8.7392111748320659E-5</v>
      </c>
    </row>
    <row r="18" spans="1:16" ht="16" thickBot="1" x14ac:dyDescent="0.25">
      <c r="A18" s="3">
        <f>Data!A18</f>
        <v>38503</v>
      </c>
      <c r="B18">
        <f>Data!E18 - Factors!AB20</f>
        <v>1.0608021571816284E-3</v>
      </c>
      <c r="C18">
        <f>Factors!Z20</f>
        <v>-3.9457630240106734E-2</v>
      </c>
      <c r="D18">
        <f>Factors!J20</f>
        <v>2.1699911997266064E-3</v>
      </c>
      <c r="E18">
        <f>Factors!N20 - Factors!D20</f>
        <v>7.0841965285153297E-3</v>
      </c>
      <c r="F18">
        <f>Factors!E20</f>
        <v>-1.3397377359409934E-2</v>
      </c>
      <c r="H18" s="4" t="s">
        <v>119</v>
      </c>
      <c r="I18" s="4">
        <v>119</v>
      </c>
      <c r="J18" s="4">
        <v>2.2897074765568206E-2</v>
      </c>
      <c r="K18" s="4"/>
      <c r="L18" s="4"/>
      <c r="M18" s="4"/>
    </row>
    <row r="19" spans="1:16" ht="16" thickBot="1" x14ac:dyDescent="0.25">
      <c r="A19" s="3">
        <f>Data!A19</f>
        <v>38533</v>
      </c>
      <c r="B19">
        <f>Data!E19 - Factors!AB21</f>
        <v>8.2856708716096961E-3</v>
      </c>
      <c r="C19">
        <f>Factors!Z21</f>
        <v>4.3738765727980855E-2</v>
      </c>
      <c r="D19">
        <f>Factors!J21</f>
        <v>1.3040001049762218E-2</v>
      </c>
      <c r="E19">
        <f>Factors!N21 - Factors!D21</f>
        <v>1.3578147492161241E-2</v>
      </c>
      <c r="F19">
        <f>Factors!E21</f>
        <v>-4.4845892626027561E-3</v>
      </c>
    </row>
    <row r="20" spans="1:16" x14ac:dyDescent="0.2">
      <c r="A20" s="3">
        <f>Data!A20</f>
        <v>38562</v>
      </c>
      <c r="B20">
        <f>Data!E20 - Factors!AB22</f>
        <v>4.9724202396477235E-3</v>
      </c>
      <c r="C20">
        <f>Factors!Z22</f>
        <v>-1.3088404133180243E-2</v>
      </c>
      <c r="D20">
        <f>Factors!J22</f>
        <v>1.8030012270868534E-2</v>
      </c>
      <c r="E20">
        <f>Factors!N22 - Factors!D22</f>
        <v>2.4795568738883111E-2</v>
      </c>
      <c r="F20">
        <f>Factors!E22</f>
        <v>-8.006846642818255E-3</v>
      </c>
      <c r="H20" s="5"/>
      <c r="I20" s="5" t="s">
        <v>120</v>
      </c>
      <c r="J20" s="5" t="s">
        <v>109</v>
      </c>
      <c r="K20" s="5" t="s">
        <v>121</v>
      </c>
      <c r="L20" s="5" t="s">
        <v>122</v>
      </c>
      <c r="M20" s="5" t="s">
        <v>123</v>
      </c>
      <c r="N20" s="5" t="s">
        <v>124</v>
      </c>
      <c r="O20" s="5" t="s">
        <v>125</v>
      </c>
      <c r="P20" s="5" t="s">
        <v>126</v>
      </c>
    </row>
    <row r="21" spans="1:16" x14ac:dyDescent="0.2">
      <c r="A21" s="3">
        <f>Data!A21</f>
        <v>38595</v>
      </c>
      <c r="B21">
        <f>Data!E21 - Factors!AB23</f>
        <v>4.4625004696154935E-3</v>
      </c>
      <c r="C21">
        <f>Factors!Z23</f>
        <v>1.2563983248022215E-2</v>
      </c>
      <c r="D21">
        <f>Factors!J23</f>
        <v>8.4599893882217891E-3</v>
      </c>
      <c r="E21">
        <f>Factors!N23 - Factors!D23</f>
        <v>-9.1915546250564972E-3</v>
      </c>
      <c r="F21">
        <f>Factors!E23</f>
        <v>1.6459134151590282E-2</v>
      </c>
      <c r="H21" t="s">
        <v>127</v>
      </c>
      <c r="I21">
        <v>-2.5439594137337653E-4</v>
      </c>
      <c r="J21">
        <v>8.8590983239248051E-4</v>
      </c>
      <c r="K21">
        <v>-0.28715782585498234</v>
      </c>
      <c r="L21">
        <v>0.77450825135641943</v>
      </c>
      <c r="M21">
        <v>-2.009212818114503E-3</v>
      </c>
      <c r="N21">
        <v>1.50042093536775E-3</v>
      </c>
      <c r="O21">
        <v>-2.009212818114503E-3</v>
      </c>
      <c r="P21">
        <v>1.50042093536775E-3</v>
      </c>
    </row>
    <row r="22" spans="1:16" x14ac:dyDescent="0.2">
      <c r="A22" s="3">
        <f>Data!A22</f>
        <v>38625</v>
      </c>
      <c r="B22">
        <f>Data!E22 - Factors!AB24</f>
        <v>1.8122825517558283E-2</v>
      </c>
      <c r="C22">
        <f>Factors!Z24</f>
        <v>7.8354779411764719E-2</v>
      </c>
      <c r="D22">
        <f>Factors!J24</f>
        <v>1.5259997371717793E-2</v>
      </c>
      <c r="E22">
        <f>Factors!N24 - Factors!D24</f>
        <v>2.8635717886849044E-4</v>
      </c>
      <c r="F22">
        <f>Factors!E24</f>
        <v>-1.592027546558461E-2</v>
      </c>
      <c r="H22" t="s">
        <v>29</v>
      </c>
      <c r="I22">
        <v>5.7535411428849832E-2</v>
      </c>
      <c r="J22">
        <v>1.8462900026982119E-2</v>
      </c>
      <c r="K22">
        <v>3.1162716228093212</v>
      </c>
      <c r="L22" s="10">
        <v>2.313329123334735E-3</v>
      </c>
      <c r="M22">
        <v>2.0963959824756066E-2</v>
      </c>
      <c r="N22">
        <v>9.4106863032943605E-2</v>
      </c>
      <c r="O22">
        <v>2.0963959824756066E-2</v>
      </c>
      <c r="P22">
        <v>9.4106863032943605E-2</v>
      </c>
    </row>
    <row r="23" spans="1:16" x14ac:dyDescent="0.2">
      <c r="A23" s="3">
        <f>Data!A23</f>
        <v>38656</v>
      </c>
      <c r="B23">
        <f>Data!E23 - Factors!AB25</f>
        <v>-8.9936197122291173E-3</v>
      </c>
      <c r="C23">
        <f>Factors!Z25</f>
        <v>-8.7577242701897262E-3</v>
      </c>
      <c r="D23">
        <f>Factors!J25</f>
        <v>-1.5100003441222198E-2</v>
      </c>
      <c r="E23">
        <f>Factors!N25 - Factors!D25</f>
        <v>6.1975345286024996E-4</v>
      </c>
      <c r="F23">
        <f>Factors!E25</f>
        <v>-1.4886017188058376E-2</v>
      </c>
      <c r="H23" t="s">
        <v>13</v>
      </c>
      <c r="I23">
        <v>0.68402885648860223</v>
      </c>
      <c r="J23">
        <v>7.7697239974060223E-2</v>
      </c>
      <c r="K23">
        <v>8.8037729102986173</v>
      </c>
      <c r="L23" s="10">
        <v>1.575364203134972E-14</v>
      </c>
      <c r="M23">
        <v>0.53012557762502355</v>
      </c>
      <c r="N23">
        <v>0.83793213535218092</v>
      </c>
      <c r="O23">
        <v>0.53012557762502355</v>
      </c>
      <c r="P23">
        <v>0.83793213535218092</v>
      </c>
    </row>
    <row r="24" spans="1:16" x14ac:dyDescent="0.2">
      <c r="A24" s="3">
        <f>Data!A24</f>
        <v>38686</v>
      </c>
      <c r="B24">
        <f>Data!E24 - Factors!AB26</f>
        <v>1.1561723282379477E-2</v>
      </c>
      <c r="C24">
        <f>Factors!Z26</f>
        <v>5.9953997291429362E-2</v>
      </c>
      <c r="D24">
        <f>Factors!J26</f>
        <v>1.7020022033619187E-2</v>
      </c>
      <c r="E24">
        <f>Factors!N26 - Factors!D26</f>
        <v>4.0207220055310522E-4</v>
      </c>
      <c r="F24">
        <f>Factors!E26</f>
        <v>-7.0979041242693608E-3</v>
      </c>
      <c r="H24" t="s">
        <v>155</v>
      </c>
      <c r="I24">
        <v>-0.19166374588499879</v>
      </c>
      <c r="J24">
        <v>4.0441838053097208E-2</v>
      </c>
      <c r="K24">
        <v>-4.7392441865119519</v>
      </c>
      <c r="L24" s="10">
        <v>6.1892031609273634E-6</v>
      </c>
      <c r="M24">
        <v>-0.27177124367667682</v>
      </c>
      <c r="N24">
        <v>-0.11155624809332076</v>
      </c>
      <c r="O24">
        <v>-0.27177124367667682</v>
      </c>
      <c r="P24">
        <v>-0.11155624809332076</v>
      </c>
    </row>
    <row r="25" spans="1:16" ht="16" thickBot="1" x14ac:dyDescent="0.25">
      <c r="A25" s="3">
        <f>Data!A25</f>
        <v>38716</v>
      </c>
      <c r="B25">
        <f>Data!E25 - Factors!AB27</f>
        <v>9.5251369491837767E-3</v>
      </c>
      <c r="C25">
        <f>Factors!Z27</f>
        <v>4.8511397744787965E-2</v>
      </c>
      <c r="D25">
        <f>Factors!J27</f>
        <v>2.0079989311307056E-2</v>
      </c>
      <c r="E25">
        <f>Factors!N27 - Factors!D27</f>
        <v>-3.5321919425168602E-4</v>
      </c>
      <c r="F25">
        <f>Factors!E27</f>
        <v>9.8715136837612683E-3</v>
      </c>
      <c r="H25" s="4" t="s">
        <v>8</v>
      </c>
      <c r="I25" s="4">
        <v>0.14060140416026701</v>
      </c>
      <c r="J25" s="4">
        <v>5.9288876104825042E-2</v>
      </c>
      <c r="K25" s="4">
        <v>2.3714634750653438</v>
      </c>
      <c r="L25" s="12">
        <v>1.9379667647584361E-2</v>
      </c>
      <c r="M25" s="4">
        <v>2.3161551268254144E-2</v>
      </c>
      <c r="N25" s="4">
        <v>0.25804125705227987</v>
      </c>
      <c r="O25" s="4">
        <v>2.3161551268254144E-2</v>
      </c>
      <c r="P25" s="4">
        <v>0.25804125705227987</v>
      </c>
    </row>
    <row r="26" spans="1:16" x14ac:dyDescent="0.2">
      <c r="A26" s="3">
        <f>Data!A26</f>
        <v>38748</v>
      </c>
      <c r="B26">
        <f>Data!E26 - Factors!AB28</f>
        <v>2.0795498712823823E-2</v>
      </c>
      <c r="C26">
        <f>Factors!Z28</f>
        <v>0.10038684719535773</v>
      </c>
      <c r="D26">
        <f>Factors!J28</f>
        <v>2.8360008065332343E-2</v>
      </c>
      <c r="E26">
        <f>Factors!N28 - Factors!D28</f>
        <v>1.5792999503792648E-2</v>
      </c>
      <c r="F26">
        <f>Factors!E28</f>
        <v>1.2614297684363729E-2</v>
      </c>
    </row>
    <row r="27" spans="1:16" x14ac:dyDescent="0.2">
      <c r="A27" s="3">
        <f>Data!A27</f>
        <v>38776</v>
      </c>
      <c r="B27">
        <f>Data!E27 - Factors!AB29</f>
        <v>-7.9241859652037228E-3</v>
      </c>
      <c r="C27">
        <f>Factors!Z29</f>
        <v>-1.2919669537704404E-2</v>
      </c>
      <c r="D27">
        <f>Factors!J29</f>
        <v>3.4699830436075718E-3</v>
      </c>
      <c r="E27">
        <f>Factors!N29 - Factors!D29</f>
        <v>3.0028342558992005E-3</v>
      </c>
      <c r="F27">
        <f>Factors!E29</f>
        <v>-3.5465658484864493E-3</v>
      </c>
    </row>
    <row r="28" spans="1:16" x14ac:dyDescent="0.2">
      <c r="A28" s="3">
        <f>Data!A28</f>
        <v>38807</v>
      </c>
      <c r="B28">
        <f>Data!E28 - Factors!AB30</f>
        <v>7.6372396051327396E-3</v>
      </c>
      <c r="C28">
        <f>Factors!Z30</f>
        <v>3.9355355711868878E-2</v>
      </c>
      <c r="D28">
        <f>Factors!J30</f>
        <v>1.6610014203980672E-2</v>
      </c>
      <c r="E28">
        <f>Factors!N30 - Factors!D30</f>
        <v>1.6063403223981143E-2</v>
      </c>
      <c r="F28">
        <f>Factors!E30</f>
        <v>-9.9131723640223379E-3</v>
      </c>
    </row>
    <row r="29" spans="1:16" x14ac:dyDescent="0.2">
      <c r="A29" s="3">
        <f>Data!A29</f>
        <v>38835</v>
      </c>
      <c r="B29">
        <f>Data!E29 - Factors!AB31</f>
        <v>2.3879732286085087E-2</v>
      </c>
      <c r="C29">
        <f>Factors!Z31</f>
        <v>0.12125417630429203</v>
      </c>
      <c r="D29">
        <f>Factors!J31</f>
        <v>1.7169992265817502E-2</v>
      </c>
      <c r="E29">
        <f>Factors!N31 - Factors!D31</f>
        <v>8.2388531200333626E-3</v>
      </c>
      <c r="F29">
        <f>Factors!E31</f>
        <v>1.8928887317047449E-2</v>
      </c>
    </row>
    <row r="30" spans="1:16" x14ac:dyDescent="0.2">
      <c r="A30" s="3">
        <f>Data!A30</f>
        <v>38868</v>
      </c>
      <c r="B30">
        <f>Data!E30 - Factors!AB32</f>
        <v>-1.7616716771781227E-2</v>
      </c>
      <c r="C30">
        <f>Factors!Z32</f>
        <v>-1.4088811466642093E-2</v>
      </c>
      <c r="D30">
        <f>Factors!J32</f>
        <v>-1.9659986305595956E-2</v>
      </c>
      <c r="E30">
        <f>Factors!N32 - Factors!D32</f>
        <v>4.3572578899297998E-4</v>
      </c>
      <c r="F30">
        <f>Factors!E32</f>
        <v>1.2897983485114839E-2</v>
      </c>
      <c r="I30" s="7" t="s">
        <v>136</v>
      </c>
      <c r="J30" s="7">
        <f>1 - SUMSQ(I38:I121) / DEVSQ(B38:B121)</f>
        <v>0.22276199309645561</v>
      </c>
    </row>
    <row r="31" spans="1:16" x14ac:dyDescent="0.2">
      <c r="A31" s="3">
        <f>Data!A31</f>
        <v>38898</v>
      </c>
      <c r="B31">
        <f>Data!E31 - Factors!AB33</f>
        <v>-8.8009587418047541E-3</v>
      </c>
      <c r="C31">
        <f>Factors!Z33</f>
        <v>-4.5489770613763247E-2</v>
      </c>
      <c r="D31">
        <f>Factors!J33</f>
        <v>-6.2600113383721734E-3</v>
      </c>
      <c r="E31">
        <f>Factors!N33 - Factors!D33</f>
        <v>-5.9113317201404669E-3</v>
      </c>
      <c r="F31">
        <f>Factors!E33</f>
        <v>-7.9451695573354852E-3</v>
      </c>
      <c r="I31" s="7" t="s">
        <v>137</v>
      </c>
      <c r="J31" s="7">
        <f>SQRT( SUMSQ(I38:I121) / COUNT(I38:I121) )</f>
        <v>1.2678984793009726E-2</v>
      </c>
    </row>
    <row r="32" spans="1:16" x14ac:dyDescent="0.2">
      <c r="A32" s="3">
        <f>Data!A32</f>
        <v>38929</v>
      </c>
      <c r="B32">
        <f>Data!E32 - Factors!AB34</f>
        <v>-6.6596944235139954E-3</v>
      </c>
      <c r="C32">
        <f>Factors!Z34</f>
        <v>3.3936835268328247E-2</v>
      </c>
      <c r="D32">
        <f>Factors!J34</f>
        <v>-2.2099992923791945E-3</v>
      </c>
      <c r="E32">
        <f>Factors!N34 - Factors!D34</f>
        <v>-2.8526315591568263E-3</v>
      </c>
      <c r="F32">
        <f>Factors!E34</f>
        <v>9.9619177322134433E-3</v>
      </c>
      <c r="I32" s="7" t="s">
        <v>138</v>
      </c>
      <c r="J32" s="7">
        <f>1 - SUMSQ(J38:J121) / DEVSQ(K38:K121)</f>
        <v>0.50212510118097575</v>
      </c>
    </row>
    <row r="33" spans="1:11" x14ac:dyDescent="0.2">
      <c r="A33" s="3">
        <f>Data!A33</f>
        <v>38960</v>
      </c>
      <c r="B33">
        <f>Data!E33 - Factors!AB35</f>
        <v>-1.9510745344661906E-3</v>
      </c>
      <c r="C33">
        <f>Factors!Z35</f>
        <v>-1.4840989399293347E-2</v>
      </c>
      <c r="D33">
        <f>Factors!J35</f>
        <v>8.1299984132738867E-3</v>
      </c>
      <c r="E33">
        <f>Factors!N35 - Factors!D35</f>
        <v>8.7198764067197843E-4</v>
      </c>
      <c r="F33">
        <f>Factors!E35</f>
        <v>1.1555066104359746E-2</v>
      </c>
    </row>
    <row r="34" spans="1:11" x14ac:dyDescent="0.2">
      <c r="A34" s="3">
        <f>Data!A34</f>
        <v>38989</v>
      </c>
      <c r="B34">
        <f>Data!E34 - Factors!AB36</f>
        <v>-1.1966320285637044E-2</v>
      </c>
      <c r="C34">
        <f>Factors!Z36</f>
        <v>-4.6229874063446474E-2</v>
      </c>
      <c r="D34">
        <f>Factors!J36</f>
        <v>7.499931159544726E-4</v>
      </c>
      <c r="E34">
        <f>Factors!N36 - Factors!D36</f>
        <v>4.3698118746915426E-3</v>
      </c>
      <c r="F34">
        <f>Factors!E36</f>
        <v>-7.4683065693026407E-5</v>
      </c>
    </row>
    <row r="35" spans="1:11" x14ac:dyDescent="0.2">
      <c r="A35" s="3">
        <f>Data!A35</f>
        <v>39021</v>
      </c>
      <c r="B35">
        <f>Data!E35 - Factors!AB37</f>
        <v>7.4743409557123108E-3</v>
      </c>
      <c r="C35">
        <f>Factors!Z37</f>
        <v>1.3872639144242083E-2</v>
      </c>
      <c r="D35">
        <f>Factors!J37</f>
        <v>1.6250018524567089E-2</v>
      </c>
      <c r="E35">
        <f>Factors!N37 - Factors!D37</f>
        <v>7.9869694282130865E-3</v>
      </c>
      <c r="F35">
        <f>Factors!E37</f>
        <v>9.6735856267800013E-3</v>
      </c>
    </row>
    <row r="36" spans="1:11" x14ac:dyDescent="0.2">
      <c r="A36" s="3">
        <f>Data!A36</f>
        <v>39051</v>
      </c>
      <c r="B36">
        <f>Data!E36 - Factors!AB38</f>
        <v>1.9408257670699758E-2</v>
      </c>
      <c r="C36">
        <f>Factors!Z38</f>
        <v>6.8249258160237414E-2</v>
      </c>
      <c r="D36">
        <f>Factors!J38</f>
        <v>1.7829984452331971E-2</v>
      </c>
      <c r="E36">
        <f>Factors!N38 - Factors!D38</f>
        <v>4.3611621853807403E-3</v>
      </c>
      <c r="F36">
        <f>Factors!E38</f>
        <v>2.435446899414595E-2</v>
      </c>
    </row>
    <row r="37" spans="1:11" x14ac:dyDescent="0.2">
      <c r="A37" s="3">
        <f>Data!A37</f>
        <v>39080</v>
      </c>
      <c r="B37">
        <f>Data!E37 - Factors!AB39</f>
        <v>8.3874781696628986E-3</v>
      </c>
      <c r="C37">
        <f>Factors!Z39</f>
        <v>-1.743827160493816E-2</v>
      </c>
      <c r="D37">
        <f>Factors!J39</f>
        <v>1.7860009511927233E-2</v>
      </c>
      <c r="E37">
        <f>Factors!N39 - Factors!D39</f>
        <v>1.6812288149231525E-2</v>
      </c>
      <c r="F37">
        <f>Factors!E39</f>
        <v>-1.3256312785288049E-2</v>
      </c>
      <c r="H37" s="147" t="s">
        <v>139</v>
      </c>
      <c r="I37" s="147"/>
      <c r="J37" s="147"/>
      <c r="K37" s="147"/>
    </row>
    <row r="38" spans="1:11" x14ac:dyDescent="0.2">
      <c r="A38" s="3">
        <f>Data!A38</f>
        <v>39113</v>
      </c>
      <c r="B38">
        <f>Data!E38 - Factors!AB40</f>
        <v>-4.0867297795266211E-4</v>
      </c>
      <c r="C38">
        <f>Factors!Z40</f>
        <v>2.5914873566828867E-2</v>
      </c>
      <c r="D38">
        <f>Factors!J40</f>
        <v>1.2942254448817581E-2</v>
      </c>
      <c r="E38">
        <f>Factors!N40 - Factors!D40</f>
        <v>1.1154069010428813E-2</v>
      </c>
      <c r="F38">
        <f>Factors!E40</f>
        <v>-9.8284604926325292E-3</v>
      </c>
      <c r="H38" cm="1">
        <f t="array" ref="H38">TREND(B2:B37, C2:F37, C38:F38, TRUE)</f>
        <v>7.2476739900433958E-3</v>
      </c>
      <c r="I38">
        <f t="shared" ref="I38:I69" si="0">B38 - H38</f>
        <v>-7.6563469679960579E-3</v>
      </c>
      <c r="J38">
        <f t="shared" ref="J38:J69" si="1">IF(OR(YEAR(A38)=2008, YEAR(A38)=2009), "", I38)</f>
        <v>-7.6563469679960579E-3</v>
      </c>
      <c r="K38">
        <f t="shared" ref="K38:K69" si="2">IF(OR(YEAR(A38)=2008, YEAR(A38)=2009), "", B38)</f>
        <v>-4.0867297795266211E-4</v>
      </c>
    </row>
    <row r="39" spans="1:11" x14ac:dyDescent="0.2">
      <c r="A39" s="3">
        <f>Data!A39</f>
        <v>39141</v>
      </c>
      <c r="B39">
        <f>Data!E39 - Factors!AB41</f>
        <v>-1.5428829245927034E-3</v>
      </c>
      <c r="C39">
        <f>Factors!Z41</f>
        <v>2.4724433557868908E-2</v>
      </c>
      <c r="D39">
        <f>Factors!J41</f>
        <v>8.1972118953617112E-3</v>
      </c>
      <c r="E39">
        <f>Factors!N41 - Factors!D41</f>
        <v>-1.4908488778080375E-3</v>
      </c>
      <c r="F39">
        <f>Factors!E41</f>
        <v>2.0578465702402404E-2</v>
      </c>
      <c r="H39" cm="1">
        <f t="array" ref="H39">TREND(B3:B38, C3:F38, C39:F39, TRUE)</f>
        <v>6.7793646889779263E-3</v>
      </c>
      <c r="I39">
        <f t="shared" si="0"/>
        <v>-8.3222476135706297E-3</v>
      </c>
      <c r="J39">
        <f t="shared" si="1"/>
        <v>-8.3222476135706297E-3</v>
      </c>
      <c r="K39">
        <f t="shared" si="2"/>
        <v>-1.5428829245927034E-3</v>
      </c>
    </row>
    <row r="40" spans="1:11" x14ac:dyDescent="0.2">
      <c r="A40" s="3">
        <f>Data!A40</f>
        <v>39171</v>
      </c>
      <c r="B40">
        <f>Data!E40 - Factors!AB42</f>
        <v>-5.3784363693408777E-3</v>
      </c>
      <c r="C40">
        <f>Factors!Z42</f>
        <v>-8.3065660715621048E-3</v>
      </c>
      <c r="D40">
        <f>Factors!J42</f>
        <v>1.1549314300771663E-2</v>
      </c>
      <c r="E40">
        <f>Factors!N42 - Factors!D42</f>
        <v>2.2920381391797751E-3</v>
      </c>
      <c r="F40">
        <f>Factors!E42</f>
        <v>2.3638204866058832E-3</v>
      </c>
      <c r="H40" cm="1">
        <f t="array" ref="H40">TREND(B4:B39, C4:F39, C40:F40, TRUE)</f>
        <v>2.2830176513155449E-3</v>
      </c>
      <c r="I40">
        <f t="shared" si="0"/>
        <v>-7.6614540206564226E-3</v>
      </c>
      <c r="J40">
        <f t="shared" si="1"/>
        <v>-7.6614540206564226E-3</v>
      </c>
      <c r="K40">
        <f t="shared" si="2"/>
        <v>-5.3784363693408777E-3</v>
      </c>
    </row>
    <row r="41" spans="1:11" x14ac:dyDescent="0.2">
      <c r="A41" s="3">
        <f>Data!A41</f>
        <v>39202</v>
      </c>
      <c r="B41">
        <f>Data!E41 - Factors!AB43</f>
        <v>1.1976878489052156E-2</v>
      </c>
      <c r="C41">
        <f>Factors!Z43</f>
        <v>2.2085298061133907E-2</v>
      </c>
      <c r="D41">
        <f>Factors!J43</f>
        <v>1.67607619123884E-2</v>
      </c>
      <c r="E41">
        <f>Factors!N43 - Factors!D43</f>
        <v>7.8404704657482061E-3</v>
      </c>
      <c r="F41">
        <f>Factors!E43</f>
        <v>1.1302712511944701E-2</v>
      </c>
      <c r="H41" cm="1">
        <f t="array" ref="H41">TREND(B5:B40, C5:F40, C41:F41, TRUE)</f>
        <v>9.2442550570647659E-3</v>
      </c>
      <c r="I41">
        <f t="shared" si="0"/>
        <v>2.7326234319873903E-3</v>
      </c>
      <c r="J41">
        <f t="shared" si="1"/>
        <v>2.7326234319873903E-3</v>
      </c>
      <c r="K41">
        <f t="shared" si="2"/>
        <v>1.1976878489052156E-2</v>
      </c>
    </row>
    <row r="42" spans="1:11" x14ac:dyDescent="0.2">
      <c r="A42" s="3">
        <f>Data!A42</f>
        <v>39233</v>
      </c>
      <c r="B42">
        <f>Data!E42 - Factors!AB44</f>
        <v>1.3884227015438677E-2</v>
      </c>
      <c r="C42">
        <f>Factors!Z44</f>
        <v>-2.6457366054978282E-2</v>
      </c>
      <c r="D42">
        <f>Factors!J44</f>
        <v>2.1465347532600321E-2</v>
      </c>
      <c r="E42">
        <f>Factors!N44 - Factors!D44</f>
        <v>1.4693511164106554E-2</v>
      </c>
      <c r="F42">
        <f>Factors!E44</f>
        <v>-1.5592660392496294E-2</v>
      </c>
      <c r="H42" cm="1">
        <f t="array" ref="H42">TREND(B6:B41, C6:F41, C42:F42, TRUE)</f>
        <v>6.9876445505419335E-3</v>
      </c>
      <c r="I42">
        <f t="shared" si="0"/>
        <v>6.8965824648967436E-3</v>
      </c>
      <c r="J42">
        <f t="shared" si="1"/>
        <v>6.8965824648967436E-3</v>
      </c>
      <c r="K42">
        <f t="shared" si="2"/>
        <v>1.3884227015438677E-2</v>
      </c>
    </row>
    <row r="43" spans="1:11" x14ac:dyDescent="0.2">
      <c r="A43" s="3">
        <f>Data!A43</f>
        <v>39262</v>
      </c>
      <c r="B43">
        <f>Data!E43 - Factors!AB45</f>
        <v>1.1078126401868227E-2</v>
      </c>
      <c r="C43">
        <f>Factors!Z45</f>
        <v>-1.6426949280847869E-2</v>
      </c>
      <c r="D43">
        <f>Factors!J45</f>
        <v>5.2586548845623415E-3</v>
      </c>
      <c r="E43">
        <f>Factors!N45 - Factors!D45</f>
        <v>-1.3895784645628018E-2</v>
      </c>
      <c r="F43">
        <f>Factors!E45</f>
        <v>-4.4349055764421053E-3</v>
      </c>
      <c r="H43" cm="1">
        <f t="array" ref="H43">TREND(B7:B42, C7:F42, C43:F43, TRUE)</f>
        <v>-3.805817136629348E-3</v>
      </c>
      <c r="I43">
        <f t="shared" si="0"/>
        <v>1.4883943538497575E-2</v>
      </c>
      <c r="J43">
        <f t="shared" si="1"/>
        <v>1.4883943538497575E-2</v>
      </c>
      <c r="K43">
        <f t="shared" si="2"/>
        <v>1.1078126401868227E-2</v>
      </c>
    </row>
    <row r="44" spans="1:11" x14ac:dyDescent="0.2">
      <c r="A44" s="3">
        <f>Data!A44</f>
        <v>39294</v>
      </c>
      <c r="B44">
        <f>Data!E44 - Factors!AB46</f>
        <v>4.1229099206852027E-3</v>
      </c>
      <c r="C44">
        <f>Factors!Z46</f>
        <v>2.2550604171476918E-2</v>
      </c>
      <c r="D44">
        <f>Factors!J46</f>
        <v>1.9128343868641817E-3</v>
      </c>
      <c r="E44">
        <f>Factors!N46 - Factors!D46</f>
        <v>-3.9741875194543308E-2</v>
      </c>
      <c r="F44">
        <f>Factors!E46</f>
        <v>2.0308132647347099E-2</v>
      </c>
      <c r="H44" cm="1">
        <f t="array" ref="H44">TREND(B8:B43, C8:F43, C44:F44, TRUE)</f>
        <v>-1.0215555327052939E-3</v>
      </c>
      <c r="I44">
        <f t="shared" si="0"/>
        <v>5.1444654533904961E-3</v>
      </c>
      <c r="J44">
        <f t="shared" si="1"/>
        <v>5.1444654533904961E-3</v>
      </c>
      <c r="K44">
        <f t="shared" si="2"/>
        <v>4.1229099206852027E-3</v>
      </c>
    </row>
    <row r="45" spans="1:11" x14ac:dyDescent="0.2">
      <c r="A45" s="3">
        <f>Data!A45</f>
        <v>39325</v>
      </c>
      <c r="B45">
        <f>Data!E45 - Factors!AB47</f>
        <v>-2.6040932352910162E-2</v>
      </c>
      <c r="C45">
        <f>Factors!Z47</f>
        <v>1.3548095739876587E-2</v>
      </c>
      <c r="D45">
        <f>Factors!J47</f>
        <v>-2.1834293319518805E-2</v>
      </c>
      <c r="E45">
        <f>Factors!N47 - Factors!D47</f>
        <v>-1.1101181794070936E-3</v>
      </c>
      <c r="F45">
        <f>Factors!E47</f>
        <v>1.2312677681552975E-2</v>
      </c>
      <c r="H45" cm="1">
        <f t="array" ref="H45">TREND(B9:B44, C9:F44, C45:F45, TRUE)</f>
        <v>-1.7235675551201392E-2</v>
      </c>
      <c r="I45">
        <f t="shared" si="0"/>
        <v>-8.8052568017087697E-3</v>
      </c>
      <c r="J45">
        <f t="shared" si="1"/>
        <v>-8.8052568017087697E-3</v>
      </c>
      <c r="K45">
        <f t="shared" si="2"/>
        <v>-2.6040932352910162E-2</v>
      </c>
    </row>
    <row r="46" spans="1:11" x14ac:dyDescent="0.2">
      <c r="A46" s="3">
        <f>Data!A46</f>
        <v>39353</v>
      </c>
      <c r="B46">
        <f>Data!E46 - Factors!AB48</f>
        <v>2.8787165507307311E-2</v>
      </c>
      <c r="C46">
        <f>Factors!Z48</f>
        <v>0.1044111094608644</v>
      </c>
      <c r="D46">
        <f>Factors!J48</f>
        <v>1.8790037969382833E-2</v>
      </c>
      <c r="E46">
        <f>Factors!N48 - Factors!D48</f>
        <v>1.6853227899010559E-2</v>
      </c>
      <c r="F46">
        <f>Factors!E48</f>
        <v>2.2443580979919941E-2</v>
      </c>
      <c r="H46" cm="1">
        <f t="array" ref="H46">TREND(B10:B45, C10:F45, C46:F46, TRUE)</f>
        <v>1.8180565596752261E-2</v>
      </c>
      <c r="I46">
        <f t="shared" si="0"/>
        <v>1.0606599910555049E-2</v>
      </c>
      <c r="J46">
        <f t="shared" si="1"/>
        <v>1.0606599910555049E-2</v>
      </c>
      <c r="K46">
        <f t="shared" si="2"/>
        <v>2.8787165507307311E-2</v>
      </c>
    </row>
    <row r="47" spans="1:11" x14ac:dyDescent="0.2">
      <c r="A47" s="3">
        <f>Data!A47</f>
        <v>39386</v>
      </c>
      <c r="B47">
        <f>Data!E47 - Factors!AB49</f>
        <v>2.956701257864891E-2</v>
      </c>
      <c r="C47">
        <f>Factors!Z49</f>
        <v>7.1543840774609846E-2</v>
      </c>
      <c r="D47">
        <f>Factors!J49</f>
        <v>3.0656165055060747E-2</v>
      </c>
      <c r="E47">
        <f>Factors!N49 - Factors!D49</f>
        <v>-2.9284122209400909E-3</v>
      </c>
      <c r="F47">
        <f>Factors!E49</f>
        <v>1.6299287191395395E-2</v>
      </c>
      <c r="H47" cm="1">
        <f t="array" ref="H47">TREND(B11:B46, C11:F46, C47:F47, TRUE)</f>
        <v>2.6441138580221742E-2</v>
      </c>
      <c r="I47">
        <f t="shared" si="0"/>
        <v>3.1258739984271686E-3</v>
      </c>
      <c r="J47">
        <f t="shared" si="1"/>
        <v>3.1258739984271686E-3</v>
      </c>
      <c r="K47">
        <f t="shared" si="2"/>
        <v>2.956701257864891E-2</v>
      </c>
    </row>
    <row r="48" spans="1:11" x14ac:dyDescent="0.2">
      <c r="A48" s="3">
        <f>Data!A48</f>
        <v>39416</v>
      </c>
      <c r="B48">
        <f>Data!E48 - Factors!AB50</f>
        <v>-1.2781412924715574E-2</v>
      </c>
      <c r="C48">
        <f>Factors!Z50</f>
        <v>-1.6629016064257041E-2</v>
      </c>
      <c r="D48">
        <f>Factors!J50</f>
        <v>-1.4675704327976047E-2</v>
      </c>
      <c r="E48">
        <f>Factors!N50 - Factors!D50</f>
        <v>-3.8446789715949392E-2</v>
      </c>
      <c r="F48">
        <f>Factors!E50</f>
        <v>1.9110524799121453E-2</v>
      </c>
      <c r="H48" cm="1">
        <f t="array" ref="H48">TREND(B12:B47, C12:F47, C48:F48, TRUE)</f>
        <v>-1.4508751776903542E-2</v>
      </c>
      <c r="I48">
        <f t="shared" si="0"/>
        <v>1.7273388521879679E-3</v>
      </c>
      <c r="J48">
        <f t="shared" si="1"/>
        <v>1.7273388521879679E-3</v>
      </c>
      <c r="K48">
        <f t="shared" si="2"/>
        <v>-1.2781412924715574E-2</v>
      </c>
    </row>
    <row r="49" spans="1:11" x14ac:dyDescent="0.2">
      <c r="A49" s="3">
        <f>Data!A49</f>
        <v>39447</v>
      </c>
      <c r="B49">
        <f>Data!E49 - Factors!AB51</f>
        <v>7.0711374109098113E-3</v>
      </c>
      <c r="C49">
        <f>Factors!Z51</f>
        <v>6.4003573479676001E-2</v>
      </c>
      <c r="D49">
        <f>Factors!J51</f>
        <v>3.3379196444245363E-3</v>
      </c>
      <c r="E49">
        <f>Factors!N51 - Factors!D51</f>
        <v>1.2305996429651245E-4</v>
      </c>
      <c r="F49">
        <f>Factors!E51</f>
        <v>-2.9812829750922587E-3</v>
      </c>
      <c r="H49" cm="1">
        <f t="array" ref="H49">TREND(B13:B48, C13:F48, C49:F49, TRUE)</f>
        <v>5.6531355818098157E-3</v>
      </c>
      <c r="I49">
        <f t="shared" si="0"/>
        <v>1.4180018290999956E-3</v>
      </c>
      <c r="J49">
        <f t="shared" si="1"/>
        <v>1.4180018290999956E-3</v>
      </c>
      <c r="K49">
        <f t="shared" si="2"/>
        <v>7.0711374109098113E-3</v>
      </c>
    </row>
    <row r="50" spans="1:11" x14ac:dyDescent="0.2">
      <c r="A50" s="3">
        <f>Data!A50</f>
        <v>39478</v>
      </c>
      <c r="B50">
        <f>Data!E50 - Factors!AB52</f>
        <v>7.0476875638760816E-3</v>
      </c>
      <c r="C50">
        <f>Factors!Z52</f>
        <v>0.11083123425692687</v>
      </c>
      <c r="D50">
        <f>Factors!J52</f>
        <v>-2.8342341803256788E-2</v>
      </c>
      <c r="E50">
        <f>Factors!N52 - Factors!D52</f>
        <v>-3.0385269319711861E-2</v>
      </c>
      <c r="F50">
        <f>Factors!E52</f>
        <v>2.7778826626435604E-2</v>
      </c>
      <c r="H50" cm="1">
        <f t="array" ref="H50">TREND(B14:B49, C14:F49, C50:F50, TRUE)</f>
        <v>-1.1588472708992183E-2</v>
      </c>
      <c r="I50">
        <f t="shared" si="0"/>
        <v>1.8636160272868265E-2</v>
      </c>
      <c r="J50" t="str">
        <f t="shared" si="1"/>
        <v/>
      </c>
      <c r="K50" t="str">
        <f t="shared" si="2"/>
        <v/>
      </c>
    </row>
    <row r="51" spans="1:11" x14ac:dyDescent="0.2">
      <c r="A51" s="3">
        <f>Data!A51</f>
        <v>39507</v>
      </c>
      <c r="B51">
        <f>Data!E51 - Factors!AB53</f>
        <v>4.0866911003281547E-2</v>
      </c>
      <c r="C51">
        <f>Factors!Z53</f>
        <v>5.1614296512255686E-2</v>
      </c>
      <c r="D51">
        <f>Factors!J53</f>
        <v>1.2406877158998464E-2</v>
      </c>
      <c r="E51">
        <f>Factors!N53 - Factors!D53</f>
        <v>-1.3260944017200127E-2</v>
      </c>
      <c r="F51">
        <f>Factors!E53</f>
        <v>1.67274975589633E-2</v>
      </c>
      <c r="H51" cm="1">
        <f t="array" ref="H51">TREND(B15:B50, C15:F50, C51:F51, TRUE)</f>
        <v>1.2420567113543984E-2</v>
      </c>
      <c r="I51">
        <f t="shared" si="0"/>
        <v>2.8446343889737564E-2</v>
      </c>
      <c r="J51" t="str">
        <f t="shared" si="1"/>
        <v/>
      </c>
      <c r="K51" t="str">
        <f t="shared" si="2"/>
        <v/>
      </c>
    </row>
    <row r="52" spans="1:11" x14ac:dyDescent="0.2">
      <c r="A52" s="3">
        <f>Data!A52</f>
        <v>39538</v>
      </c>
      <c r="B52">
        <f>Data!E52 - Factors!AB54</f>
        <v>-1.4329799550588218E-2</v>
      </c>
      <c r="C52">
        <f>Factors!Z54</f>
        <v>-5.8527569565663851E-2</v>
      </c>
      <c r="D52">
        <f>Factors!J54</f>
        <v>-2.5935990429313827E-2</v>
      </c>
      <c r="E52">
        <f>Factors!N54 - Factors!D54</f>
        <v>-8.6043220100139317E-3</v>
      </c>
      <c r="F52">
        <f>Factors!E54</f>
        <v>2.039968566454764E-2</v>
      </c>
      <c r="H52" cm="1">
        <f t="array" ref="H52">TREND(B16:B51, C16:F51, C52:F52, TRUE)</f>
        <v>-2.9560194668983998E-2</v>
      </c>
      <c r="I52">
        <f t="shared" si="0"/>
        <v>1.523039511839578E-2</v>
      </c>
      <c r="J52" t="str">
        <f t="shared" si="1"/>
        <v/>
      </c>
      <c r="K52" t="str">
        <f t="shared" si="2"/>
        <v/>
      </c>
    </row>
    <row r="53" spans="1:11" x14ac:dyDescent="0.2">
      <c r="A53" s="3">
        <f>Data!A53</f>
        <v>39568</v>
      </c>
      <c r="B53">
        <f>Data!E53 - Factors!AB55</f>
        <v>-1.4906110402959083E-3</v>
      </c>
      <c r="C53">
        <f>Factors!Z55</f>
        <v>-4.2916348565819606E-2</v>
      </c>
      <c r="D53">
        <f>Factors!J55</f>
        <v>9.7373502364541675E-3</v>
      </c>
      <c r="E53">
        <f>Factors!N55 - Factors!D55</f>
        <v>4.3746803771141929E-2</v>
      </c>
      <c r="F53">
        <f>Factors!E55</f>
        <v>-1.9087691797609496E-2</v>
      </c>
      <c r="H53" cm="1">
        <f t="array" ref="H53">TREND(B17:B52, C17:F52, C53:F53, TRUE)</f>
        <v>-9.7280221725255505E-3</v>
      </c>
      <c r="I53">
        <f t="shared" si="0"/>
        <v>8.2374111322296422E-3</v>
      </c>
      <c r="J53" t="str">
        <f t="shared" si="1"/>
        <v/>
      </c>
      <c r="K53" t="str">
        <f t="shared" si="2"/>
        <v/>
      </c>
    </row>
    <row r="54" spans="1:11" x14ac:dyDescent="0.2">
      <c r="A54" s="3">
        <f>Data!A54</f>
        <v>39598</v>
      </c>
      <c r="B54">
        <f>Data!E54 - Factors!AB56</f>
        <v>1.1464986713504821E-2</v>
      </c>
      <c r="C54">
        <f>Factors!Z56</f>
        <v>1.0198849068429272E-2</v>
      </c>
      <c r="D54">
        <f>Factors!J56</f>
        <v>1.8462281598387476E-2</v>
      </c>
      <c r="E54">
        <f>Factors!N56 - Factors!D56</f>
        <v>1.1616459330927476E-2</v>
      </c>
      <c r="F54">
        <f>Factors!E56</f>
        <v>-1.1057650010709796E-2</v>
      </c>
      <c r="H54" cm="1">
        <f t="array" ref="H54">TREND(B18:B53, C18:F53, C54:F54, TRUE)</f>
        <v>9.4707875231690095E-3</v>
      </c>
      <c r="I54">
        <f t="shared" si="0"/>
        <v>1.9941991903358117E-3</v>
      </c>
      <c r="J54" t="str">
        <f t="shared" si="1"/>
        <v/>
      </c>
      <c r="K54" t="str">
        <f t="shared" si="2"/>
        <v/>
      </c>
    </row>
    <row r="55" spans="1:11" x14ac:dyDescent="0.2">
      <c r="A55" s="3">
        <f>Data!A55</f>
        <v>39629</v>
      </c>
      <c r="B55">
        <f>Data!E55 - Factors!AB57</f>
        <v>1.0182424592799721E-2</v>
      </c>
      <c r="C55">
        <f>Factors!Z57</f>
        <v>4.3880428652002257E-2</v>
      </c>
      <c r="D55">
        <f>Factors!J57</f>
        <v>-8.081337807452682E-3</v>
      </c>
      <c r="E55">
        <f>Factors!N57 - Factors!D57</f>
        <v>-2.5986501422890051E-2</v>
      </c>
      <c r="F55">
        <f>Factors!E57</f>
        <v>8.517583537215323E-4</v>
      </c>
      <c r="H55" cm="1">
        <f t="array" ref="H55">TREND(B19:B54, C19:F54, C55:F55, TRUE)</f>
        <v>2.5373298338083944E-3</v>
      </c>
      <c r="I55">
        <f t="shared" si="0"/>
        <v>7.6450947589913271E-3</v>
      </c>
      <c r="J55" t="str">
        <f t="shared" si="1"/>
        <v/>
      </c>
      <c r="K55" t="str">
        <f t="shared" si="2"/>
        <v/>
      </c>
    </row>
    <row r="56" spans="1:11" x14ac:dyDescent="0.2">
      <c r="A56" s="3">
        <f>Data!A56</f>
        <v>39660</v>
      </c>
      <c r="B56">
        <f>Data!E56 - Factors!AB58</f>
        <v>-2.7922462738658171E-2</v>
      </c>
      <c r="C56">
        <f>Factors!Z58</f>
        <v>-1.2210935811540868E-2</v>
      </c>
      <c r="D56">
        <f>Factors!J58</f>
        <v>-2.6122942477532662E-2</v>
      </c>
      <c r="E56">
        <f>Factors!N58 - Factors!D58</f>
        <v>-1.5211038668520693E-2</v>
      </c>
      <c r="F56">
        <f>Factors!E58</f>
        <v>1.3773233889398107E-3</v>
      </c>
      <c r="H56" cm="1">
        <f t="array" ref="H56">TREND(B20:B55, C20:F55, C56:F56, TRUE)</f>
        <v>-1.7031521893626663E-2</v>
      </c>
      <c r="I56">
        <f t="shared" si="0"/>
        <v>-1.0890940845031508E-2</v>
      </c>
      <c r="J56" t="str">
        <f t="shared" si="1"/>
        <v/>
      </c>
      <c r="K56" t="str">
        <f t="shared" si="2"/>
        <v/>
      </c>
    </row>
    <row r="57" spans="1:11" x14ac:dyDescent="0.2">
      <c r="A57" s="3">
        <f>Data!A57</f>
        <v>39689</v>
      </c>
      <c r="B57">
        <f>Data!E57 - Factors!AB59</f>
        <v>-1.3153990600262344E-2</v>
      </c>
      <c r="C57">
        <f>Factors!Z59</f>
        <v>-9.0744995077125079E-2</v>
      </c>
      <c r="D57">
        <f>Factors!J59</f>
        <v>-1.3897780726167874E-2</v>
      </c>
      <c r="E57">
        <f>Factors!N59 - Factors!D59</f>
        <v>-6.2633825818201316E-3</v>
      </c>
      <c r="F57">
        <f>Factors!E59</f>
        <v>-1.6528350348578802E-2</v>
      </c>
      <c r="H57" cm="1">
        <f t="array" ref="H57">TREND(B21:B56, C21:F56, C57:F57, TRUE)</f>
        <v>-2.2434760054028811E-2</v>
      </c>
      <c r="I57">
        <f t="shared" si="0"/>
        <v>9.2807694537664666E-3</v>
      </c>
      <c r="J57" t="str">
        <f t="shared" si="1"/>
        <v/>
      </c>
      <c r="K57" t="str">
        <f t="shared" si="2"/>
        <v/>
      </c>
    </row>
    <row r="58" spans="1:11" x14ac:dyDescent="0.2">
      <c r="A58" s="3">
        <f>Data!A58</f>
        <v>39721</v>
      </c>
      <c r="B58">
        <f>Data!E58 - Factors!AB60</f>
        <v>-1.4086686970596562E-2</v>
      </c>
      <c r="C58">
        <f>Factors!Z60</f>
        <v>4.7885459904950967E-2</v>
      </c>
      <c r="D58">
        <f>Factors!J60</f>
        <v>-6.5295530508631461E-2</v>
      </c>
      <c r="E58">
        <f>Factors!N60 - Factors!D60</f>
        <v>-6.9542294139341654E-2</v>
      </c>
      <c r="F58">
        <f>Factors!E60</f>
        <v>-2.352781095671086E-2</v>
      </c>
      <c r="H58" cm="1">
        <f t="array" ref="H58">TREND(B22:B57, C22:F57, C58:F58, TRUE)</f>
        <v>-2.5210506927562853E-2</v>
      </c>
      <c r="I58">
        <f t="shared" si="0"/>
        <v>1.1123819956966291E-2</v>
      </c>
      <c r="J58" t="str">
        <f t="shared" si="1"/>
        <v/>
      </c>
      <c r="K58" t="str">
        <f t="shared" si="2"/>
        <v/>
      </c>
    </row>
    <row r="59" spans="1:11" x14ac:dyDescent="0.2">
      <c r="A59" s="3">
        <f>Data!A59</f>
        <v>39752</v>
      </c>
      <c r="B59">
        <f>Data!E59 - Factors!AB61</f>
        <v>1.5112046362782072E-2</v>
      </c>
      <c r="C59">
        <f>Factors!Z61</f>
        <v>-0.16889603306734025</v>
      </c>
      <c r="D59">
        <f>Factors!J61</f>
        <v>-5.7196273130460606E-2</v>
      </c>
      <c r="E59">
        <f>Factors!N61 - Factors!D61</f>
        <v>-0.13937960384583081</v>
      </c>
      <c r="F59">
        <f>Factors!E61</f>
        <v>-3.686211424561181E-2</v>
      </c>
      <c r="H59" cm="1">
        <f t="array" ref="H59">TREND(B23:B58, C23:F58, C59:F59, TRUE)</f>
        <v>-2.5025871983578762E-2</v>
      </c>
      <c r="I59">
        <f t="shared" si="0"/>
        <v>4.0137918346360837E-2</v>
      </c>
      <c r="J59" t="str">
        <f t="shared" si="1"/>
        <v/>
      </c>
      <c r="K59" t="str">
        <f t="shared" si="2"/>
        <v/>
      </c>
    </row>
    <row r="60" spans="1:11" x14ac:dyDescent="0.2">
      <c r="A60" s="3">
        <f>Data!A60</f>
        <v>39780</v>
      </c>
      <c r="B60">
        <f>Data!E60 - Factors!AB62</f>
        <v>6.7004776575583236E-3</v>
      </c>
      <c r="C60">
        <f>Factors!Z62</f>
        <v>0.13013745941838772</v>
      </c>
      <c r="D60">
        <f>Factors!J62</f>
        <v>-2.6423082314796176E-2</v>
      </c>
      <c r="E60">
        <f>Factors!N62 - Factors!D62</f>
        <v>-0.11687285675965975</v>
      </c>
      <c r="F60">
        <f>Factors!E62</f>
        <v>2.8915086290507208E-2</v>
      </c>
      <c r="H60" cm="1">
        <f t="array" ref="H60">TREND(B24:B59, C24:F59, C60:F60, TRUE)</f>
        <v>3.9887125329411438E-2</v>
      </c>
      <c r="I60">
        <f t="shared" si="0"/>
        <v>-3.3186647671853114E-2</v>
      </c>
      <c r="J60" t="str">
        <f t="shared" si="1"/>
        <v/>
      </c>
      <c r="K60" t="str">
        <f t="shared" si="2"/>
        <v/>
      </c>
    </row>
    <row r="61" spans="1:11" x14ac:dyDescent="0.2">
      <c r="A61" s="3">
        <f>Data!A61</f>
        <v>39813</v>
      </c>
      <c r="B61">
        <f>Data!E61 - Factors!AB63</f>
        <v>1.1075280778467311E-2</v>
      </c>
      <c r="C61">
        <f>Factors!Z63</f>
        <v>7.8234826722082929E-2</v>
      </c>
      <c r="D61">
        <f>Factors!J63</f>
        <v>-1.7190822580770204E-2</v>
      </c>
      <c r="E61">
        <f>Factors!N63 - Factors!D63</f>
        <v>3.7434915801340285E-2</v>
      </c>
      <c r="F61">
        <f>Factors!E63</f>
        <v>6.2130939937454999E-2</v>
      </c>
      <c r="H61" cm="1">
        <f t="array" ref="H61">TREND(B25:B60, C25:F60, C61:F61, TRUE)</f>
        <v>-3.181136551774906E-2</v>
      </c>
      <c r="I61">
        <f t="shared" si="0"/>
        <v>4.2886646296216371E-2</v>
      </c>
      <c r="J61" t="str">
        <f t="shared" si="1"/>
        <v/>
      </c>
      <c r="K61" t="str">
        <f t="shared" si="2"/>
        <v/>
      </c>
    </row>
    <row r="62" spans="1:11" x14ac:dyDescent="0.2">
      <c r="A62" s="3">
        <f>Data!A62</f>
        <v>39843</v>
      </c>
      <c r="B62">
        <f>Data!E62 - Factors!AB64</f>
        <v>-9.4248079123571138E-4</v>
      </c>
      <c r="C62">
        <f>Factors!Z64</f>
        <v>5.192449407629951E-2</v>
      </c>
      <c r="D62">
        <f>Factors!J64</f>
        <v>1.1136160111223647E-2</v>
      </c>
      <c r="E62">
        <f>Factors!N64 - Factors!D64</f>
        <v>6.1902581555519864E-2</v>
      </c>
      <c r="F62">
        <f>Factors!E64</f>
        <v>-3.2701175380325243E-2</v>
      </c>
      <c r="H62" cm="1">
        <f t="array" ref="H62">TREND(B26:B61, C26:F61, C62:F62, TRUE)</f>
        <v>-4.2937327339347599E-3</v>
      </c>
      <c r="I62">
        <f t="shared" si="0"/>
        <v>3.3512519426990486E-3</v>
      </c>
      <c r="J62" t="str">
        <f t="shared" si="1"/>
        <v/>
      </c>
      <c r="K62" t="str">
        <f t="shared" si="2"/>
        <v/>
      </c>
    </row>
    <row r="63" spans="1:11" x14ac:dyDescent="0.2">
      <c r="A63" s="3">
        <f>Data!A63</f>
        <v>39871</v>
      </c>
      <c r="B63">
        <f>Data!E63 - Factors!AB65</f>
        <v>-1.4340593447443872E-3</v>
      </c>
      <c r="C63">
        <f>Factors!Z65</f>
        <v>1.559519318855429E-2</v>
      </c>
      <c r="D63">
        <f>Factors!J65</f>
        <v>-2.1065470394521224E-3</v>
      </c>
      <c r="E63">
        <f>Factors!N65 - Factors!D65</f>
        <v>-3.0892258503532832E-2</v>
      </c>
      <c r="F63">
        <f>Factors!E65</f>
        <v>-2.2339857219173309E-2</v>
      </c>
      <c r="H63" cm="1">
        <f t="array" ref="H63">TREND(B27:B62, C27:F62, C63:F63, TRUE)</f>
        <v>8.4615256182842893E-3</v>
      </c>
      <c r="I63">
        <f t="shared" si="0"/>
        <v>-9.8955849630286766E-3</v>
      </c>
      <c r="J63" t="str">
        <f t="shared" si="1"/>
        <v/>
      </c>
      <c r="K63" t="str">
        <f t="shared" si="2"/>
        <v/>
      </c>
    </row>
    <row r="64" spans="1:11" x14ac:dyDescent="0.2">
      <c r="A64" s="3">
        <f>Data!A64</f>
        <v>39903</v>
      </c>
      <c r="B64">
        <f>Data!E64 - Factors!AB66</f>
        <v>-6.3546821775313234E-3</v>
      </c>
      <c r="C64">
        <f>Factors!Z66</f>
        <v>-2.4376008150097661E-2</v>
      </c>
      <c r="D64">
        <f>Factors!J66</f>
        <v>3.4840468824759441E-4</v>
      </c>
      <c r="E64">
        <f>Factors!N66 - Factors!D66</f>
        <v>1.9135266073148971E-2</v>
      </c>
      <c r="F64">
        <f>Factors!E66</f>
        <v>2.3013748583143867E-2</v>
      </c>
      <c r="H64" cm="1">
        <f t="array" ref="H64">TREND(B28:B63, C28:F63, C64:F64, TRUE)</f>
        <v>-4.8280569579439115E-3</v>
      </c>
      <c r="I64">
        <f t="shared" si="0"/>
        <v>-1.5266252195874118E-3</v>
      </c>
      <c r="J64" t="str">
        <f t="shared" si="1"/>
        <v/>
      </c>
      <c r="K64" t="str">
        <f t="shared" si="2"/>
        <v/>
      </c>
    </row>
    <row r="65" spans="1:11" x14ac:dyDescent="0.2">
      <c r="A65" s="3">
        <f>Data!A65</f>
        <v>39933</v>
      </c>
      <c r="B65">
        <f>Data!E65 - Factors!AB67</f>
        <v>-1.1532240322855714E-3</v>
      </c>
      <c r="C65">
        <f>Factors!Z67</f>
        <v>-3.3882634470005946E-2</v>
      </c>
      <c r="D65">
        <f>Factors!J67</f>
        <v>7.9822961908986301E-3</v>
      </c>
      <c r="E65">
        <f>Factors!N67 - Factors!D67</f>
        <v>0.10987892556449608</v>
      </c>
      <c r="F65">
        <f>Factors!E67</f>
        <v>8.9954877717373094E-3</v>
      </c>
      <c r="H65" cm="1">
        <f t="array" ref="H65">TREND(B29:B64, C29:F64, C65:F65, TRUE)</f>
        <v>-2.2313100600088134E-2</v>
      </c>
      <c r="I65">
        <f t="shared" si="0"/>
        <v>2.1159876567802563E-2</v>
      </c>
      <c r="J65" t="str">
        <f t="shared" si="1"/>
        <v/>
      </c>
      <c r="K65" t="str">
        <f t="shared" si="2"/>
        <v/>
      </c>
    </row>
    <row r="66" spans="1:11" x14ac:dyDescent="0.2">
      <c r="A66" s="3">
        <f>Data!A66</f>
        <v>39962</v>
      </c>
      <c r="B66">
        <f>Data!E66 - Factors!AB68</f>
        <v>3.5300189726129139E-2</v>
      </c>
      <c r="C66">
        <f>Factors!Z68</f>
        <v>0.10242062598513835</v>
      </c>
      <c r="D66">
        <f>Factors!J68</f>
        <v>2.8634142135389284E-2</v>
      </c>
      <c r="E66">
        <f>Factors!N68 - Factors!D68</f>
        <v>6.3876517405155431E-2</v>
      </c>
      <c r="F66">
        <f>Factors!E68</f>
        <v>3.5689598600021855E-2</v>
      </c>
      <c r="H66" cm="1">
        <f t="array" ref="H66">TREND(B30:B65, C30:F65, C66:F66, TRUE)</f>
        <v>1.1758838358165106E-2</v>
      </c>
      <c r="I66">
        <f t="shared" si="0"/>
        <v>2.3541351367964033E-2</v>
      </c>
      <c r="J66" t="str">
        <f t="shared" si="1"/>
        <v/>
      </c>
      <c r="K66" t="str">
        <f t="shared" si="2"/>
        <v/>
      </c>
    </row>
    <row r="67" spans="1:11" x14ac:dyDescent="0.2">
      <c r="A67" s="3">
        <f>Data!A67</f>
        <v>39994</v>
      </c>
      <c r="B67">
        <f>Data!E67 - Factors!AB69</f>
        <v>-1.1794631084505847E-2</v>
      </c>
      <c r="C67">
        <f>Factors!Z69</f>
        <v>-5.3790455181429109E-2</v>
      </c>
      <c r="D67">
        <f>Factors!J69</f>
        <v>4.597507104333598E-3</v>
      </c>
      <c r="E67">
        <f>Factors!N69 - Factors!D69</f>
        <v>2.6109819694262182E-2</v>
      </c>
      <c r="F67">
        <f>Factors!E69</f>
        <v>4.137049056372577E-3</v>
      </c>
      <c r="H67" cm="1">
        <f t="array" ref="H67">TREND(B31:B66, C31:F66, C67:F67, TRUE)</f>
        <v>-2.8342574884259726E-3</v>
      </c>
      <c r="I67">
        <f t="shared" si="0"/>
        <v>-8.9603735960798736E-3</v>
      </c>
      <c r="J67" t="str">
        <f t="shared" si="1"/>
        <v/>
      </c>
      <c r="K67" t="str">
        <f t="shared" si="2"/>
        <v/>
      </c>
    </row>
    <row r="68" spans="1:11" x14ac:dyDescent="0.2">
      <c r="A68" s="3">
        <f>Data!A68</f>
        <v>40025</v>
      </c>
      <c r="B68">
        <f>Data!E68 - Factors!AB70</f>
        <v>4.7626416731338939E-3</v>
      </c>
      <c r="C68">
        <f>Factors!Z70</f>
        <v>2.9681597409606075E-2</v>
      </c>
      <c r="D68">
        <f>Factors!J70</f>
        <v>1.4734159911400146E-2</v>
      </c>
      <c r="E68">
        <f>Factors!N70 - Factors!D70</f>
        <v>4.5700990366542404E-2</v>
      </c>
      <c r="F68">
        <f>Factors!E70</f>
        <v>2.2144694975066992E-2</v>
      </c>
      <c r="H68" cm="1">
        <f t="array" ref="H68">TREND(B32:B67, C32:F67, C68:F68, TRUE)</f>
        <v>5.4190496067516537E-3</v>
      </c>
      <c r="I68">
        <f t="shared" si="0"/>
        <v>-6.5640793361775984E-4</v>
      </c>
      <c r="J68" t="str">
        <f t="shared" si="1"/>
        <v/>
      </c>
      <c r="K68" t="str">
        <f t="shared" si="2"/>
        <v/>
      </c>
    </row>
    <row r="69" spans="1:11" x14ac:dyDescent="0.2">
      <c r="A69" s="3">
        <f>Data!A69</f>
        <v>40056</v>
      </c>
      <c r="B69">
        <f>Data!E69 - Factors!AB71</f>
        <v>3.5378123481093482E-3</v>
      </c>
      <c r="C69">
        <f>Factors!Z71</f>
        <v>-2.945492662473792E-3</v>
      </c>
      <c r="D69">
        <f>Factors!J71</f>
        <v>1.1457930825694573E-2</v>
      </c>
      <c r="E69">
        <f>Factors!N71 - Factors!D71</f>
        <v>9.9841737055359481E-3</v>
      </c>
      <c r="F69">
        <f>Factors!E71</f>
        <v>1.7565764546371376E-2</v>
      </c>
      <c r="H69" cm="1">
        <f t="array" ref="H69">TREND(B33:B68, C33:F68, C69:F69, TRUE)</f>
        <v>7.0574878984533407E-3</v>
      </c>
      <c r="I69">
        <f t="shared" si="0"/>
        <v>-3.5196755503439925E-3</v>
      </c>
      <c r="J69" t="str">
        <f t="shared" si="1"/>
        <v/>
      </c>
      <c r="K69" t="str">
        <f t="shared" si="2"/>
        <v/>
      </c>
    </row>
    <row r="70" spans="1:11" x14ac:dyDescent="0.2">
      <c r="A70" s="3">
        <f>Data!A70</f>
        <v>40086</v>
      </c>
      <c r="B70">
        <f>Data!E70 - Factors!AB72</f>
        <v>1.6932291632936192E-2</v>
      </c>
      <c r="C70">
        <f>Factors!Z72</f>
        <v>5.9409791944827095E-2</v>
      </c>
      <c r="D70">
        <f>Factors!J72</f>
        <v>1.6931328115874722E-2</v>
      </c>
      <c r="E70">
        <f>Factors!N72 - Factors!D72</f>
        <v>4.9255455588423258E-2</v>
      </c>
      <c r="F70">
        <f>Factors!E72</f>
        <v>2.1370567768512316E-2</v>
      </c>
      <c r="H70" cm="1">
        <f t="array" ref="H70">TREND(B34:B69, C34:F69, C70:F70, TRUE)</f>
        <v>8.4263639294436723E-3</v>
      </c>
      <c r="I70">
        <f t="shared" ref="I70:I101" si="3">B70 - H70</f>
        <v>8.5059277034925194E-3</v>
      </c>
      <c r="J70" t="str">
        <f t="shared" ref="J70:J101" si="4">IF(OR(YEAR(A70)=2008, YEAR(A70)=2009), "", I70)</f>
        <v/>
      </c>
      <c r="K70" t="str">
        <f t="shared" ref="K70:K101" si="5">IF(OR(YEAR(A70)=2008, YEAR(A70)=2009), "", B70)</f>
        <v/>
      </c>
    </row>
    <row r="71" spans="1:11" x14ac:dyDescent="0.2">
      <c r="A71" s="3">
        <f>Data!A71</f>
        <v>40116</v>
      </c>
      <c r="B71">
        <f>Data!E71 - Factors!AB73</f>
        <v>-5.2600330414919183E-3</v>
      </c>
      <c r="C71">
        <f>Factors!Z73</f>
        <v>3.7461546095068021E-2</v>
      </c>
      <c r="D71">
        <f>Factors!J73</f>
        <v>-3.9690569861128289E-4</v>
      </c>
      <c r="E71">
        <f>Factors!N73 - Factors!D73</f>
        <v>1.2925735559806029E-2</v>
      </c>
      <c r="F71">
        <f>Factors!E73</f>
        <v>4.6982413831337944E-3</v>
      </c>
      <c r="H71" cm="1">
        <f t="array" ref="H71">TREND(B35:B70, C35:F70, C71:F71, TRUE)</f>
        <v>3.5768544029936337E-3</v>
      </c>
      <c r="I71">
        <f t="shared" si="3"/>
        <v>-8.8368874444855524E-3</v>
      </c>
      <c r="J71" t="str">
        <f t="shared" si="4"/>
        <v/>
      </c>
      <c r="K71" t="str">
        <f t="shared" si="5"/>
        <v/>
      </c>
    </row>
    <row r="72" spans="1:11" x14ac:dyDescent="0.2">
      <c r="A72" s="3">
        <f>Data!A72</f>
        <v>40147</v>
      </c>
      <c r="B72">
        <f>Data!E72 - Factors!AB74</f>
        <v>2.1647657747396076E-2</v>
      </c>
      <c r="C72">
        <f>Factors!Z74</f>
        <v>0.12834664498541293</v>
      </c>
      <c r="D72">
        <f>Factors!J74</f>
        <v>7.9809861968849205E-3</v>
      </c>
      <c r="E72">
        <f>Factors!N74 - Factors!D74</f>
        <v>-2.8143711907961944E-3</v>
      </c>
      <c r="F72">
        <f>Factors!E74</f>
        <v>2.5463667198678763E-2</v>
      </c>
      <c r="H72" cm="1">
        <f t="array" ref="H72">TREND(B36:B71, C36:F71, C72:F72, TRUE)</f>
        <v>1.7082873222770547E-2</v>
      </c>
      <c r="I72">
        <f t="shared" si="3"/>
        <v>4.5647845246255293E-3</v>
      </c>
      <c r="J72" t="str">
        <f t="shared" si="4"/>
        <v/>
      </c>
      <c r="K72" t="str">
        <f t="shared" si="5"/>
        <v/>
      </c>
    </row>
    <row r="73" spans="1:11" x14ac:dyDescent="0.2">
      <c r="A73" s="3">
        <f>Data!A73</f>
        <v>40178</v>
      </c>
      <c r="B73">
        <f>Data!E73 - Factors!AB75</f>
        <v>-1.3023219320867363E-2</v>
      </c>
      <c r="C73">
        <f>Factors!Z75</f>
        <v>-7.0072819443384837E-2</v>
      </c>
      <c r="D73">
        <f>Factors!J75</f>
        <v>8.092985115390583E-3</v>
      </c>
      <c r="E73">
        <f>Factors!N75 - Factors!D75</f>
        <v>4.6977564128499183E-2</v>
      </c>
      <c r="F73">
        <f>Factors!E75</f>
        <v>-3.7626846744221787E-2</v>
      </c>
      <c r="H73" cm="1">
        <f t="array" ref="H73">TREND(B37:B72, C37:F72, C73:F73, TRUE)</f>
        <v>-7.0800990079065151E-3</v>
      </c>
      <c r="I73">
        <f t="shared" si="3"/>
        <v>-5.9431203129608479E-3</v>
      </c>
      <c r="J73" t="str">
        <f t="shared" si="4"/>
        <v/>
      </c>
      <c r="K73" t="str">
        <f t="shared" si="5"/>
        <v/>
      </c>
    </row>
    <row r="74" spans="1:11" x14ac:dyDescent="0.2">
      <c r="A74" s="3">
        <f>Data!A74</f>
        <v>40207</v>
      </c>
      <c r="B74">
        <f>Data!E74 - Factors!AB76</f>
        <v>-1.963500950850805E-2</v>
      </c>
      <c r="C74">
        <f>Factors!Z76</f>
        <v>-1.4375962879568216E-2</v>
      </c>
      <c r="D74">
        <f>Factors!J76</f>
        <v>-1.1812019209289648E-3</v>
      </c>
      <c r="E74">
        <f>Factors!N76 - Factors!D76</f>
        <v>-1.2072755133019086E-4</v>
      </c>
      <c r="F74">
        <f>Factors!E76</f>
        <v>4.1308822450192295E-3</v>
      </c>
      <c r="H74" cm="1">
        <f t="array" ref="H74">TREND(B38:B73, C38:F73, C74:F74, TRUE)</f>
        <v>1.3846818445083643E-3</v>
      </c>
      <c r="I74">
        <f t="shared" si="3"/>
        <v>-2.1019691353016415E-2</v>
      </c>
      <c r="J74">
        <f t="shared" si="4"/>
        <v>-2.1019691353016415E-2</v>
      </c>
      <c r="K74">
        <f t="shared" si="5"/>
        <v>-1.963500950850805E-2</v>
      </c>
    </row>
    <row r="75" spans="1:11" x14ac:dyDescent="0.2">
      <c r="A75" s="3">
        <f>Data!A75</f>
        <v>40235</v>
      </c>
      <c r="B75">
        <f>Data!E75 - Factors!AB77</f>
        <v>1.5972913859152449E-3</v>
      </c>
      <c r="C75">
        <f>Factors!Z77</f>
        <v>3.36570477247502E-2</v>
      </c>
      <c r="D75">
        <f>Factors!J77</f>
        <v>1.2472976154498383E-3</v>
      </c>
      <c r="E75">
        <f>Factors!N77 - Factors!D77</f>
        <v>-2.1854966407328646E-3</v>
      </c>
      <c r="F75">
        <f>Factors!E77</f>
        <v>7.4427345710548209E-4</v>
      </c>
      <c r="H75" cm="1">
        <f t="array" ref="H75">TREND(B39:B74, C39:F74, C75:F75, TRUE)</f>
        <v>5.9091430407663403E-3</v>
      </c>
      <c r="I75">
        <f t="shared" si="3"/>
        <v>-4.3118516548510955E-3</v>
      </c>
      <c r="J75">
        <f t="shared" si="4"/>
        <v>-4.3118516548510955E-3</v>
      </c>
      <c r="K75">
        <f t="shared" si="5"/>
        <v>1.5972913859152449E-3</v>
      </c>
    </row>
    <row r="76" spans="1:11" x14ac:dyDescent="0.2">
      <c r="A76" s="3">
        <f>Data!A76</f>
        <v>40268</v>
      </c>
      <c r="B76">
        <f>Data!E76 - Factors!AB78</f>
        <v>1.5849567639139917E-2</v>
      </c>
      <c r="C76">
        <f>Factors!Z78</f>
        <v>-3.8833561502875646E-3</v>
      </c>
      <c r="D76">
        <f>Factors!J78</f>
        <v>1.5559272311045147E-2</v>
      </c>
      <c r="E76">
        <f>Factors!N78 - Factors!D78</f>
        <v>3.218692272053536E-2</v>
      </c>
      <c r="F76">
        <f>Factors!E78</f>
        <v>-7.5581717406796312E-3</v>
      </c>
      <c r="H76" cm="1">
        <f t="array" ref="H76">TREND(B40:B75, C40:F75, C76:F76, TRUE)</f>
        <v>4.6680826918571129E-3</v>
      </c>
      <c r="I76">
        <f t="shared" si="3"/>
        <v>1.1181484947282803E-2</v>
      </c>
      <c r="J76">
        <f t="shared" si="4"/>
        <v>1.1181484947282803E-2</v>
      </c>
      <c r="K76">
        <f t="shared" si="5"/>
        <v>1.5849567639139917E-2</v>
      </c>
    </row>
    <row r="77" spans="1:11" x14ac:dyDescent="0.2">
      <c r="A77" s="3">
        <f>Data!A77</f>
        <v>40298</v>
      </c>
      <c r="B77">
        <f>Data!E77 - Factors!AB79</f>
        <v>8.0716412240007251E-3</v>
      </c>
      <c r="C77">
        <f>Factors!Z79</f>
        <v>5.9088255108915355E-2</v>
      </c>
      <c r="D77">
        <f>Factors!J79</f>
        <v>8.7067818642223571E-3</v>
      </c>
      <c r="E77">
        <f>Factors!N79 - Factors!D79</f>
        <v>1.1980317161827569E-2</v>
      </c>
      <c r="F77">
        <f>Factors!E79</f>
        <v>1.6093982852760647E-4</v>
      </c>
      <c r="H77" cm="1">
        <f t="array" ref="H77">TREND(B41:B76, C41:F76, C77:F77, TRUE)</f>
        <v>1.019758893130665E-2</v>
      </c>
      <c r="I77">
        <f t="shared" si="3"/>
        <v>-2.1259477073059252E-3</v>
      </c>
      <c r="J77">
        <f t="shared" si="4"/>
        <v>-2.1259477073059252E-3</v>
      </c>
      <c r="K77">
        <f t="shared" si="5"/>
        <v>8.0716412240007251E-3</v>
      </c>
    </row>
    <row r="78" spans="1:11" x14ac:dyDescent="0.2">
      <c r="A78" s="3">
        <f>Data!A78</f>
        <v>40329</v>
      </c>
      <c r="B78">
        <f>Data!E78 - Factors!AB80</f>
        <v>-1.5987796100666807E-2</v>
      </c>
      <c r="C78">
        <f>Factors!Z80</f>
        <v>3.161073085502486E-2</v>
      </c>
      <c r="D78">
        <f>Factors!J80</f>
        <v>-2.299986753860217E-2</v>
      </c>
      <c r="E78">
        <f>Factors!N80 - Factors!D80</f>
        <v>-4.3620988778093395E-2</v>
      </c>
      <c r="F78">
        <f>Factors!E80</f>
        <v>-1.5631174258776026E-2</v>
      </c>
      <c r="H78" cm="1">
        <f t="array" ref="H78">TREND(B42:B77, C42:F77, C78:F78, TRUE)</f>
        <v>-1.303269603881288E-3</v>
      </c>
      <c r="I78">
        <f t="shared" si="3"/>
        <v>-1.4684526496785519E-2</v>
      </c>
      <c r="J78">
        <f t="shared" si="4"/>
        <v>-1.4684526496785519E-2</v>
      </c>
      <c r="K78">
        <f t="shared" si="5"/>
        <v>-1.5987796100666807E-2</v>
      </c>
    </row>
    <row r="79" spans="1:11" x14ac:dyDescent="0.2">
      <c r="A79" s="3">
        <f>Data!A79</f>
        <v>40359</v>
      </c>
      <c r="B79">
        <f>Data!E79 - Factors!AB81</f>
        <v>-1.2637729322501068E-3</v>
      </c>
      <c r="C79">
        <f>Factors!Z81</f>
        <v>2.1442078434596779E-2</v>
      </c>
      <c r="D79">
        <f>Factors!J81</f>
        <v>-1.0224874718030352E-2</v>
      </c>
      <c r="E79">
        <f>Factors!N81 - Factors!D81</f>
        <v>-2.6433562101859653E-3</v>
      </c>
      <c r="F79">
        <f>Factors!E81</f>
        <v>1.5316525078149956E-2</v>
      </c>
      <c r="H79" cm="1">
        <f t="array" ref="H79">TREND(B43:B78, C43:F78, C79:F79, TRUE)</f>
        <v>5.4278389312957358E-5</v>
      </c>
      <c r="I79">
        <f t="shared" si="3"/>
        <v>-1.3180513215630641E-3</v>
      </c>
      <c r="J79">
        <f t="shared" si="4"/>
        <v>-1.3180513215630641E-3</v>
      </c>
      <c r="K79">
        <f t="shared" si="5"/>
        <v>-1.2637729322501068E-3</v>
      </c>
    </row>
    <row r="80" spans="1:11" x14ac:dyDescent="0.2">
      <c r="A80" s="3">
        <f>Data!A80</f>
        <v>40389</v>
      </c>
      <c r="B80">
        <f>Data!E80 - Factors!AB82</f>
        <v>-8.3186414711855505E-4</v>
      </c>
      <c r="C80">
        <f>Factors!Z82</f>
        <v>-4.9405173940340386E-2</v>
      </c>
      <c r="D80">
        <f>Factors!J82</f>
        <v>6.445471881599607E-3</v>
      </c>
      <c r="E80">
        <f>Factors!N82 - Factors!D82</f>
        <v>2.3982218439034808E-2</v>
      </c>
      <c r="F80">
        <f>Factors!E82</f>
        <v>3.3979924936982098E-2</v>
      </c>
      <c r="H80" cm="1">
        <f t="array" ref="H80">TREND(B44:B79, C44:F79, C80:F80, TRUE)</f>
        <v>2.6145720804736121E-3</v>
      </c>
      <c r="I80">
        <f t="shared" si="3"/>
        <v>-3.4464362275921671E-3</v>
      </c>
      <c r="J80">
        <f t="shared" si="4"/>
        <v>-3.4464362275921671E-3</v>
      </c>
      <c r="K80">
        <f t="shared" si="5"/>
        <v>-8.3186414711855505E-4</v>
      </c>
    </row>
    <row r="81" spans="1:11" x14ac:dyDescent="0.2">
      <c r="A81" s="3">
        <f>Data!A81</f>
        <v>40421</v>
      </c>
      <c r="B81">
        <f>Data!E81 - Factors!AB83</f>
        <v>1.6786382415671763E-2</v>
      </c>
      <c r="C81">
        <f>Factors!Z83</f>
        <v>5.6223539373412512E-2</v>
      </c>
      <c r="D81">
        <f>Factors!J83</f>
        <v>1.4777954820992534E-3</v>
      </c>
      <c r="E81">
        <f>Factors!N83 - Factors!D83</f>
        <v>-1.1303502662725951E-2</v>
      </c>
      <c r="F81">
        <f>Factors!E83</f>
        <v>1.3917460987834307E-2</v>
      </c>
      <c r="H81" cm="1">
        <f t="array" ref="H81">TREND(B45:B80, C45:F80, C81:F81, TRUE)</f>
        <v>1.0560950092005974E-2</v>
      </c>
      <c r="I81">
        <f t="shared" si="3"/>
        <v>6.2254323236657898E-3</v>
      </c>
      <c r="J81">
        <f t="shared" si="4"/>
        <v>6.2254323236657898E-3</v>
      </c>
      <c r="K81">
        <f t="shared" si="5"/>
        <v>1.6786382415671763E-2</v>
      </c>
    </row>
    <row r="82" spans="1:11" x14ac:dyDescent="0.2">
      <c r="A82" s="3">
        <f>Data!A82</f>
        <v>40451</v>
      </c>
      <c r="B82">
        <f>Data!E82 - Factors!AB84</f>
        <v>2.7248533923662999E-2</v>
      </c>
      <c r="C82">
        <f>Factors!Z84</f>
        <v>4.9013949013948954E-2</v>
      </c>
      <c r="D82">
        <f>Factors!J84</f>
        <v>1.9913805509131688E-2</v>
      </c>
      <c r="E82">
        <f>Factors!N84 - Factors!D84</f>
        <v>2.8624052892356699E-2</v>
      </c>
      <c r="F82">
        <f>Factors!E84</f>
        <v>2.3467549167782931E-2</v>
      </c>
      <c r="H82" cm="1">
        <f t="array" ref="H82">TREND(B46:B81, C46:F81, C82:F82, TRUE)</f>
        <v>1.5120776627061235E-2</v>
      </c>
      <c r="I82">
        <f t="shared" si="3"/>
        <v>1.2127757296601763E-2</v>
      </c>
      <c r="J82">
        <f t="shared" si="4"/>
        <v>1.2127757296601763E-2</v>
      </c>
      <c r="K82">
        <f t="shared" si="5"/>
        <v>2.7248533923662999E-2</v>
      </c>
    </row>
    <row r="83" spans="1:11" x14ac:dyDescent="0.2">
      <c r="A83" s="3">
        <f>Data!A83</f>
        <v>40480</v>
      </c>
      <c r="B83">
        <f>Data!E83 - Factors!AB85</f>
        <v>2.2203811201051193E-2</v>
      </c>
      <c r="C83">
        <f>Factors!Z85</f>
        <v>3.8867745731884451E-2</v>
      </c>
      <c r="D83">
        <f>Factors!J85</f>
        <v>1.387358691908358E-2</v>
      </c>
      <c r="E83">
        <f>Factors!N85 - Factors!D85</f>
        <v>2.0692179901905972E-2</v>
      </c>
      <c r="F83">
        <f>Factors!E85</f>
        <v>1.2557337629727217E-2</v>
      </c>
      <c r="H83" cm="1">
        <f t="array" ref="H83">TREND(B47:B82, C47:F82, C83:F83, TRUE)</f>
        <v>1.1430963888453324E-2</v>
      </c>
      <c r="I83">
        <f t="shared" si="3"/>
        <v>1.077284731259787E-2</v>
      </c>
      <c r="J83">
        <f t="shared" si="4"/>
        <v>1.077284731259787E-2</v>
      </c>
      <c r="K83">
        <f t="shared" si="5"/>
        <v>2.2203811201051193E-2</v>
      </c>
    </row>
    <row r="84" spans="1:11" x14ac:dyDescent="0.2">
      <c r="A84" s="3">
        <f>Data!A84</f>
        <v>40512</v>
      </c>
      <c r="B84">
        <f>Data!E84 - Factors!AB86</f>
        <v>-9.2671775500139386E-3</v>
      </c>
      <c r="C84">
        <f>Factors!Z86</f>
        <v>1.9729292334853543E-2</v>
      </c>
      <c r="D84">
        <f>Factors!J86</f>
        <v>-1.8671455939112125E-4</v>
      </c>
      <c r="E84">
        <f>Factors!N86 - Factors!D86</f>
        <v>-5.408911383882109E-3</v>
      </c>
      <c r="F84">
        <f>Factors!E86</f>
        <v>-3.8066778306476645E-2</v>
      </c>
      <c r="H84" cm="1">
        <f t="array" ref="H84">TREND(B48:B83, C48:F83, C84:F84, TRUE)</f>
        <v>9.9660703684273247E-4</v>
      </c>
      <c r="I84">
        <f t="shared" si="3"/>
        <v>-1.0263784586856671E-2</v>
      </c>
      <c r="J84">
        <f t="shared" si="4"/>
        <v>-1.0263784586856671E-2</v>
      </c>
      <c r="K84">
        <f t="shared" si="5"/>
        <v>-9.2671775500139386E-3</v>
      </c>
    </row>
    <row r="85" spans="1:11" x14ac:dyDescent="0.2">
      <c r="A85" s="3">
        <f>Data!A85</f>
        <v>40543</v>
      </c>
      <c r="B85">
        <f>Data!E85 - Factors!AB87</f>
        <v>3.3187395288934551E-2</v>
      </c>
      <c r="C85">
        <f>Factors!Z87</f>
        <v>2.5378367070162167E-2</v>
      </c>
      <c r="D85">
        <f>Factors!J87</f>
        <v>2.1734780853239322E-2</v>
      </c>
      <c r="E85">
        <f>Factors!N87 - Factors!D87</f>
        <v>2.8391764688765142E-2</v>
      </c>
      <c r="F85">
        <f>Factors!E87</f>
        <v>1.3058653730044556E-2</v>
      </c>
      <c r="H85" cm="1">
        <f t="array" ref="H85">TREND(B49:B84, C49:F84, C85:F85, TRUE)</f>
        <v>1.4522652943368426E-2</v>
      </c>
      <c r="I85">
        <f t="shared" si="3"/>
        <v>1.8664742345566126E-2</v>
      </c>
      <c r="J85">
        <f t="shared" si="4"/>
        <v>1.8664742345566126E-2</v>
      </c>
      <c r="K85">
        <f t="shared" si="5"/>
        <v>3.3187395288934551E-2</v>
      </c>
    </row>
    <row r="86" spans="1:11" x14ac:dyDescent="0.2">
      <c r="A86" s="3">
        <f>Data!A86</f>
        <v>40574</v>
      </c>
      <c r="B86">
        <f>Data!E86 - Factors!AB88</f>
        <v>-7.2646312546593705E-3</v>
      </c>
      <c r="C86">
        <f>Factors!Z88</f>
        <v>-6.2424370339102309E-2</v>
      </c>
      <c r="D86">
        <f>Factors!J88</f>
        <v>2.5613937636308481E-3</v>
      </c>
      <c r="E86">
        <f>Factors!N88 - Factors!D88</f>
        <v>1.9860562387547631E-2</v>
      </c>
      <c r="F86">
        <f>Factors!E88</f>
        <v>1.7997827962523694E-3</v>
      </c>
      <c r="H86" cm="1">
        <f t="array" ref="H86">TREND(B50:B85, C50:F85, C86:F86, TRUE)</f>
        <v>3.1360249910987979E-5</v>
      </c>
      <c r="I86">
        <f t="shared" si="3"/>
        <v>-7.2959915045703585E-3</v>
      </c>
      <c r="J86">
        <f t="shared" si="4"/>
        <v>-7.2959915045703585E-3</v>
      </c>
      <c r="K86">
        <f t="shared" si="5"/>
        <v>-7.2646312546593705E-3</v>
      </c>
    </row>
    <row r="87" spans="1:11" x14ac:dyDescent="0.2">
      <c r="A87" s="3">
        <f>Data!A87</f>
        <v>40602</v>
      </c>
      <c r="B87">
        <f>Data!E87 - Factors!AB89</f>
        <v>1.2596517393219875E-2</v>
      </c>
      <c r="C87">
        <f>Factors!Z89</f>
        <v>5.9024364621399039E-2</v>
      </c>
      <c r="D87">
        <f>Factors!J89</f>
        <v>8.9363873758778745E-3</v>
      </c>
      <c r="E87">
        <f>Factors!N89 - Factors!D89</f>
        <v>1.08682542015206E-2</v>
      </c>
      <c r="F87">
        <f>Factors!E89</f>
        <v>5.8872994581078419E-3</v>
      </c>
      <c r="H87" cm="1">
        <f t="array" ref="H87">TREND(B51:B86, C51:F86, C87:F87, TRUE)</f>
        <v>1.1345032312843398E-2</v>
      </c>
      <c r="I87">
        <f t="shared" si="3"/>
        <v>1.2514850803764764E-3</v>
      </c>
      <c r="J87">
        <f t="shared" si="4"/>
        <v>1.2514850803764764E-3</v>
      </c>
      <c r="K87">
        <f t="shared" si="5"/>
        <v>1.2596517393219875E-2</v>
      </c>
    </row>
    <row r="88" spans="1:11" x14ac:dyDescent="0.2">
      <c r="A88" s="3">
        <f>Data!A88</f>
        <v>40633</v>
      </c>
      <c r="B88">
        <f>Data!E88 - Factors!AB90</f>
        <v>-1.1061941426263378E-2</v>
      </c>
      <c r="C88">
        <f>Factors!Z90</f>
        <v>1.478746997513003E-2</v>
      </c>
      <c r="D88">
        <f>Factors!J90</f>
        <v>-6.9007107654817101E-4</v>
      </c>
      <c r="E88">
        <f>Factors!N90 - Factors!D90</f>
        <v>3.6489181284420358E-3</v>
      </c>
      <c r="F88">
        <f>Factors!E90</f>
        <v>4.7096391412388972E-3</v>
      </c>
      <c r="H88" cm="1">
        <f t="array" ref="H88">TREND(B52:B87, C52:F87, C88:F88, TRUE)</f>
        <v>3.9317742609145147E-3</v>
      </c>
      <c r="I88">
        <f t="shared" si="3"/>
        <v>-1.4993715687177892E-2</v>
      </c>
      <c r="J88">
        <f t="shared" si="4"/>
        <v>-1.4993715687177892E-2</v>
      </c>
      <c r="K88">
        <f t="shared" si="5"/>
        <v>-1.1061941426263378E-2</v>
      </c>
    </row>
    <row r="89" spans="1:11" x14ac:dyDescent="0.2">
      <c r="A89" s="3">
        <f>Data!A89</f>
        <v>40662</v>
      </c>
      <c r="B89">
        <f>Data!E89 - Factors!AB91</f>
        <v>2.3604093954620486E-2</v>
      </c>
      <c r="C89">
        <f>Factors!Z91</f>
        <v>9.1816785365172349E-2</v>
      </c>
      <c r="D89">
        <f>Factors!J91</f>
        <v>1.1135294881996716E-2</v>
      </c>
      <c r="E89">
        <f>Factors!N91 - Factors!D91</f>
        <v>2.5056415991357994E-3</v>
      </c>
      <c r="F89">
        <f>Factors!E91</f>
        <v>3.0995329723658704E-2</v>
      </c>
      <c r="H89" cm="1">
        <f t="array" ref="H89">TREND(B53:B88, C53:F88, C89:F89, TRUE)</f>
        <v>1.7884122532582914E-2</v>
      </c>
      <c r="I89">
        <f t="shared" si="3"/>
        <v>5.7199714220375723E-3</v>
      </c>
      <c r="J89">
        <f t="shared" si="4"/>
        <v>5.7199714220375723E-3</v>
      </c>
      <c r="K89">
        <f t="shared" si="5"/>
        <v>2.3604093954620486E-2</v>
      </c>
    </row>
    <row r="90" spans="1:11" x14ac:dyDescent="0.2">
      <c r="A90" s="3">
        <f>Data!A90</f>
        <v>40694</v>
      </c>
      <c r="B90">
        <f>Data!E90 - Factors!AB92</f>
        <v>-2.3066998018216212E-2</v>
      </c>
      <c r="C90">
        <f>Factors!Z92</f>
        <v>-1.789345782439089E-2</v>
      </c>
      <c r="D90">
        <f>Factors!J92</f>
        <v>-9.876820707390932E-3</v>
      </c>
      <c r="E90">
        <f>Factors!N92 - Factors!D92</f>
        <v>-8.1599753983612189E-3</v>
      </c>
      <c r="F90">
        <f>Factors!E92</f>
        <v>-7.8462186459959948E-4</v>
      </c>
      <c r="H90" cm="1">
        <f t="array" ref="H90">TREND(B54:B89, C54:F89, C90:F90, TRUE)</f>
        <v>-1.6768077839575662E-3</v>
      </c>
      <c r="I90">
        <f t="shared" si="3"/>
        <v>-2.1390190234258644E-2</v>
      </c>
      <c r="J90">
        <f t="shared" si="4"/>
        <v>-2.1390190234258644E-2</v>
      </c>
      <c r="K90">
        <f t="shared" si="5"/>
        <v>-2.3066998018216212E-2</v>
      </c>
    </row>
    <row r="91" spans="1:11" x14ac:dyDescent="0.2">
      <c r="A91" s="3">
        <f>Data!A91</f>
        <v>40724</v>
      </c>
      <c r="B91">
        <f>Data!E91 - Factors!AB93</f>
        <v>-1.7460618278639317E-2</v>
      </c>
      <c r="C91">
        <f>Factors!Z93</f>
        <v>-2.3148751074414609E-2</v>
      </c>
      <c r="D91">
        <f>Factors!J93</f>
        <v>-1.2971422260582011E-2</v>
      </c>
      <c r="E91">
        <f>Factors!N93 - Factors!D93</f>
        <v>-7.1170361838089891E-3</v>
      </c>
      <c r="F91">
        <f>Factors!E93</f>
        <v>7.5848138648137997E-4</v>
      </c>
      <c r="H91" cm="1">
        <f t="array" ref="H91">TREND(B55:B90, C55:F90, C91:F91, TRUE)</f>
        <v>-4.4159250534150686E-3</v>
      </c>
      <c r="I91">
        <f t="shared" si="3"/>
        <v>-1.3044693225224249E-2</v>
      </c>
      <c r="J91">
        <f t="shared" si="4"/>
        <v>-1.3044693225224249E-2</v>
      </c>
      <c r="K91">
        <f t="shared" si="5"/>
        <v>-1.7460618278639317E-2</v>
      </c>
    </row>
    <row r="92" spans="1:11" x14ac:dyDescent="0.2">
      <c r="A92" s="3">
        <f>Data!A92</f>
        <v>40753</v>
      </c>
      <c r="B92">
        <f>Data!E92 - Factors!AB94</f>
        <v>1.6608689013653533E-2</v>
      </c>
      <c r="C92">
        <f>Factors!Z94</f>
        <v>8.4577081264123333E-2</v>
      </c>
      <c r="D92">
        <f>Factors!J94</f>
        <v>3.4010100506687291E-3</v>
      </c>
      <c r="E92">
        <f>Factors!N94 - Factors!D94</f>
        <v>-3.5134893072694684E-3</v>
      </c>
      <c r="F92">
        <f>Factors!E94</f>
        <v>2.0641793888848792E-2</v>
      </c>
      <c r="H92" cm="1">
        <f t="array" ref="H92">TREND(B56:B91, C56:F91, C92:F92, TRUE)</f>
        <v>1.2395025358269914E-2</v>
      </c>
      <c r="I92">
        <f t="shared" si="3"/>
        <v>4.2136636553836183E-3</v>
      </c>
      <c r="J92">
        <f t="shared" si="4"/>
        <v>4.2136636553836183E-3</v>
      </c>
      <c r="K92">
        <f t="shared" si="5"/>
        <v>1.6608689013653533E-2</v>
      </c>
    </row>
    <row r="93" spans="1:11" x14ac:dyDescent="0.2">
      <c r="A93" s="3">
        <f>Data!A93</f>
        <v>40786</v>
      </c>
      <c r="B93">
        <f>Data!E93 - Factors!AB95</f>
        <v>-5.2164075416469835E-3</v>
      </c>
      <c r="C93">
        <f>Factors!Z95</f>
        <v>0.12199993853907376</v>
      </c>
      <c r="D93">
        <f>Factors!J95</f>
        <v>-2.4465804041879369E-2</v>
      </c>
      <c r="E93">
        <f>Factors!N95 - Factors!D95</f>
        <v>-5.4681116864943036E-2</v>
      </c>
      <c r="F93">
        <f>Factors!E95</f>
        <v>1.2718624953519386E-2</v>
      </c>
      <c r="H93" cm="1">
        <f t="array" ref="H93">TREND(B57:B92, C57:F92, C93:F93, TRUE)</f>
        <v>6.9115768377453254E-3</v>
      </c>
      <c r="I93">
        <f t="shared" si="3"/>
        <v>-1.2127984379392309E-2</v>
      </c>
      <c r="J93">
        <f t="shared" si="4"/>
        <v>-1.2127984379392309E-2</v>
      </c>
      <c r="K93">
        <f t="shared" si="5"/>
        <v>-5.2164075416469835E-3</v>
      </c>
    </row>
    <row r="94" spans="1:11" x14ac:dyDescent="0.2">
      <c r="A94" s="3">
        <f>Data!A94</f>
        <v>40816</v>
      </c>
      <c r="B94">
        <f>Data!E94 - Factors!AB96</f>
        <v>-1.2433538373822772E-2</v>
      </c>
      <c r="C94">
        <f>Factors!Z96</f>
        <v>-0.11052011722494592</v>
      </c>
      <c r="D94">
        <f>Factors!J96</f>
        <v>-2.2738241229829148E-2</v>
      </c>
      <c r="E94">
        <f>Factors!N96 - Factors!D96</f>
        <v>-4.3221799270831252E-2</v>
      </c>
      <c r="F94">
        <f>Factors!E96</f>
        <v>-2.3107205887413995E-2</v>
      </c>
      <c r="H94" cm="1">
        <f t="array" ref="H94">TREND(B58:B93, C58:F93, C94:F94, TRUE)</f>
        <v>-1.1658633334172191E-2</v>
      </c>
      <c r="I94">
        <f t="shared" si="3"/>
        <v>-7.7490503965058077E-4</v>
      </c>
      <c r="J94">
        <f t="shared" si="4"/>
        <v>-7.7490503965058077E-4</v>
      </c>
      <c r="K94">
        <f t="shared" si="5"/>
        <v>-1.2433538373822772E-2</v>
      </c>
    </row>
    <row r="95" spans="1:11" x14ac:dyDescent="0.2">
      <c r="A95" s="3">
        <f>Data!A95</f>
        <v>40847</v>
      </c>
      <c r="B95">
        <f>Data!E95 - Factors!AB97</f>
        <v>-9.2932404149276282E-3</v>
      </c>
      <c r="C95">
        <f>Factors!Z97</f>
        <v>5.5986303647639124E-2</v>
      </c>
      <c r="D95">
        <f>Factors!J97</f>
        <v>7.5684685760968318E-3</v>
      </c>
      <c r="E95">
        <f>Factors!N97 - Factors!D97</f>
        <v>5.8483067583956938E-2</v>
      </c>
      <c r="F95">
        <f>Factors!E97</f>
        <v>1.3311028609062525E-2</v>
      </c>
      <c r="H95" cm="1">
        <f t="array" ref="H95">TREND(B59:B94, C59:F94, C95:F95, TRUE)</f>
        <v>5.556866463157571E-4</v>
      </c>
      <c r="I95">
        <f t="shared" si="3"/>
        <v>-9.8489270612433857E-3</v>
      </c>
      <c r="J95">
        <f t="shared" si="4"/>
        <v>-9.8489270612433857E-3</v>
      </c>
      <c r="K95">
        <f t="shared" si="5"/>
        <v>-9.2932404149276282E-3</v>
      </c>
    </row>
    <row r="96" spans="1:11" x14ac:dyDescent="0.2">
      <c r="A96" s="3">
        <f>Data!A96</f>
        <v>40877</v>
      </c>
      <c r="B96">
        <f>Data!E96 - Factors!AB98</f>
        <v>-6.527056965234701E-3</v>
      </c>
      <c r="C96">
        <f>Factors!Z98</f>
        <v>1.8458039307167384E-2</v>
      </c>
      <c r="D96">
        <f>Factors!J98</f>
        <v>-8.4087184938023141E-3</v>
      </c>
      <c r="E96">
        <f>Factors!N98 - Factors!D98</f>
        <v>-2.1247847558473532E-2</v>
      </c>
      <c r="F96">
        <f>Factors!E98</f>
        <v>-1.7451268054763491E-2</v>
      </c>
      <c r="H96" cm="1">
        <f t="array" ref="H96">TREND(B60:B95, C60:F95, C96:F96, TRUE)</f>
        <v>-8.7674004604400089E-3</v>
      </c>
      <c r="I96">
        <f t="shared" si="3"/>
        <v>2.2403434952053079E-3</v>
      </c>
      <c r="J96">
        <f t="shared" si="4"/>
        <v>2.2403434952053079E-3</v>
      </c>
      <c r="K96">
        <f t="shared" si="5"/>
        <v>-6.527056965234701E-3</v>
      </c>
    </row>
    <row r="97" spans="1:11" x14ac:dyDescent="0.2">
      <c r="A97" s="3">
        <f>Data!A97</f>
        <v>40907</v>
      </c>
      <c r="B97">
        <f>Data!E97 - Factors!AB99</f>
        <v>-2.4774665427476084E-3</v>
      </c>
      <c r="C97">
        <f>Factors!Z99</f>
        <v>-0.10389669882898611</v>
      </c>
      <c r="D97">
        <f>Factors!J99</f>
        <v>-4.9091743503163476E-3</v>
      </c>
      <c r="E97">
        <f>Factors!N99 - Factors!D99</f>
        <v>1.3795934670993049E-2</v>
      </c>
      <c r="F97">
        <f>Factors!E99</f>
        <v>6.7433421328839671E-3</v>
      </c>
      <c r="H97" cm="1">
        <f t="array" ref="H97">TREND(B61:B96, C61:F96, C97:F97, TRUE)</f>
        <v>-1.5660712916346398E-2</v>
      </c>
      <c r="I97">
        <f t="shared" si="3"/>
        <v>1.318324637359879E-2</v>
      </c>
      <c r="J97">
        <f t="shared" si="4"/>
        <v>1.318324637359879E-2</v>
      </c>
      <c r="K97">
        <f t="shared" si="5"/>
        <v>-2.4774665427476084E-3</v>
      </c>
    </row>
    <row r="98" spans="1:11" x14ac:dyDescent="0.2">
      <c r="A98" s="3">
        <f>Data!A98</f>
        <v>40939</v>
      </c>
      <c r="B98">
        <f>Data!E98 - Factors!AB100</f>
        <v>1.2674140364055342E-2</v>
      </c>
      <c r="C98">
        <f>Factors!Z100</f>
        <v>0.1104536363113533</v>
      </c>
      <c r="D98">
        <f>Factors!J100</f>
        <v>1.57456894257475E-2</v>
      </c>
      <c r="E98">
        <f>Factors!N100 - Factors!D100</f>
        <v>2.0248602123550175E-2</v>
      </c>
      <c r="F98">
        <f>Factors!E100</f>
        <v>1.6737375833606016E-2</v>
      </c>
      <c r="H98" cm="1">
        <f t="array" ref="H98">TREND(B62:B97, C62:F97, C98:F98, TRUE)</f>
        <v>2.226274355352096E-2</v>
      </c>
      <c r="I98">
        <f t="shared" si="3"/>
        <v>-9.5886031894656179E-3</v>
      </c>
      <c r="J98">
        <f t="shared" si="4"/>
        <v>-9.5886031894656179E-3</v>
      </c>
      <c r="K98">
        <f t="shared" si="5"/>
        <v>1.2674140364055342E-2</v>
      </c>
    </row>
    <row r="99" spans="1:11" x14ac:dyDescent="0.2">
      <c r="A99" s="3">
        <f>Data!A99</f>
        <v>40968</v>
      </c>
      <c r="B99">
        <f>Data!E99 - Factors!AB101</f>
        <v>7.894786998136949E-3</v>
      </c>
      <c r="C99">
        <f>Factors!Z101</f>
        <v>-2.3593591750299181E-2</v>
      </c>
      <c r="D99">
        <f>Factors!J101</f>
        <v>1.3200955980328555E-2</v>
      </c>
      <c r="E99">
        <f>Factors!N101 - Factors!D101</f>
        <v>2.3014817999653325E-2</v>
      </c>
      <c r="F99">
        <f>Factors!E101</f>
        <v>-6.8014883567724116E-4</v>
      </c>
      <c r="H99" cm="1">
        <f t="array" ref="H99">TREND(B63:B98, C63:F98, C99:F99, TRUE)</f>
        <v>7.7831360525393708E-3</v>
      </c>
      <c r="I99">
        <f t="shared" si="3"/>
        <v>1.1165094559757813E-4</v>
      </c>
      <c r="J99">
        <f t="shared" si="4"/>
        <v>1.1165094559757813E-4</v>
      </c>
      <c r="K99">
        <f t="shared" si="5"/>
        <v>7.894786998136949E-3</v>
      </c>
    </row>
    <row r="100" spans="1:11" x14ac:dyDescent="0.2">
      <c r="A100" s="3">
        <f>Data!A100</f>
        <v>40998</v>
      </c>
      <c r="B100">
        <f>Data!E100 - Factors!AB102</f>
        <v>-1.3289784139097427E-2</v>
      </c>
      <c r="C100">
        <f>Factors!Z102</f>
        <v>-1.6861547891275031E-2</v>
      </c>
      <c r="D100">
        <f>Factors!J102</f>
        <v>1.3742676150236832E-3</v>
      </c>
      <c r="E100">
        <f>Factors!N102 - Factors!D102</f>
        <v>4.5436507331165776E-3</v>
      </c>
      <c r="F100">
        <f>Factors!E102</f>
        <v>-7.2007357393220062E-3</v>
      </c>
      <c r="H100" cm="1">
        <f t="array" ref="H100">TREND(B64:B99, C64:F99, C100:F100, TRUE)</f>
        <v>-2.3085677027311876E-3</v>
      </c>
      <c r="I100">
        <f t="shared" si="3"/>
        <v>-1.098121643636624E-2</v>
      </c>
      <c r="J100">
        <f t="shared" si="4"/>
        <v>-1.098121643636624E-2</v>
      </c>
      <c r="K100">
        <f t="shared" si="5"/>
        <v>-1.3289784139097427E-2</v>
      </c>
    </row>
    <row r="101" spans="1:11" x14ac:dyDescent="0.2">
      <c r="A101" s="3">
        <f>Data!A101</f>
        <v>41029</v>
      </c>
      <c r="B101">
        <f>Data!E101 - Factors!AB103</f>
        <v>-5.8454730776176245E-3</v>
      </c>
      <c r="C101">
        <f>Factors!Z103</f>
        <v>-2.0381860144471631E-3</v>
      </c>
      <c r="D101">
        <f>Factors!J103</f>
        <v>-2.8145952957865372E-3</v>
      </c>
      <c r="E101">
        <f>Factors!N103 - Factors!D103</f>
        <v>-8.6388088692923581E-4</v>
      </c>
      <c r="F101">
        <f>Factors!E103</f>
        <v>1.18003507858504E-2</v>
      </c>
      <c r="H101" cm="1">
        <f t="array" ref="H101">TREND(B65:B100, C65:F100, C101:F101, TRUE)</f>
        <v>-1.7988351747618787E-3</v>
      </c>
      <c r="I101">
        <f t="shared" si="3"/>
        <v>-4.0466379028557455E-3</v>
      </c>
      <c r="J101">
        <f t="shared" si="4"/>
        <v>-4.0466379028557455E-3</v>
      </c>
      <c r="K101">
        <f t="shared" si="5"/>
        <v>-5.8454730776176245E-3</v>
      </c>
    </row>
    <row r="102" spans="1:11" x14ac:dyDescent="0.2">
      <c r="A102" s="3">
        <f>Data!A102</f>
        <v>41060</v>
      </c>
      <c r="B102">
        <f>Data!E102 - Factors!AB104</f>
        <v>3.9323302788962788E-3</v>
      </c>
      <c r="C102">
        <f>Factors!Z104</f>
        <v>-6.2616008409671076E-2</v>
      </c>
      <c r="D102">
        <f>Factors!J104</f>
        <v>-1.1900829122259204E-2</v>
      </c>
      <c r="E102">
        <f>Factors!N104 - Factors!D104</f>
        <v>-2.1120801506882003E-2</v>
      </c>
      <c r="F102">
        <f>Factors!E104</f>
        <v>-1.0265945522908937E-2</v>
      </c>
      <c r="H102" cm="1">
        <f t="array" ref="H102">TREND(B66:B101, C66:F101, C102:F102, TRUE)</f>
        <v>-1.4168484161172199E-2</v>
      </c>
      <c r="I102">
        <f t="shared" ref="I102:I121" si="6">B102 - H102</f>
        <v>1.8100814440068478E-2</v>
      </c>
      <c r="J102">
        <f t="shared" ref="J102:J121" si="7">IF(OR(YEAR(A102)=2008, YEAR(A102)=2009), "", I102)</f>
        <v>1.8100814440068478E-2</v>
      </c>
      <c r="K102">
        <f t="shared" ref="K102:K121" si="8">IF(OR(YEAR(A102)=2008, YEAR(A102)=2009), "", B102)</f>
        <v>3.9323302788962788E-3</v>
      </c>
    </row>
    <row r="103" spans="1:11" x14ac:dyDescent="0.2">
      <c r="A103" s="3">
        <f>Data!A103</f>
        <v>41089</v>
      </c>
      <c r="B103">
        <f>Data!E103 - Factors!AB105</f>
        <v>-1.4253780032522867E-2</v>
      </c>
      <c r="C103">
        <f>Factors!Z105</f>
        <v>2.3671748338684129E-2</v>
      </c>
      <c r="D103">
        <f>Factors!J105</f>
        <v>-4.0606946280623557E-3</v>
      </c>
      <c r="E103">
        <f>Factors!N105 - Factors!D105</f>
        <v>1.9945433562910786E-2</v>
      </c>
      <c r="F103">
        <f>Factors!E105</f>
        <v>4.7798759421848747E-3</v>
      </c>
      <c r="H103" cm="1">
        <f t="array" ref="H103">TREND(B67:B102, C67:F102, C103:F103, TRUE)</f>
        <v>-1.2839549630646284E-2</v>
      </c>
      <c r="I103">
        <f t="shared" si="6"/>
        <v>-1.4142304018765831E-3</v>
      </c>
      <c r="J103">
        <f t="shared" si="7"/>
        <v>-1.4142304018765831E-3</v>
      </c>
      <c r="K103">
        <f t="shared" si="8"/>
        <v>-1.4253780032522867E-2</v>
      </c>
    </row>
    <row r="104" spans="1:11" x14ac:dyDescent="0.2">
      <c r="A104" s="3">
        <f>Data!A104</f>
        <v>41121</v>
      </c>
      <c r="B104">
        <f>Data!E104 - Factors!AB106</f>
        <v>2.0036864847239544E-2</v>
      </c>
      <c r="C104">
        <f>Factors!Z106</f>
        <v>1.072334032364064E-2</v>
      </c>
      <c r="D104">
        <f>Factors!J106</f>
        <v>9.0257066089889371E-3</v>
      </c>
      <c r="E104">
        <f>Factors!N106 - Factors!D106</f>
        <v>5.3701592913111273E-3</v>
      </c>
      <c r="F104">
        <f>Factors!E106</f>
        <v>1.1568172439173408E-2</v>
      </c>
      <c r="H104" cm="1">
        <f t="array" ref="H104">TREND(B68:B103, C68:F103, C104:F104, TRUE)</f>
        <v>1.3642461753312561E-2</v>
      </c>
      <c r="I104">
        <f t="shared" si="6"/>
        <v>6.3944030939269824E-3</v>
      </c>
      <c r="J104">
        <f t="shared" si="7"/>
        <v>6.3944030939269824E-3</v>
      </c>
      <c r="K104">
        <f t="shared" si="8"/>
        <v>2.0036864847239544E-2</v>
      </c>
    </row>
    <row r="105" spans="1:11" x14ac:dyDescent="0.2">
      <c r="A105" s="3">
        <f>Data!A105</f>
        <v>41152</v>
      </c>
      <c r="B105">
        <f>Data!E105 - Factors!AB107</f>
        <v>-2.3343535743141075E-3</v>
      </c>
      <c r="C105">
        <f>Factors!Z107</f>
        <v>4.7857647189981201E-2</v>
      </c>
      <c r="D105">
        <f>Factors!J107</f>
        <v>6.6002649942331626E-3</v>
      </c>
      <c r="E105">
        <f>Factors!N107 - Factors!D107</f>
        <v>1.1405056120052048E-2</v>
      </c>
      <c r="F105">
        <f>Factors!E107</f>
        <v>8.6349093936310961E-3</v>
      </c>
      <c r="H105" cm="1">
        <f t="array" ref="H105">TREND(B69:B104, C69:F104, C105:F105, TRUE)</f>
        <v>7.7564255117715999E-3</v>
      </c>
      <c r="I105">
        <f t="shared" si="6"/>
        <v>-1.0090779086085707E-2</v>
      </c>
      <c r="J105">
        <f t="shared" si="7"/>
        <v>-1.0090779086085707E-2</v>
      </c>
      <c r="K105">
        <f t="shared" si="8"/>
        <v>-2.3343535743141075E-3</v>
      </c>
    </row>
    <row r="106" spans="1:11" x14ac:dyDescent="0.2">
      <c r="A106" s="3">
        <f>Data!A106</f>
        <v>41180</v>
      </c>
      <c r="B106">
        <f>Data!E106 - Factors!AB108</f>
        <v>-4.0594287285733444E-4</v>
      </c>
      <c r="C106">
        <f>Factors!Z108</f>
        <v>4.7521943434701619E-2</v>
      </c>
      <c r="D106">
        <f>Factors!J108</f>
        <v>6.5387650685306831E-3</v>
      </c>
      <c r="E106">
        <f>Factors!N108 - Factors!D108</f>
        <v>1.2866596344935699E-2</v>
      </c>
      <c r="F106">
        <f>Factors!E108</f>
        <v>1.2191439057180231E-2</v>
      </c>
      <c r="H106" cm="1">
        <f t="array" ref="H106">TREND(B70:B105, C70:F105, C106:F106, TRUE)</f>
        <v>7.7731080762801236E-3</v>
      </c>
      <c r="I106">
        <f t="shared" si="6"/>
        <v>-8.1790509491374581E-3</v>
      </c>
      <c r="J106">
        <f t="shared" si="7"/>
        <v>-8.1790509491374581E-3</v>
      </c>
      <c r="K106">
        <f t="shared" si="8"/>
        <v>-4.0594287285733444E-4</v>
      </c>
    </row>
    <row r="107" spans="1:11" x14ac:dyDescent="0.2">
      <c r="A107" s="3">
        <f>Data!A107</f>
        <v>41213</v>
      </c>
      <c r="B107">
        <f>Data!E107 - Factors!AB109</f>
        <v>-1.8425307002197577E-2</v>
      </c>
      <c r="C107">
        <f>Factors!Z109</f>
        <v>-2.9115531104528136E-2</v>
      </c>
      <c r="D107">
        <f>Factors!J109</f>
        <v>-2.0813062460760534E-3</v>
      </c>
      <c r="E107">
        <f>Factors!N109 - Factors!D109</f>
        <v>6.2805842146256285E-3</v>
      </c>
      <c r="F107">
        <f>Factors!E109</f>
        <v>-1.4044484880715302E-3</v>
      </c>
      <c r="H107" cm="1">
        <f t="array" ref="H107">TREND(B71:B106, C71:F106, C107:F107, TRUE)</f>
        <v>-5.7512985932907023E-3</v>
      </c>
      <c r="I107">
        <f t="shared" si="6"/>
        <v>-1.2674008408906874E-2</v>
      </c>
      <c r="J107">
        <f t="shared" si="7"/>
        <v>-1.2674008408906874E-2</v>
      </c>
      <c r="K107">
        <f t="shared" si="8"/>
        <v>-1.8425307002197577E-2</v>
      </c>
    </row>
    <row r="108" spans="1:11" x14ac:dyDescent="0.2">
      <c r="A108" s="3">
        <f>Data!A108</f>
        <v>41243</v>
      </c>
      <c r="B108">
        <f>Data!E108 - Factors!AB110</f>
        <v>-7.4883754524490698E-4</v>
      </c>
      <c r="C108">
        <f>Factors!Z110</f>
        <v>-3.3010780809578089E-3</v>
      </c>
      <c r="D108">
        <f>Factors!J110</f>
        <v>4.5185292148639533E-3</v>
      </c>
      <c r="E108">
        <f>Factors!N110 - Factors!D110</f>
        <v>5.8451617760928443E-3</v>
      </c>
      <c r="F108">
        <f>Factors!E110</f>
        <v>-1.0501126144191186E-4</v>
      </c>
      <c r="H108" cm="1">
        <f t="array" ref="H108">TREND(B72:B107, C72:F107, C108:F108, TRUE)</f>
        <v>4.7252885657501856E-3</v>
      </c>
      <c r="I108">
        <f t="shared" si="6"/>
        <v>-5.4741261109950926E-3</v>
      </c>
      <c r="J108">
        <f t="shared" si="7"/>
        <v>-5.4741261109950926E-3</v>
      </c>
      <c r="K108">
        <f t="shared" si="8"/>
        <v>-7.4883754524490698E-4</v>
      </c>
    </row>
    <row r="109" spans="1:11" x14ac:dyDescent="0.2">
      <c r="A109" s="3">
        <f>Data!A109</f>
        <v>41274</v>
      </c>
      <c r="B109">
        <f>Data!E109 - Factors!AB111</f>
        <v>1.0106631164133795E-2</v>
      </c>
      <c r="C109">
        <f>Factors!Z111</f>
        <v>-2.3102444940727884E-2</v>
      </c>
      <c r="D109">
        <f>Factors!J111</f>
        <v>1.1279931639825103E-2</v>
      </c>
      <c r="E109">
        <f>Factors!N111 - Factors!D111</f>
        <v>1.7282381060420682E-2</v>
      </c>
      <c r="F109">
        <f>Factors!E111</f>
        <v>-3.2935503480279182E-3</v>
      </c>
      <c r="H109" cm="1">
        <f t="array" ref="H109">TREND(B73:B108, C73:F108, C109:F109, TRUE)</f>
        <v>8.9646819578969358E-3</v>
      </c>
      <c r="I109">
        <f t="shared" si="6"/>
        <v>1.1419492062368589E-3</v>
      </c>
      <c r="J109">
        <f t="shared" si="7"/>
        <v>1.1419492062368589E-3</v>
      </c>
      <c r="K109">
        <f t="shared" si="8"/>
        <v>1.0106631164133795E-2</v>
      </c>
    </row>
    <row r="110" spans="1:11" x14ac:dyDescent="0.2">
      <c r="A110" s="3">
        <f>Data!A110</f>
        <v>41305</v>
      </c>
      <c r="B110">
        <f>Data!E110 - Factors!AB112</f>
        <v>1.526979061451339E-2</v>
      </c>
      <c r="C110">
        <f>Factors!Z112</f>
        <v>-6.9537708538514043E-3</v>
      </c>
      <c r="D110">
        <f>Factors!J112</f>
        <v>2.0520075697851192E-2</v>
      </c>
      <c r="E110">
        <f>Factors!N112 - Factors!D112</f>
        <v>2.0752070007389767E-2</v>
      </c>
      <c r="F110">
        <f>Factors!E112</f>
        <v>-9.0956693420318757E-3</v>
      </c>
      <c r="H110" cm="1">
        <f t="array" ref="H110">TREND(B74:B109, C74:F109, C110:F110, TRUE)</f>
        <v>2.0111214798094565E-2</v>
      </c>
      <c r="I110">
        <f t="shared" si="6"/>
        <v>-4.841424183581175E-3</v>
      </c>
      <c r="J110">
        <f t="shared" si="7"/>
        <v>-4.841424183581175E-3</v>
      </c>
      <c r="K110">
        <f t="shared" si="8"/>
        <v>1.526979061451339E-2</v>
      </c>
    </row>
    <row r="111" spans="1:11" x14ac:dyDescent="0.2">
      <c r="A111" s="3">
        <f>Data!A111</f>
        <v>41333</v>
      </c>
      <c r="B111">
        <f>Data!E111 - Factors!AB113</f>
        <v>-6.7914589939099823E-3</v>
      </c>
      <c r="C111">
        <f>Factors!Z113</f>
        <v>-5.0543968263509154E-2</v>
      </c>
      <c r="D111">
        <f>Factors!J113</f>
        <v>2.6238727119396454E-3</v>
      </c>
      <c r="E111">
        <f>Factors!N113 - Factors!D113</f>
        <v>-3.8462083704327021E-4</v>
      </c>
      <c r="F111">
        <f>Factors!E113</f>
        <v>-9.4749964049156699E-3</v>
      </c>
      <c r="H111" cm="1">
        <f t="array" ref="H111">TREND(B75:B110, C75:F110, C111:F111, TRUE)</f>
        <v>2.8536816654639863E-3</v>
      </c>
      <c r="I111">
        <f t="shared" si="6"/>
        <v>-9.6451406593739686E-3</v>
      </c>
      <c r="J111">
        <f t="shared" si="7"/>
        <v>-9.6451406593739686E-3</v>
      </c>
      <c r="K111">
        <f t="shared" si="8"/>
        <v>-6.7914589939099823E-3</v>
      </c>
    </row>
    <row r="112" spans="1:11" x14ac:dyDescent="0.2">
      <c r="A112" s="3">
        <f>Data!A112</f>
        <v>41362</v>
      </c>
      <c r="B112">
        <f>Data!E112 - Factors!AB114</f>
        <v>3.9177536223049536E-3</v>
      </c>
      <c r="C112">
        <f>Factors!Z114</f>
        <v>1.1325580364773602E-2</v>
      </c>
      <c r="D112">
        <f>Factors!J114</f>
        <v>9.3186486452792039E-3</v>
      </c>
      <c r="E112">
        <f>Factors!N114 - Factors!D114</f>
        <v>9.5074448476391016E-3</v>
      </c>
      <c r="F112">
        <f>Factors!E114</f>
        <v>-2.5395383047209785E-3</v>
      </c>
      <c r="H112" cm="1">
        <f t="array" ref="H112">TREND(B76:B111, C76:F111, C112:F112, TRUE)</f>
        <v>8.8769915125977948E-3</v>
      </c>
      <c r="I112">
        <f t="shared" si="6"/>
        <v>-4.9592378902928412E-3</v>
      </c>
      <c r="J112">
        <f t="shared" si="7"/>
        <v>-4.9592378902928412E-3</v>
      </c>
      <c r="K112">
        <f t="shared" si="8"/>
        <v>3.9177536223049536E-3</v>
      </c>
    </row>
    <row r="113" spans="1:11" x14ac:dyDescent="0.2">
      <c r="A113" s="3">
        <f>Data!A113</f>
        <v>41394</v>
      </c>
      <c r="B113">
        <f>Data!E113 - Factors!AB115</f>
        <v>6.477299538610426E-3</v>
      </c>
      <c r="C113">
        <f>Factors!Z115</f>
        <v>-7.5611893583724554E-2</v>
      </c>
      <c r="D113">
        <f>Factors!J115</f>
        <v>8.5975033639389409E-3</v>
      </c>
      <c r="E113">
        <f>Factors!N115 - Factors!D115</f>
        <v>8.4516917403525404E-3</v>
      </c>
      <c r="F113">
        <f>Factors!E115</f>
        <v>1.3909752433718836E-2</v>
      </c>
      <c r="H113" cm="1">
        <f t="array" ref="H113">TREND(B77:B112, C77:F112, C113:F113, TRUE)</f>
        <v>1.3579677537014962E-2</v>
      </c>
      <c r="I113">
        <f t="shared" si="6"/>
        <v>-7.1023779984045361E-3</v>
      </c>
      <c r="J113">
        <f t="shared" si="7"/>
        <v>-7.1023779984045361E-3</v>
      </c>
      <c r="K113">
        <f t="shared" si="8"/>
        <v>6.477299538610426E-3</v>
      </c>
    </row>
    <row r="114" spans="1:11" x14ac:dyDescent="0.2">
      <c r="A114" s="3">
        <f>Data!A114</f>
        <v>41425</v>
      </c>
      <c r="B114">
        <f>Data!E114 - Factors!AB116</f>
        <v>-1.256238989283176E-2</v>
      </c>
      <c r="C114">
        <f>Factors!Z116</f>
        <v>-6.0208165448869533E-2</v>
      </c>
      <c r="D114">
        <f>Factors!J116</f>
        <v>6.1574763744156602E-3</v>
      </c>
      <c r="E114">
        <f>Factors!N116 - Factors!D116</f>
        <v>1.2532811630379226E-2</v>
      </c>
      <c r="F114">
        <f>Factors!E116</f>
        <v>-2.9730139911118836E-2</v>
      </c>
      <c r="H114" cm="1">
        <f t="array" ref="H114">TREND(B78:B113, C78:F113, C114:F114, TRUE)</f>
        <v>-7.2683881503760404E-3</v>
      </c>
      <c r="I114">
        <f t="shared" si="6"/>
        <v>-5.2940017424557197E-3</v>
      </c>
      <c r="J114">
        <f t="shared" si="7"/>
        <v>-5.2940017424557197E-3</v>
      </c>
      <c r="K114">
        <f t="shared" si="8"/>
        <v>-1.256238989283176E-2</v>
      </c>
    </row>
    <row r="115" spans="1:11" x14ac:dyDescent="0.2">
      <c r="A115" s="3">
        <f>Data!A115</f>
        <v>41453</v>
      </c>
      <c r="B115">
        <f>Data!E115 - Factors!AB117</f>
        <v>-1.5689032159481475E-2</v>
      </c>
      <c r="C115">
        <f>Factors!Z117</f>
        <v>-0.11044098573281447</v>
      </c>
      <c r="D115">
        <f>Factors!J117</f>
        <v>-1.3137384469871116E-2</v>
      </c>
      <c r="E115">
        <f>Factors!N117 - Factors!D117</f>
        <v>-1.0891503291356908E-2</v>
      </c>
      <c r="F115">
        <f>Factors!E117</f>
        <v>-1.1836922132865246E-2</v>
      </c>
      <c r="H115" cm="1">
        <f t="array" ref="H115">TREND(B79:B114, C79:F114, C115:F115, TRUE)</f>
        <v>-1.8683013038228238E-2</v>
      </c>
      <c r="I115">
        <f t="shared" si="6"/>
        <v>2.9939808787467631E-3</v>
      </c>
      <c r="J115">
        <f t="shared" si="7"/>
        <v>2.9939808787467631E-3</v>
      </c>
      <c r="K115">
        <f t="shared" si="8"/>
        <v>-1.5689032159481475E-2</v>
      </c>
    </row>
    <row r="116" spans="1:11" x14ac:dyDescent="0.2">
      <c r="A116" s="3">
        <f>Data!A116</f>
        <v>41486</v>
      </c>
      <c r="B116">
        <f>Data!E116 - Factors!AB118</f>
        <v>-6.1322387052076266E-4</v>
      </c>
      <c r="C116">
        <f>Factors!Z118</f>
        <v>7.333965152730193E-2</v>
      </c>
      <c r="D116">
        <f>Factors!J118</f>
        <v>9.1891103847112632E-3</v>
      </c>
      <c r="E116">
        <f>Factors!N118 - Factors!D118</f>
        <v>1.7438481889677782E-2</v>
      </c>
      <c r="F116">
        <f>Factors!E118</f>
        <v>1.2562947209014519E-2</v>
      </c>
      <c r="H116" cm="1">
        <f t="array" ref="H116">TREND(B80:B115, C80:F115, C116:F116, TRUE)</f>
        <v>7.49681431681864E-3</v>
      </c>
      <c r="I116">
        <f t="shared" si="6"/>
        <v>-8.1100381873394026E-3</v>
      </c>
      <c r="J116">
        <f t="shared" si="7"/>
        <v>-8.1100381873394026E-3</v>
      </c>
      <c r="K116">
        <f t="shared" si="8"/>
        <v>-6.1322387052076266E-4</v>
      </c>
    </row>
    <row r="117" spans="1:11" x14ac:dyDescent="0.2">
      <c r="A117" s="3">
        <f>Data!A117</f>
        <v>41516</v>
      </c>
      <c r="B117">
        <f>Data!E117 - Factors!AB119</f>
        <v>-1.0876732834084302E-2</v>
      </c>
      <c r="C117">
        <f>Factors!Z119</f>
        <v>5.2978333220131901E-2</v>
      </c>
      <c r="D117">
        <f>Factors!J119</f>
        <v>-6.9632203176211993E-3</v>
      </c>
      <c r="E117">
        <f>Factors!N119 - Factors!D119</f>
        <v>-1.0889526147366269E-3</v>
      </c>
      <c r="F117">
        <f>Factors!E119</f>
        <v>-5.2451998426928936E-3</v>
      </c>
      <c r="H117" cm="1">
        <f t="array" ref="H117">TREND(B81:B116, C81:F116, C117:F117, TRUE)</f>
        <v>-1.4381004416834032E-2</v>
      </c>
      <c r="I117">
        <f t="shared" si="6"/>
        <v>3.5042715827497302E-3</v>
      </c>
      <c r="J117">
        <f t="shared" si="7"/>
        <v>3.5042715827497302E-3</v>
      </c>
      <c r="K117">
        <f t="shared" si="8"/>
        <v>-1.0876732834084302E-2</v>
      </c>
    </row>
    <row r="118" spans="1:11" x14ac:dyDescent="0.2">
      <c r="A118" s="3">
        <f>Data!A118</f>
        <v>41547</v>
      </c>
      <c r="B118">
        <f>Data!E118 - Factors!AB120</f>
        <v>-1.6629693997630701E-3</v>
      </c>
      <c r="C118">
        <f>Factors!Z120</f>
        <v>-4.7474682319551098E-2</v>
      </c>
      <c r="D118">
        <f>Factors!J120</f>
        <v>1.2089449946689035E-2</v>
      </c>
      <c r="E118">
        <f>Factors!N120 - Factors!D120</f>
        <v>4.4704669561479449E-4</v>
      </c>
      <c r="F118">
        <f>Factors!E120</f>
        <v>2.0557739955961774E-2</v>
      </c>
      <c r="H118" cm="1">
        <f t="array" ref="H118">TREND(B82:B117, C82:F117, C118:F118, TRUE)</f>
        <v>2.5495414663097085E-2</v>
      </c>
      <c r="I118">
        <f t="shared" si="6"/>
        <v>-2.7158384062860155E-2</v>
      </c>
      <c r="J118">
        <f t="shared" si="7"/>
        <v>-2.7158384062860155E-2</v>
      </c>
      <c r="K118">
        <f t="shared" si="8"/>
        <v>-1.6629693997630701E-3</v>
      </c>
    </row>
    <row r="119" spans="1:11" x14ac:dyDescent="0.2">
      <c r="A119" s="3">
        <f>Data!A119</f>
        <v>41578</v>
      </c>
      <c r="B119">
        <f>Data!E119 - Factors!AB121</f>
        <v>8.2944110470013488E-3</v>
      </c>
      <c r="C119">
        <f>Factors!Z121</f>
        <v>-4.4919979232974638E-3</v>
      </c>
      <c r="D119">
        <f>Factors!J121</f>
        <v>1.2077240762550012E-2</v>
      </c>
      <c r="E119">
        <f>Factors!N121 - Factors!D121</f>
        <v>1.6497600631038223E-2</v>
      </c>
      <c r="F119">
        <f>Factors!E121</f>
        <v>9.8265794518803684E-3</v>
      </c>
      <c r="H119" cm="1">
        <f t="array" ref="H119">TREND(B83:B118, C83:F118, C119:F119, TRUE)</f>
        <v>9.2132205042843914E-3</v>
      </c>
      <c r="I119">
        <f t="shared" si="6"/>
        <v>-9.1880945728304263E-4</v>
      </c>
      <c r="J119">
        <f t="shared" si="7"/>
        <v>-9.1880945728304263E-4</v>
      </c>
      <c r="K119">
        <f t="shared" si="8"/>
        <v>8.2944110470013488E-3</v>
      </c>
    </row>
    <row r="120" spans="1:11" x14ac:dyDescent="0.2">
      <c r="A120" s="3">
        <f>Data!A120</f>
        <v>41607</v>
      </c>
      <c r="B120">
        <f>Data!E120 - Factors!AB122</f>
        <v>5.1859124533482071E-3</v>
      </c>
      <c r="C120">
        <f>Factors!Z122</f>
        <v>-5.2688464619896291E-2</v>
      </c>
      <c r="D120">
        <f>Factors!J122</f>
        <v>1.1616239432692188E-2</v>
      </c>
      <c r="E120">
        <f>Factors!N122 - Factors!D122</f>
        <v>8.394961353713537E-3</v>
      </c>
      <c r="F120">
        <f>Factors!E122</f>
        <v>-8.185881748817958E-3</v>
      </c>
      <c r="H120" cm="1">
        <f t="array" ref="H120">TREND(B84:B119, C84:F119, C120:F120, TRUE)</f>
        <v>6.5864541798089545E-3</v>
      </c>
      <c r="I120">
        <f t="shared" si="6"/>
        <v>-1.4005417264607474E-3</v>
      </c>
      <c r="J120">
        <f t="shared" si="7"/>
        <v>-1.4005417264607474E-3</v>
      </c>
      <c r="K120">
        <f t="shared" si="8"/>
        <v>5.1859124533482071E-3</v>
      </c>
    </row>
    <row r="121" spans="1:11" x14ac:dyDescent="0.2">
      <c r="A121" s="3">
        <f>Data!A121</f>
        <v>41639</v>
      </c>
      <c r="B121">
        <f>Data!E121 - Factors!AB123</f>
        <v>4.652574061155601E-3</v>
      </c>
      <c r="C121">
        <f>Factors!Z123</f>
        <v>-4.125743008736571E-2</v>
      </c>
      <c r="D121">
        <f>Factors!J123</f>
        <v>1.5226749450585553E-2</v>
      </c>
      <c r="E121">
        <f>Factors!N123 - Factors!D123</f>
        <v>1.1130920190908222E-2</v>
      </c>
      <c r="F121">
        <f>Factors!E123</f>
        <v>-5.9709069676935345E-3</v>
      </c>
      <c r="H121" cm="1">
        <f t="array" ref="H121">TREND(B85:B120, C85:F120, C121:F121, TRUE)</f>
        <v>1.0484598207051266E-2</v>
      </c>
      <c r="I121">
        <f t="shared" si="6"/>
        <v>-5.8320241458956652E-3</v>
      </c>
      <c r="J121">
        <f t="shared" si="7"/>
        <v>-5.8320241458956652E-3</v>
      </c>
      <c r="K121">
        <f t="shared" si="8"/>
        <v>4.652574061155601E-3</v>
      </c>
    </row>
    <row r="122" spans="1:11" x14ac:dyDescent="0.2">
      <c r="A122" s="3"/>
    </row>
    <row r="123" spans="1:11" x14ac:dyDescent="0.2">
      <c r="A123" s="3"/>
    </row>
    <row r="124" spans="1:11" x14ac:dyDescent="0.2">
      <c r="A124" s="3"/>
    </row>
  </sheetData>
  <mergeCells count="1">
    <mergeCell ref="H37:K3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DA632-5EC7-441E-AEE2-2081BEB38298}">
  <sheetPr>
    <tabColor theme="9" tint="0.59999389629810485"/>
  </sheetPr>
  <dimension ref="A1:O124"/>
  <sheetViews>
    <sheetView workbookViewId="0">
      <selection activeCell="F23" sqref="F23"/>
    </sheetView>
  </sheetViews>
  <sheetFormatPr baseColWidth="10" defaultColWidth="8.83203125" defaultRowHeight="15" x14ac:dyDescent="0.2"/>
  <cols>
    <col min="1" max="1" width="9.33203125" bestFit="1" customWidth="1"/>
    <col min="2" max="2" width="12.6640625" bestFit="1" customWidth="1"/>
    <col min="3" max="3" width="12.83203125" bestFit="1" customWidth="1"/>
    <col min="4" max="4" width="16.33203125" bestFit="1" customWidth="1"/>
    <col min="5" max="5" width="14" customWidth="1"/>
    <col min="6" max="6" width="17.5" bestFit="1" customWidth="1"/>
    <col min="7" max="9" width="12.6640625" customWidth="1"/>
    <col min="10" max="10" width="13.5" bestFit="1" customWidth="1"/>
    <col min="11" max="11" width="15.1640625" bestFit="1" customWidth="1"/>
    <col min="12" max="12" width="12.6640625" customWidth="1"/>
    <col min="13" max="13" width="20.5" bestFit="1" customWidth="1"/>
    <col min="14" max="14" width="17.6640625" bestFit="1" customWidth="1"/>
    <col min="15" max="15" width="12.83203125" bestFit="1" customWidth="1"/>
    <col min="16" max="16" width="14.6640625" bestFit="1" customWidth="1"/>
    <col min="17" max="17" width="12.6640625" bestFit="1" customWidth="1"/>
    <col min="18" max="18" width="12" bestFit="1" customWidth="1"/>
    <col min="19" max="19" width="13.6640625" bestFit="1" customWidth="1"/>
    <col min="20" max="20" width="12.6640625" bestFit="1" customWidth="1"/>
    <col min="21" max="22" width="12.83203125" bestFit="1" customWidth="1"/>
  </cols>
  <sheetData>
    <row r="1" spans="1:14" x14ac:dyDescent="0.2">
      <c r="A1" s="14" t="s">
        <v>65</v>
      </c>
      <c r="B1" s="7" t="s">
        <v>156</v>
      </c>
      <c r="C1" s="13" t="s">
        <v>16</v>
      </c>
      <c r="D1" s="13" t="s">
        <v>14</v>
      </c>
      <c r="E1" s="13" t="s">
        <v>17</v>
      </c>
      <c r="G1" s="14" t="s">
        <v>129</v>
      </c>
      <c r="H1" s="14" t="s">
        <v>118</v>
      </c>
      <c r="I1" s="14" t="s">
        <v>130</v>
      </c>
      <c r="J1" s="14" t="s">
        <v>131</v>
      </c>
      <c r="L1" s="14" t="s">
        <v>59</v>
      </c>
      <c r="M1" s="14" t="s">
        <v>132</v>
      </c>
      <c r="N1" s="14" t="s">
        <v>133</v>
      </c>
    </row>
    <row r="2" spans="1:14" x14ac:dyDescent="0.2">
      <c r="A2" s="3">
        <f>Data!A2</f>
        <v>38016</v>
      </c>
      <c r="B2">
        <f>Data!F2 - Factors!AB4</f>
        <v>1.109609094035191E-2</v>
      </c>
      <c r="C2">
        <f>Factors!M4</f>
        <v>1.2326081607708428E-2</v>
      </c>
      <c r="D2">
        <f>Factors!K4</f>
        <v>1.2109999197901677E-2</v>
      </c>
      <c r="E2">
        <f>Factors!N4</f>
        <v>1.6153007630561822E-2</v>
      </c>
      <c r="L2" t="s">
        <v>16</v>
      </c>
      <c r="M2">
        <f>INDEX(LINEST(C2:C121, D2:E121, TRUE, TRUE), 3, 1)</f>
        <v>7.0013671969512067E-2</v>
      </c>
      <c r="N2">
        <f>1/(1-M2)</f>
        <v>1.075284625009258</v>
      </c>
    </row>
    <row r="3" spans="1:14" x14ac:dyDescent="0.2">
      <c r="A3" s="3">
        <f>Data!A3</f>
        <v>38044</v>
      </c>
      <c r="B3">
        <f>Data!F3 - Factors!AB5</f>
        <v>2.3027652768311757E-2</v>
      </c>
      <c r="C3">
        <f>Factors!M5</f>
        <v>2.4775375158766044E-2</v>
      </c>
      <c r="D3">
        <f>Factors!K5</f>
        <v>5.5000077185720642E-3</v>
      </c>
      <c r="E3">
        <f>Factors!N5</f>
        <v>-1.0965910322259242E-3</v>
      </c>
      <c r="L3" t="s">
        <v>157</v>
      </c>
      <c r="M3">
        <f>INDEX(LINEST(D2:D121, CHOOSE({1,2}, C2:C121, E2:E121), TRUE, TRUE), 3, 1)</f>
        <v>0.72829004283822196</v>
      </c>
      <c r="N3" s="8">
        <f>1/(1-M3)</f>
        <v>3.6803951185513339</v>
      </c>
    </row>
    <row r="4" spans="1:14" x14ac:dyDescent="0.2">
      <c r="A4" s="3">
        <f>Data!A4</f>
        <v>38077</v>
      </c>
      <c r="B4">
        <f>Data!F4 - Factors!AB6</f>
        <v>1.5724600743988626E-2</v>
      </c>
      <c r="C4">
        <f>Factors!M6</f>
        <v>1.7390173366180761E-2</v>
      </c>
      <c r="D4">
        <f>Factors!K6</f>
        <v>4.3299893811978851E-3</v>
      </c>
      <c r="E4">
        <f>Factors!N6</f>
        <v>6.6713818330137453E-3</v>
      </c>
      <c r="L4" t="s">
        <v>17</v>
      </c>
      <c r="M4">
        <f>INDEX(LINEST(E2:E121, C2:D121, TRUE, TRUE), 3, 1)</f>
        <v>0.73634074669229077</v>
      </c>
      <c r="N4">
        <f>1/(1-M4)</f>
        <v>3.7927741486581863</v>
      </c>
    </row>
    <row r="5" spans="1:14" x14ac:dyDescent="0.2">
      <c r="A5" s="3">
        <f>Data!A5</f>
        <v>38107</v>
      </c>
      <c r="B5">
        <f>Data!F5 - Factors!AB7</f>
        <v>-4.4654520680530441E-2</v>
      </c>
      <c r="C5">
        <f>Factors!M7</f>
        <v>-4.6496063288188449E-2</v>
      </c>
      <c r="D5">
        <f>Factors!K7</f>
        <v>-5.0599987510285827E-3</v>
      </c>
      <c r="E5">
        <f>Factors!N7</f>
        <v>-6.6013073304038716E-3</v>
      </c>
      <c r="G5" t="s">
        <v>104</v>
      </c>
    </row>
    <row r="6" spans="1:14" ht="16" thickBot="1" x14ac:dyDescent="0.25">
      <c r="A6" s="3">
        <f>Data!A6</f>
        <v>38138</v>
      </c>
      <c r="B6">
        <f>Data!F6 - Factors!AB8</f>
        <v>1.4467795353366064E-2</v>
      </c>
      <c r="C6">
        <f>Factors!M8</f>
        <v>1.6443736395469921E-2</v>
      </c>
      <c r="D6">
        <f>Factors!K8</f>
        <v>-3.449993799749862E-3</v>
      </c>
      <c r="E6">
        <f>Factors!N8</f>
        <v>-1.5711508756096171E-2</v>
      </c>
    </row>
    <row r="7" spans="1:14" x14ac:dyDescent="0.2">
      <c r="A7" s="3">
        <f>Data!A7</f>
        <v>38168</v>
      </c>
      <c r="B7">
        <f>Data!F7 - Factors!AB9</f>
        <v>-2.0867511332764987E-3</v>
      </c>
      <c r="C7">
        <f>Factors!M9</f>
        <v>-2.6148152171382444E-3</v>
      </c>
      <c r="D7">
        <f>Factors!K9</f>
        <v>1.6100010732003067E-3</v>
      </c>
      <c r="E7">
        <f>Factors!N9</f>
        <v>1.4527412749562485E-2</v>
      </c>
      <c r="G7" s="6" t="s">
        <v>105</v>
      </c>
      <c r="H7" s="6"/>
    </row>
    <row r="8" spans="1:14" x14ac:dyDescent="0.2">
      <c r="A8" s="3">
        <f>Data!A8</f>
        <v>38198</v>
      </c>
      <c r="B8">
        <f>Data!F8 - Factors!AB10</f>
        <v>1.3772822207203328E-2</v>
      </c>
      <c r="C8">
        <f>Factors!M10</f>
        <v>1.613455314911616E-2</v>
      </c>
      <c r="D8">
        <f>Factors!K10</f>
        <v>6.5199865367921994E-3</v>
      </c>
      <c r="E8">
        <f>Factors!N10</f>
        <v>1.3476433079504968E-2</v>
      </c>
      <c r="G8" t="s">
        <v>106</v>
      </c>
      <c r="H8">
        <v>0.9817938762554469</v>
      </c>
    </row>
    <row r="9" spans="1:14" x14ac:dyDescent="0.2">
      <c r="A9" s="3">
        <f>Data!A9</f>
        <v>38230</v>
      </c>
      <c r="B9">
        <f>Data!F9 - Factors!AB11</f>
        <v>2.2482398559264372E-2</v>
      </c>
      <c r="C9">
        <f>Factors!M11</f>
        <v>2.597651165995507E-2</v>
      </c>
      <c r="D9">
        <f>Factors!K11</f>
        <v>8.2500150848257015E-3</v>
      </c>
      <c r="E9">
        <f>Factors!N11</f>
        <v>1.8171957263638072E-2</v>
      </c>
      <c r="G9" t="s">
        <v>107</v>
      </c>
      <c r="H9">
        <v>0.96391921545269588</v>
      </c>
    </row>
    <row r="10" spans="1:14" x14ac:dyDescent="0.2">
      <c r="A10" s="3">
        <f>Data!A10</f>
        <v>38260</v>
      </c>
      <c r="B10">
        <f>Data!F10 - Factors!AB12</f>
        <v>1.0415318178818023E-3</v>
      </c>
      <c r="C10">
        <f>Factors!M12</f>
        <v>1.5744976158673651E-3</v>
      </c>
      <c r="D10">
        <f>Factors!K12</f>
        <v>3.5599860348356493E-3</v>
      </c>
      <c r="E10">
        <f>Factors!N12</f>
        <v>1.3931552851262685E-2</v>
      </c>
      <c r="G10" t="s">
        <v>108</v>
      </c>
      <c r="H10">
        <v>0.96298609171440352</v>
      </c>
    </row>
    <row r="11" spans="1:14" x14ac:dyDescent="0.2">
      <c r="A11" s="3">
        <f>Data!A11</f>
        <v>38289</v>
      </c>
      <c r="B11">
        <f>Data!F11 - Factors!AB13</f>
        <v>1.2832717175533359E-2</v>
      </c>
      <c r="C11">
        <f>Factors!M13</f>
        <v>1.42003546363485E-2</v>
      </c>
      <c r="D11">
        <f>Factors!K13</f>
        <v>3.1099990615002238E-3</v>
      </c>
      <c r="E11">
        <f>Factors!N13</f>
        <v>1.9280205655527016E-2</v>
      </c>
      <c r="G11" t="s">
        <v>109</v>
      </c>
      <c r="H11">
        <v>3.97251875126081E-3</v>
      </c>
    </row>
    <row r="12" spans="1:14" ht="16" thickBot="1" x14ac:dyDescent="0.25">
      <c r="A12" s="3">
        <f>Data!A12</f>
        <v>38321</v>
      </c>
      <c r="B12">
        <f>Data!F12 - Factors!AB14</f>
        <v>-5.9628894571248647E-3</v>
      </c>
      <c r="C12">
        <f>Factors!M14</f>
        <v>-7.0595322049834541E-3</v>
      </c>
      <c r="D12">
        <f>Factors!K14</f>
        <v>1.0670006618136441E-2</v>
      </c>
      <c r="E12">
        <f>Factors!N14</f>
        <v>1.0404040198261466E-2</v>
      </c>
      <c r="G12" s="4" t="s">
        <v>110</v>
      </c>
      <c r="H12" s="4">
        <v>120</v>
      </c>
    </row>
    <row r="13" spans="1:14" x14ac:dyDescent="0.2">
      <c r="A13" s="3">
        <f>Data!A13</f>
        <v>38352</v>
      </c>
      <c r="B13">
        <f>Data!F13 - Factors!AB15</f>
        <v>1.0277841404314536E-2</v>
      </c>
      <c r="C13">
        <f>Factors!M15</f>
        <v>1.3768153469411848E-2</v>
      </c>
      <c r="D13">
        <f>Factors!K15</f>
        <v>7.4600061925895744E-3</v>
      </c>
      <c r="E13">
        <f>Factors!N15</f>
        <v>1.5081435720420755E-2</v>
      </c>
    </row>
    <row r="14" spans="1:14" ht="16" thickBot="1" x14ac:dyDescent="0.25">
      <c r="A14" s="3">
        <f>Data!A14</f>
        <v>38383</v>
      </c>
      <c r="B14">
        <f>Data!F14 - Factors!AB16</f>
        <v>6.4688462830586602E-4</v>
      </c>
      <c r="C14">
        <f>Factors!M16</f>
        <v>5.4076539101497456E-3</v>
      </c>
      <c r="D14">
        <f>Factors!K16</f>
        <v>3.0099912635810355E-3</v>
      </c>
      <c r="E14">
        <f>Factors!N16</f>
        <v>-1.0189610172925967E-3</v>
      </c>
      <c r="G14" t="s">
        <v>111</v>
      </c>
    </row>
    <row r="15" spans="1:14" x14ac:dyDescent="0.2">
      <c r="A15" s="3">
        <f>Data!A15</f>
        <v>38411</v>
      </c>
      <c r="B15">
        <f>Data!F15 - Factors!AB17</f>
        <v>-7.4695158433850661E-3</v>
      </c>
      <c r="C15">
        <f>Factors!M17</f>
        <v>-7.1714246310853325E-3</v>
      </c>
      <c r="D15">
        <f>Factors!K17</f>
        <v>7.829997568413738E-3</v>
      </c>
      <c r="E15">
        <f>Factors!N17</f>
        <v>1.4283981620110575E-2</v>
      </c>
      <c r="G15" s="5"/>
      <c r="H15" s="5" t="s">
        <v>112</v>
      </c>
      <c r="I15" s="5" t="s">
        <v>113</v>
      </c>
      <c r="J15" s="5" t="s">
        <v>114</v>
      </c>
      <c r="K15" s="5" t="s">
        <v>115</v>
      </c>
      <c r="L15" s="5" t="s">
        <v>116</v>
      </c>
    </row>
    <row r="16" spans="1:14" x14ac:dyDescent="0.2">
      <c r="A16" s="3">
        <f>Data!A16</f>
        <v>38442</v>
      </c>
      <c r="B16">
        <f>Data!F16 - Factors!AB18</f>
        <v>-5.1539433197589357E-3</v>
      </c>
      <c r="C16">
        <f>Factors!M18</f>
        <v>-4.4377508572096547E-3</v>
      </c>
      <c r="D16">
        <f>Factors!K18</f>
        <v>-3.499992680666475E-3</v>
      </c>
      <c r="E16">
        <f>Factors!N18</f>
        <v>-2.7312913501592706E-2</v>
      </c>
      <c r="G16" t="s">
        <v>117</v>
      </c>
      <c r="H16">
        <v>3</v>
      </c>
      <c r="I16">
        <v>4.8905146756066317E-2</v>
      </c>
      <c r="J16">
        <v>1.6301715585355439E-2</v>
      </c>
      <c r="K16">
        <v>1033.0025653582725</v>
      </c>
      <c r="L16">
        <v>1.7828933945598985E-83</v>
      </c>
    </row>
    <row r="17" spans="1:15" x14ac:dyDescent="0.2">
      <c r="A17" s="3">
        <f>Data!A17</f>
        <v>38471</v>
      </c>
      <c r="B17">
        <f>Data!F17 - Factors!AB19</f>
        <v>1.9528423456501187E-2</v>
      </c>
      <c r="C17">
        <f>Factors!M19</f>
        <v>2.5283828043532353E-2</v>
      </c>
      <c r="D17">
        <f>Factors!K19</f>
        <v>-8.4399998456237135E-3</v>
      </c>
      <c r="E17">
        <f>Factors!N19</f>
        <v>-1.0727702179801346E-2</v>
      </c>
      <c r="G17" t="s">
        <v>118</v>
      </c>
      <c r="H17">
        <v>116</v>
      </c>
      <c r="I17">
        <v>1.8305850065777742E-3</v>
      </c>
      <c r="J17">
        <v>1.5780905229118743E-5</v>
      </c>
    </row>
    <row r="18" spans="1:15" ht="16" thickBot="1" x14ac:dyDescent="0.25">
      <c r="A18" s="3">
        <f>Data!A18</f>
        <v>38503</v>
      </c>
      <c r="B18">
        <f>Data!F18 - Factors!AB20</f>
        <v>3.2890234520837058E-3</v>
      </c>
      <c r="C18">
        <f>Factors!M20</f>
        <v>6.918928210748021E-3</v>
      </c>
      <c r="D18">
        <f>Factors!K20</f>
        <v>-1.0400040198949023E-3</v>
      </c>
      <c r="E18">
        <f>Factors!N20</f>
        <v>1.7902943555205164E-2</v>
      </c>
      <c r="G18" s="4" t="s">
        <v>119</v>
      </c>
      <c r="H18" s="4">
        <v>119</v>
      </c>
      <c r="I18" s="4">
        <v>5.0735731762644093E-2</v>
      </c>
      <c r="J18" s="4"/>
      <c r="K18" s="4"/>
      <c r="L18" s="4"/>
    </row>
    <row r="19" spans="1:15" ht="16" thickBot="1" x14ac:dyDescent="0.25">
      <c r="A19" s="3">
        <f>Data!A19</f>
        <v>38533</v>
      </c>
      <c r="B19">
        <f>Data!F19 - Factors!AB21</f>
        <v>8.51542047518139E-4</v>
      </c>
      <c r="C19">
        <f>Factors!M21</f>
        <v>3.6562030971027948E-3</v>
      </c>
      <c r="D19">
        <f>Factors!K21</f>
        <v>9.5900100040369196E-3</v>
      </c>
      <c r="E19">
        <f>Factors!N21</f>
        <v>1.903105530393856E-2</v>
      </c>
    </row>
    <row r="20" spans="1:15" x14ac:dyDescent="0.2">
      <c r="A20" s="3">
        <f>Data!A20</f>
        <v>38562</v>
      </c>
      <c r="B20">
        <f>Data!F20 - Factors!AB22</f>
        <v>-1.9395521777643143E-2</v>
      </c>
      <c r="C20">
        <f>Factors!M22</f>
        <v>-1.8193157898467094E-2</v>
      </c>
      <c r="D20">
        <f>Factors!K22</f>
        <v>1.339998793534658E-2</v>
      </c>
      <c r="E20">
        <f>Factors!N22</f>
        <v>1.5700184222827041E-2</v>
      </c>
      <c r="G20" s="5"/>
      <c r="H20" s="5" t="s">
        <v>120</v>
      </c>
      <c r="I20" s="5" t="s">
        <v>109</v>
      </c>
      <c r="J20" s="5" t="s">
        <v>121</v>
      </c>
      <c r="K20" s="5" t="s">
        <v>122</v>
      </c>
      <c r="L20" s="5" t="s">
        <v>123</v>
      </c>
      <c r="M20" s="5" t="s">
        <v>124</v>
      </c>
      <c r="N20" s="5" t="s">
        <v>125</v>
      </c>
      <c r="O20" s="5" t="s">
        <v>126</v>
      </c>
    </row>
    <row r="21" spans="1:15" x14ac:dyDescent="0.2">
      <c r="A21" s="3">
        <f>Data!A21</f>
        <v>38595</v>
      </c>
      <c r="B21">
        <f>Data!F21 - Factors!AB23</f>
        <v>1.9822141378918579E-2</v>
      </c>
      <c r="C21">
        <f>Factors!M23</f>
        <v>2.4976539377752127E-2</v>
      </c>
      <c r="D21">
        <f>Factors!K23</f>
        <v>6.9099986116976098E-3</v>
      </c>
      <c r="E21">
        <f>Factors!N23</f>
        <v>3.6197695104032146E-3</v>
      </c>
      <c r="G21" t="s">
        <v>127</v>
      </c>
      <c r="H21">
        <v>-1.3749022853786813E-3</v>
      </c>
      <c r="I21">
        <v>3.9547444024421932E-4</v>
      </c>
      <c r="J21">
        <v>-3.4765894972368656</v>
      </c>
      <c r="K21">
        <v>7.1550629534004818E-4</v>
      </c>
      <c r="L21">
        <v>-2.1581892450343357E-3</v>
      </c>
      <c r="M21">
        <v>-5.9161532572302687E-4</v>
      </c>
      <c r="N21">
        <v>-2.1581892450343357E-3</v>
      </c>
      <c r="O21">
        <v>-5.9161532572302687E-4</v>
      </c>
    </row>
    <row r="22" spans="1:15" x14ac:dyDescent="0.2">
      <c r="A22" s="3">
        <f>Data!A22</f>
        <v>38625</v>
      </c>
      <c r="B22">
        <f>Data!F22 - Factors!AB24</f>
        <v>-6.3266938194502798E-3</v>
      </c>
      <c r="C22">
        <f>Factors!M24</f>
        <v>-5.2538911190929127E-3</v>
      </c>
      <c r="D22">
        <f>Factors!K24</f>
        <v>1.1750014089297434E-2</v>
      </c>
      <c r="E22">
        <f>Factors!N24</f>
        <v>-1.0014796775536183E-2</v>
      </c>
      <c r="G22" t="s">
        <v>16</v>
      </c>
      <c r="H22">
        <v>0.90932564086687984</v>
      </c>
      <c r="I22">
        <v>1.7945656338198775E-2</v>
      </c>
      <c r="J22">
        <v>50.671071803114103</v>
      </c>
      <c r="K22" s="10">
        <v>5.6433247448885041E-81</v>
      </c>
      <c r="L22">
        <v>0.87378200729224853</v>
      </c>
      <c r="M22">
        <v>0.94486927444151114</v>
      </c>
      <c r="N22">
        <v>0.87378200729224853</v>
      </c>
      <c r="O22">
        <v>0.94486927444151114</v>
      </c>
    </row>
    <row r="23" spans="1:15" x14ac:dyDescent="0.2">
      <c r="A23" s="3">
        <f>Data!A23</f>
        <v>38656</v>
      </c>
      <c r="B23">
        <f>Data!F23 - Factors!AB25</f>
        <v>-1.466662051025347E-2</v>
      </c>
      <c r="C23">
        <f>Factors!M25</f>
        <v>-1.2573985443629532E-2</v>
      </c>
      <c r="D23">
        <f>Factors!K25</f>
        <v>-3.5500020063405913E-3</v>
      </c>
      <c r="E23">
        <f>Factors!N25</f>
        <v>-7.2941845031662123E-3</v>
      </c>
      <c r="G23" t="s">
        <v>14</v>
      </c>
      <c r="H23">
        <v>-0.12278040119390719</v>
      </c>
      <c r="I23">
        <v>4.8781905292294037E-2</v>
      </c>
      <c r="J23">
        <v>-2.516925086427539</v>
      </c>
      <c r="K23" s="10">
        <v>1.3203982314726649E-2</v>
      </c>
      <c r="L23">
        <v>-0.21939911126532147</v>
      </c>
      <c r="M23">
        <v>-2.6161691122492933E-2</v>
      </c>
      <c r="N23">
        <v>-0.21939911126532147</v>
      </c>
      <c r="O23">
        <v>-2.6161691122492933E-2</v>
      </c>
    </row>
    <row r="24" spans="1:15" ht="16" thickBot="1" x14ac:dyDescent="0.25">
      <c r="A24" s="3">
        <f>Data!A24</f>
        <v>38686</v>
      </c>
      <c r="B24">
        <f>Data!F24 - Factors!AB26</f>
        <v>-1.5948265783225501E-3</v>
      </c>
      <c r="C24">
        <f>Factors!M26</f>
        <v>1.9717784724810894E-3</v>
      </c>
      <c r="D24">
        <f>Factors!K26</f>
        <v>8.2399924131282276E-3</v>
      </c>
      <c r="E24">
        <f>Factors!N26</f>
        <v>4.8246766231576643E-3</v>
      </c>
      <c r="G24" s="4" t="s">
        <v>17</v>
      </c>
      <c r="H24" s="4">
        <v>0.15794486020787257</v>
      </c>
      <c r="I24" s="4">
        <v>2.3757199100005302E-2</v>
      </c>
      <c r="J24" s="4">
        <v>6.6482946724067871</v>
      </c>
      <c r="K24" s="12">
        <v>1.0171385517805598E-9</v>
      </c>
      <c r="L24" s="4">
        <v>0.11089073392480438</v>
      </c>
      <c r="M24" s="4">
        <v>0.20499898649094078</v>
      </c>
      <c r="N24" s="4">
        <v>0.11089073392480438</v>
      </c>
      <c r="O24" s="4">
        <v>0.20499898649094078</v>
      </c>
    </row>
    <row r="25" spans="1:15" x14ac:dyDescent="0.2">
      <c r="A25" s="3">
        <f>Data!A25</f>
        <v>38716</v>
      </c>
      <c r="B25">
        <f>Data!F25 - Factors!AB27</f>
        <v>4.5252174104537524E-3</v>
      </c>
      <c r="C25">
        <f>Factors!M27</f>
        <v>8.4798523002940218E-3</v>
      </c>
      <c r="D25">
        <f>Factors!K27</f>
        <v>1.4750003071391182E-2</v>
      </c>
      <c r="E25">
        <f>Factors!N27</f>
        <v>9.1542824365375974E-3</v>
      </c>
    </row>
    <row r="26" spans="1:15" x14ac:dyDescent="0.2">
      <c r="A26" s="3">
        <f>Data!A26</f>
        <v>38748</v>
      </c>
      <c r="B26">
        <f>Data!F26 - Factors!AB28</f>
        <v>-2.1828451795853354E-3</v>
      </c>
      <c r="C26">
        <f>Factors!M28</f>
        <v>7.8054041780206695E-4</v>
      </c>
      <c r="D26">
        <f>Factors!K28</f>
        <v>2.1990005541465685E-2</v>
      </c>
      <c r="E26">
        <f>Factors!N28</f>
        <v>1.5849539574548599E-2</v>
      </c>
    </row>
    <row r="27" spans="1:15" x14ac:dyDescent="0.2">
      <c r="A27" s="3">
        <f>Data!A27</f>
        <v>38776</v>
      </c>
      <c r="B27">
        <f>Data!F27 - Factors!AB29</f>
        <v>-6.1157803872965433E-3</v>
      </c>
      <c r="C27">
        <f>Factors!M29</f>
        <v>-3.4033381074605185E-3</v>
      </c>
      <c r="D27">
        <f>Factors!K29</f>
        <v>6.2299895645896441E-3</v>
      </c>
      <c r="E27">
        <f>Factors!N29</f>
        <v>6.3223564385455067E-3</v>
      </c>
    </row>
    <row r="28" spans="1:15" x14ac:dyDescent="0.2">
      <c r="A28" s="3">
        <f>Data!A28</f>
        <v>38807</v>
      </c>
      <c r="B28">
        <f>Data!F28 - Factors!AB30</f>
        <v>-2.057989034887131E-2</v>
      </c>
      <c r="C28">
        <f>Factors!M30</f>
        <v>-2.0532449238036987E-2</v>
      </c>
      <c r="D28">
        <f>Factors!K30</f>
        <v>1.3340007882701288E-2</v>
      </c>
      <c r="E28">
        <f>Factors!N30</f>
        <v>6.2504846253206292E-3</v>
      </c>
    </row>
    <row r="29" spans="1:15" x14ac:dyDescent="0.2">
      <c r="A29" s="3">
        <f>Data!A29</f>
        <v>38835</v>
      </c>
      <c r="B29">
        <f>Data!F29 - Factors!AB31</f>
        <v>-1.2021032472357973E-3</v>
      </c>
      <c r="C29">
        <f>Factors!M31</f>
        <v>1.0169097565237983E-4</v>
      </c>
      <c r="D29">
        <f>Factors!K31</f>
        <v>1.1150000831339657E-2</v>
      </c>
      <c r="E29">
        <f>Factors!N31</f>
        <v>6.4259186864736861E-3</v>
      </c>
    </row>
    <row r="30" spans="1:15" x14ac:dyDescent="0.2">
      <c r="A30" s="3">
        <f>Data!A30</f>
        <v>38868</v>
      </c>
      <c r="B30">
        <f>Data!F30 - Factors!AB32</f>
        <v>-1.725702350031888E-3</v>
      </c>
      <c r="C30">
        <f>Factors!M32</f>
        <v>2.1352933486338266E-3</v>
      </c>
      <c r="D30">
        <f>Factors!K32</f>
        <v>2.0399909390167448E-3</v>
      </c>
      <c r="E30">
        <f>Factors!N32</f>
        <v>-6.312058459371217E-4</v>
      </c>
      <c r="H30" s="7" t="s">
        <v>136</v>
      </c>
      <c r="I30" s="7">
        <f>1 - SUMSQ(H38:H121) / DEVSQ(B38:B121)</f>
        <v>0.93509034351013742</v>
      </c>
    </row>
    <row r="31" spans="1:15" x14ac:dyDescent="0.2">
      <c r="A31" s="3">
        <f>Data!A31</f>
        <v>38898</v>
      </c>
      <c r="B31">
        <f>Data!F31 - Factors!AB33</f>
        <v>1.5052875097909535E-4</v>
      </c>
      <c r="C31">
        <f>Factors!M33</f>
        <v>3.594723873025174E-3</v>
      </c>
      <c r="D31">
        <f>Factors!K33</f>
        <v>5.5200083485933416E-3</v>
      </c>
      <c r="E31">
        <f>Factors!N33</f>
        <v>-3.7914957628306656E-3</v>
      </c>
      <c r="H31" s="7" t="s">
        <v>137</v>
      </c>
      <c r="I31" s="7">
        <f>SQRT( SUMSQ(H38:H121) / COUNT(H38:H121) )</f>
        <v>5.7839381578420074E-3</v>
      </c>
    </row>
    <row r="32" spans="1:15" x14ac:dyDescent="0.2">
      <c r="A32" s="3">
        <f>Data!A32</f>
        <v>38929</v>
      </c>
      <c r="B32">
        <f>Data!F32 - Factors!AB34</f>
        <v>1.0643187624292949E-2</v>
      </c>
      <c r="C32">
        <f>Factors!M34</f>
        <v>1.6696033969785473E-2</v>
      </c>
      <c r="D32">
        <f>Factors!K34</f>
        <v>4.1799913982214498E-3</v>
      </c>
      <c r="E32">
        <f>Factors!N34</f>
        <v>1.0669347759211911E-2</v>
      </c>
      <c r="H32" s="7" t="s">
        <v>138</v>
      </c>
      <c r="I32" s="7">
        <f>1 - SUMSQ(I38:I121) / DEVSQ(J38:J121)</f>
        <v>0.97206871124049787</v>
      </c>
    </row>
    <row r="33" spans="1:10" x14ac:dyDescent="0.2">
      <c r="A33" s="3">
        <f>Data!A33</f>
        <v>38960</v>
      </c>
      <c r="B33">
        <f>Data!F33 - Factors!AB35</f>
        <v>1.1870237635127401E-2</v>
      </c>
      <c r="C33">
        <f>Factors!M35</f>
        <v>1.8765803903741718E-2</v>
      </c>
      <c r="D33">
        <f>Factors!K35</f>
        <v>7.1100053103143601E-3</v>
      </c>
      <c r="E33">
        <f>Factors!N35</f>
        <v>1.6180280770001776E-2</v>
      </c>
    </row>
    <row r="34" spans="1:10" x14ac:dyDescent="0.2">
      <c r="A34" s="3">
        <f>Data!A34</f>
        <v>38989</v>
      </c>
      <c r="B34">
        <f>Data!F34 - Factors!AB36</f>
        <v>-1.2218406622386269E-3</v>
      </c>
      <c r="C34">
        <f>Factors!M36</f>
        <v>2.5169072021193895E-3</v>
      </c>
      <c r="D34">
        <f>Factors!K36</f>
        <v>3.699991909853928E-3</v>
      </c>
      <c r="E34">
        <f>Factors!N36</f>
        <v>1.3153809344647271E-2</v>
      </c>
    </row>
    <row r="35" spans="1:10" x14ac:dyDescent="0.2">
      <c r="A35" s="3">
        <f>Data!A35</f>
        <v>39021</v>
      </c>
      <c r="B35">
        <f>Data!F35 - Factors!AB37</f>
        <v>-6.0934197098991838E-3</v>
      </c>
      <c r="C35">
        <f>Factors!M37</f>
        <v>-1.5995437822950986E-3</v>
      </c>
      <c r="D35">
        <f>Factors!K37</f>
        <v>1.2270006257134147E-2</v>
      </c>
      <c r="E35">
        <f>Factors!N37</f>
        <v>1.4601856058147566E-2</v>
      </c>
    </row>
    <row r="36" spans="1:10" x14ac:dyDescent="0.2">
      <c r="A36" s="3">
        <f>Data!A36</f>
        <v>39051</v>
      </c>
      <c r="B36">
        <f>Data!F36 - Factors!AB38</f>
        <v>7.1053826811888765E-3</v>
      </c>
      <c r="C36">
        <f>Factors!M38</f>
        <v>1.241284192782155E-2</v>
      </c>
      <c r="D36">
        <f>Factors!K38</f>
        <v>1.3730003206245955E-2</v>
      </c>
      <c r="E36">
        <f>Factors!N38</f>
        <v>1.5962361235484002E-2</v>
      </c>
    </row>
    <row r="37" spans="1:10" x14ac:dyDescent="0.2">
      <c r="A37" s="3">
        <f>Data!A37</f>
        <v>39080</v>
      </c>
      <c r="B37">
        <f>Data!F37 - Factors!AB39</f>
        <v>-2.696569697531781E-2</v>
      </c>
      <c r="C37">
        <f>Factors!M39</f>
        <v>-2.4954762183249102E-2</v>
      </c>
      <c r="D37">
        <f>Factors!K39</f>
        <v>1.6109996488427036E-2</v>
      </c>
      <c r="E37">
        <f>Factors!N39</f>
        <v>1.1008940063797601E-2</v>
      </c>
      <c r="G37" s="147" t="s">
        <v>139</v>
      </c>
      <c r="H37" s="147"/>
      <c r="I37" s="147"/>
      <c r="J37" s="147"/>
    </row>
    <row r="38" spans="1:10" x14ac:dyDescent="0.2">
      <c r="A38" s="3">
        <f>Data!A38</f>
        <v>39113</v>
      </c>
      <c r="B38">
        <f>Data!F38 - Factors!AB40</f>
        <v>-1.4838814816586776E-3</v>
      </c>
      <c r="C38">
        <f>Factors!M40</f>
        <v>2.3074317649383058E-3</v>
      </c>
      <c r="D38">
        <f>Factors!K40</f>
        <v>1.3668709876681673E-2</v>
      </c>
      <c r="E38">
        <f>Factors!N40</f>
        <v>1.0743760194982688E-2</v>
      </c>
      <c r="G38" cm="1">
        <f t="array" ref="G38">TREND(B2:B37, C2:E37, C38:E38, TRUE)</f>
        <v>-3.4293177124434691E-4</v>
      </c>
      <c r="H38">
        <f t="shared" ref="H38:H69" si="0">B38 - G38</f>
        <v>-1.1409497104143307E-3</v>
      </c>
      <c r="I38">
        <f t="shared" ref="I38:I69" si="1">IF(OR(YEAR(A38)=2008, YEAR(A38)=2009), "", H38)</f>
        <v>-1.1409497104143307E-3</v>
      </c>
      <c r="J38">
        <f t="shared" ref="J38:J69" si="2">IF(OR(YEAR(A38)=2008, YEAR(A38)=2009), "", B38)</f>
        <v>-1.4838814816586776E-3</v>
      </c>
    </row>
    <row r="39" spans="1:10" x14ac:dyDescent="0.2">
      <c r="A39" s="3">
        <f>Data!A39</f>
        <v>39141</v>
      </c>
      <c r="B39">
        <f>Data!F39 - Factors!AB41</f>
        <v>1.7089465731175313E-2</v>
      </c>
      <c r="C39">
        <f>Factors!M41</f>
        <v>2.2753673183472545E-2</v>
      </c>
      <c r="D39">
        <f>Factors!K41</f>
        <v>7.5626638461523399E-3</v>
      </c>
      <c r="E39">
        <f>Factors!N41</f>
        <v>1.3929154529927379E-2</v>
      </c>
      <c r="G39" cm="1">
        <f t="array" ref="G39">TREND(B3:B38, C3:E38, C39:E39, TRUE)</f>
        <v>1.8404435701808022E-2</v>
      </c>
      <c r="H39">
        <f t="shared" si="0"/>
        <v>-1.3149699706327088E-3</v>
      </c>
      <c r="I39">
        <f t="shared" si="1"/>
        <v>-1.3149699706327088E-3</v>
      </c>
      <c r="J39">
        <f t="shared" si="2"/>
        <v>1.7089465731175313E-2</v>
      </c>
    </row>
    <row r="40" spans="1:10" x14ac:dyDescent="0.2">
      <c r="A40" s="3">
        <f>Data!A40</f>
        <v>39171</v>
      </c>
      <c r="B40">
        <f>Data!F40 - Factors!AB42</f>
        <v>3.4742056430658863E-4</v>
      </c>
      <c r="C40">
        <f>Factors!M42</f>
        <v>3.0425055928411382E-3</v>
      </c>
      <c r="D40">
        <f>Factors!K42</f>
        <v>7.5347264703666816E-3</v>
      </c>
      <c r="E40">
        <f>Factors!N42</f>
        <v>2.3225471050023483E-3</v>
      </c>
      <c r="G40" cm="1">
        <f t="array" ref="G40">TREND(B4:B39, C4:E39, C40:E40, TRUE)</f>
        <v>2.1814541945944536E-4</v>
      </c>
      <c r="H40">
        <f t="shared" si="0"/>
        <v>1.2927514484714327E-4</v>
      </c>
      <c r="I40">
        <f t="shared" si="1"/>
        <v>1.2927514484714327E-4</v>
      </c>
      <c r="J40">
        <f t="shared" si="2"/>
        <v>3.4742056430658863E-4</v>
      </c>
    </row>
    <row r="41" spans="1:10" x14ac:dyDescent="0.2">
      <c r="A41" s="3">
        <f>Data!A41</f>
        <v>39202</v>
      </c>
      <c r="B41">
        <f>Data!F41 - Factors!AB43</f>
        <v>3.6137696440816658E-3</v>
      </c>
      <c r="C41">
        <f>Factors!M43</f>
        <v>7.8096584475386699E-3</v>
      </c>
      <c r="D41">
        <f>Factors!K43</f>
        <v>1.4190543098566266E-2</v>
      </c>
      <c r="E41">
        <f>Factors!N43</f>
        <v>1.3232765661495227E-2</v>
      </c>
      <c r="G41" cm="1">
        <f t="array" ref="G41">TREND(B5:B40, C5:E40, C41:E41, TRUE)</f>
        <v>4.2312245529064138E-3</v>
      </c>
      <c r="H41">
        <f t="shared" si="0"/>
        <v>-6.1745490882474802E-4</v>
      </c>
      <c r="I41">
        <f t="shared" si="1"/>
        <v>-6.1745490882474802E-4</v>
      </c>
      <c r="J41">
        <f t="shared" si="2"/>
        <v>3.6137696440816658E-3</v>
      </c>
    </row>
    <row r="42" spans="1:10" x14ac:dyDescent="0.2">
      <c r="A42" s="3">
        <f>Data!A42</f>
        <v>39233</v>
      </c>
      <c r="B42">
        <f>Data!F42 - Factors!AB44</f>
        <v>-1.8720259364302771E-2</v>
      </c>
      <c r="C42">
        <f>Factors!M44</f>
        <v>-1.6758026624902E-2</v>
      </c>
      <c r="D42">
        <f>Factors!K44</f>
        <v>1.4873412800849639E-2</v>
      </c>
      <c r="E42">
        <f>Factors!N44</f>
        <v>7.1149950057087796E-3</v>
      </c>
      <c r="G42" cm="1">
        <f t="array" ref="G42">TREND(B6:B41, C6:E41, C42:E42, TRUE)</f>
        <v>-1.7861264062077574E-2</v>
      </c>
      <c r="H42">
        <f t="shared" si="0"/>
        <v>-8.5899530222519754E-4</v>
      </c>
      <c r="I42">
        <f t="shared" si="1"/>
        <v>-8.5899530222519754E-4</v>
      </c>
      <c r="J42">
        <f t="shared" si="2"/>
        <v>-1.8720259364302771E-2</v>
      </c>
    </row>
    <row r="43" spans="1:10" x14ac:dyDescent="0.2">
      <c r="A43" s="3">
        <f>Data!A43</f>
        <v>39262</v>
      </c>
      <c r="B43">
        <f>Data!F43 - Factors!AB45</f>
        <v>-5.6159440627415735E-3</v>
      </c>
      <c r="C43">
        <f>Factors!M45</f>
        <v>-2.3823704586062311E-3</v>
      </c>
      <c r="D43">
        <f>Factors!K45</f>
        <v>5.6216336303123171E-3</v>
      </c>
      <c r="E43">
        <f>Factors!N45</f>
        <v>-1.6854025295065078E-2</v>
      </c>
      <c r="G43" cm="1">
        <f t="array" ref="G43">TREND(B7:B42, C7:E42, C43:E43, TRUE)</f>
        <v>-5.1672132207560085E-3</v>
      </c>
      <c r="H43">
        <f t="shared" si="0"/>
        <v>-4.4873084198556509E-4</v>
      </c>
      <c r="I43">
        <f t="shared" si="1"/>
        <v>-4.4873084198556509E-4</v>
      </c>
      <c r="J43">
        <f t="shared" si="2"/>
        <v>-5.6159440627415735E-3</v>
      </c>
    </row>
    <row r="44" spans="1:10" x14ac:dyDescent="0.2">
      <c r="A44" s="3">
        <f>Data!A44</f>
        <v>39294</v>
      </c>
      <c r="B44">
        <f>Data!F44 - Factors!AB46</f>
        <v>1.9022065056875759E-2</v>
      </c>
      <c r="C44">
        <f>Factors!M46</f>
        <v>2.3700104130510047E-2</v>
      </c>
      <c r="D44">
        <f>Factors!K46</f>
        <v>-5.8038811087262054E-3</v>
      </c>
      <c r="E44">
        <f>Factors!N46</f>
        <v>-3.1400491812909603E-2</v>
      </c>
      <c r="G44" cm="1">
        <f t="array" ref="G44">TREND(B8:B43, C8:E43, C44:E44, TRUE)</f>
        <v>1.8423624825648917E-2</v>
      </c>
      <c r="H44">
        <f t="shared" si="0"/>
        <v>5.9844023122684192E-4</v>
      </c>
      <c r="I44">
        <f t="shared" si="1"/>
        <v>5.9844023122684192E-4</v>
      </c>
      <c r="J44">
        <f t="shared" si="2"/>
        <v>1.9022065056875759E-2</v>
      </c>
    </row>
    <row r="45" spans="1:10" x14ac:dyDescent="0.2">
      <c r="A45" s="3">
        <f>Data!A45</f>
        <v>39325</v>
      </c>
      <c r="B45">
        <f>Data!F45 - Factors!AB47</f>
        <v>5.2633421729244567E-3</v>
      </c>
      <c r="C45">
        <f>Factors!M47</f>
        <v>1.3345630119893537E-2</v>
      </c>
      <c r="D45">
        <f>Factors!K47</f>
        <v>-6.8813849554499873E-3</v>
      </c>
      <c r="E45">
        <f>Factors!N47</f>
        <v>1.1146386435790356E-2</v>
      </c>
      <c r="G45" cm="1">
        <f t="array" ref="G45">TREND(B9:B44, C9:E44, C45:E45, TRUE)</f>
        <v>9.750069304090371E-3</v>
      </c>
      <c r="H45">
        <f t="shared" si="0"/>
        <v>-4.4867271311659143E-3</v>
      </c>
      <c r="I45">
        <f t="shared" si="1"/>
        <v>-4.4867271311659143E-3</v>
      </c>
      <c r="J45">
        <f t="shared" si="2"/>
        <v>5.2633421729244567E-3</v>
      </c>
    </row>
    <row r="46" spans="1:10" x14ac:dyDescent="0.2">
      <c r="A46" s="3">
        <f>Data!A46</f>
        <v>39353</v>
      </c>
      <c r="B46">
        <f>Data!F46 - Factors!AB48</f>
        <v>6.5596173542554759E-3</v>
      </c>
      <c r="C46">
        <f>Factors!M48</f>
        <v>8.8736013705232875E-3</v>
      </c>
      <c r="D46">
        <f>Factors!K48</f>
        <v>1.3501838333186411E-2</v>
      </c>
      <c r="E46">
        <f>Factors!N48</f>
        <v>2.4439569479673739E-2</v>
      </c>
      <c r="G46" cm="1">
        <f t="array" ref="G46">TREND(B10:B45, C10:E45, C46:E46, TRUE)</f>
        <v>4.7899194422887231E-3</v>
      </c>
      <c r="H46">
        <f t="shared" si="0"/>
        <v>1.7696979119667527E-3</v>
      </c>
      <c r="I46">
        <f t="shared" si="1"/>
        <v>1.7696979119667527E-3</v>
      </c>
      <c r="J46">
        <f t="shared" si="2"/>
        <v>6.5596173542554759E-3</v>
      </c>
    </row>
    <row r="47" spans="1:10" x14ac:dyDescent="0.2">
      <c r="A47" s="3">
        <f>Data!A47</f>
        <v>39386</v>
      </c>
      <c r="B47">
        <f>Data!F47 - Factors!AB49</f>
        <v>1.1182572119771583E-2</v>
      </c>
      <c r="C47">
        <f>Factors!M49</f>
        <v>1.3770413510393986E-2</v>
      </c>
      <c r="D47">
        <f>Factors!K49</f>
        <v>2.100254545926461E-2</v>
      </c>
      <c r="E47">
        <f>Factors!N49</f>
        <v>6.0544718439454748E-3</v>
      </c>
      <c r="G47" cm="1">
        <f t="array" ref="G47">TREND(B11:B46, C11:E46, C47:E47, TRUE)</f>
        <v>9.8813231448826328E-3</v>
      </c>
      <c r="H47">
        <f t="shared" si="0"/>
        <v>1.3012489748889505E-3</v>
      </c>
      <c r="I47">
        <f t="shared" si="1"/>
        <v>1.3012489748889505E-3</v>
      </c>
      <c r="J47">
        <f t="shared" si="2"/>
        <v>1.1182572119771583E-2</v>
      </c>
    </row>
    <row r="48" spans="1:10" x14ac:dyDescent="0.2">
      <c r="A48" s="3">
        <f>Data!A48</f>
        <v>39416</v>
      </c>
      <c r="B48">
        <f>Data!F48 - Factors!AB50</f>
        <v>4.014690588583858E-2</v>
      </c>
      <c r="C48">
        <f>Factors!M50</f>
        <v>4.6900558776188594E-2</v>
      </c>
      <c r="D48">
        <f>Factors!K50</f>
        <v>-5.3199225929806415E-3</v>
      </c>
      <c r="E48">
        <f>Factors!N50</f>
        <v>-2.0463649833127984E-2</v>
      </c>
      <c r="G48" cm="1">
        <f t="array" ref="G48">TREND(B12:B47, C12:E47, C48:E48, TRUE)</f>
        <v>3.9153879944408269E-2</v>
      </c>
      <c r="H48">
        <f t="shared" si="0"/>
        <v>9.9302594143031025E-4</v>
      </c>
      <c r="I48">
        <f t="shared" si="1"/>
        <v>9.9302594143031025E-4</v>
      </c>
      <c r="J48">
        <f t="shared" si="2"/>
        <v>4.014690588583858E-2</v>
      </c>
    </row>
    <row r="49" spans="1:10" x14ac:dyDescent="0.2">
      <c r="A49" s="3">
        <f>Data!A49</f>
        <v>39447</v>
      </c>
      <c r="B49">
        <f>Data!F49 - Factors!AB51</f>
        <v>-4.7841931562234707E-3</v>
      </c>
      <c r="C49">
        <f>Factors!M51</f>
        <v>-4.6936913288584403E-3</v>
      </c>
      <c r="D49">
        <f>Factors!K51</f>
        <v>6.4364700458012791E-3</v>
      </c>
      <c r="E49">
        <f>Factors!N51</f>
        <v>2.9318244708032015E-3</v>
      </c>
      <c r="G49" cm="1">
        <f t="array" ref="G49">TREND(B13:B48, C13:E48, C49:E49, TRUE)</f>
        <v>-7.3251428518635048E-3</v>
      </c>
      <c r="H49">
        <f t="shared" si="0"/>
        <v>2.5409496956400341E-3</v>
      </c>
      <c r="I49">
        <f t="shared" si="1"/>
        <v>2.5409496956400341E-3</v>
      </c>
      <c r="J49">
        <f t="shared" si="2"/>
        <v>-4.7841931562234707E-3</v>
      </c>
    </row>
    <row r="50" spans="1:10" x14ac:dyDescent="0.2">
      <c r="A50" s="3">
        <f>Data!A50</f>
        <v>39478</v>
      </c>
      <c r="B50">
        <f>Data!F50 - Factors!AB52</f>
        <v>4.205616702548487E-2</v>
      </c>
      <c r="C50">
        <f>Factors!M52</f>
        <v>4.7007554112689975E-2</v>
      </c>
      <c r="D50">
        <f>Factors!K52</f>
        <v>-1.2919280819289058E-2</v>
      </c>
      <c r="E50">
        <f>Factors!N52</f>
        <v>-1.3587122109753103E-2</v>
      </c>
      <c r="G50" cm="1">
        <f t="array" ref="G50">TREND(B14:B49, C14:E49, C50:E50, TRUE)</f>
        <v>3.874553779899239E-2</v>
      </c>
      <c r="H50">
        <f t="shared" si="0"/>
        <v>3.31062922649248E-3</v>
      </c>
      <c r="I50" t="str">
        <f t="shared" si="1"/>
        <v/>
      </c>
      <c r="J50" t="str">
        <f t="shared" si="2"/>
        <v/>
      </c>
    </row>
    <row r="51" spans="1:10" x14ac:dyDescent="0.2">
      <c r="A51" s="3">
        <f>Data!A51</f>
        <v>39507</v>
      </c>
      <c r="B51">
        <f>Data!F51 - Factors!AB53</f>
        <v>1.7563790912744848E-2</v>
      </c>
      <c r="C51">
        <f>Factors!M53</f>
        <v>1.8790070590211094E-2</v>
      </c>
      <c r="D51">
        <f>Factors!K53</f>
        <v>-9.224231862039467E-4</v>
      </c>
      <c r="E51">
        <f>Factors!N53</f>
        <v>-1.1872954750983822E-2</v>
      </c>
      <c r="G51" cm="1">
        <f t="array" ref="G51">TREND(B15:B50, C15:E50, C51:E51, TRUE)</f>
        <v>1.451969281711854E-2</v>
      </c>
      <c r="H51">
        <f t="shared" si="0"/>
        <v>3.0440980956263075E-3</v>
      </c>
      <c r="I51" t="str">
        <f t="shared" si="1"/>
        <v/>
      </c>
      <c r="J51" t="str">
        <f t="shared" si="2"/>
        <v/>
      </c>
    </row>
    <row r="52" spans="1:10" x14ac:dyDescent="0.2">
      <c r="A52" s="3">
        <f>Data!A52</f>
        <v>39538</v>
      </c>
      <c r="B52">
        <f>Data!F52 - Factors!AB54</f>
        <v>4.6754356099854011E-3</v>
      </c>
      <c r="C52">
        <f>Factors!M54</f>
        <v>7.0818861482309092E-3</v>
      </c>
      <c r="D52">
        <f>Factors!K54</f>
        <v>-1.9929319898305486E-2</v>
      </c>
      <c r="E52">
        <f>Factors!N54</f>
        <v>-5.192468662843619E-3</v>
      </c>
      <c r="G52" cm="1">
        <f t="array" ref="G52">TREND(B16:B51, C16:E51, C52:E52, TRUE)</f>
        <v>2.3579192189417514E-3</v>
      </c>
      <c r="H52">
        <f t="shared" si="0"/>
        <v>2.3175163910436497E-3</v>
      </c>
      <c r="I52" t="str">
        <f t="shared" si="1"/>
        <v/>
      </c>
      <c r="J52" t="str">
        <f t="shared" si="2"/>
        <v/>
      </c>
    </row>
    <row r="53" spans="1:10" x14ac:dyDescent="0.2">
      <c r="A53" s="3">
        <f>Data!A53</f>
        <v>39568</v>
      </c>
      <c r="B53">
        <f>Data!F53 - Factors!AB55</f>
        <v>-2.9846035133824778E-2</v>
      </c>
      <c r="C53">
        <f>Factors!M55</f>
        <v>-3.3313263928264614E-2</v>
      </c>
      <c r="D53">
        <f>Factors!K55</f>
        <v>1.3855987571611772E-2</v>
      </c>
      <c r="E53">
        <f>Factors!N55</f>
        <v>4.1657065448883035E-2</v>
      </c>
      <c r="G53" cm="1">
        <f t="array" ref="G53">TREND(B17:B52, C17:E52, C53:E53, TRUE)</f>
        <v>-3.5052249560845343E-2</v>
      </c>
      <c r="H53">
        <f t="shared" si="0"/>
        <v>5.2062144270205654E-3</v>
      </c>
      <c r="I53" t="str">
        <f t="shared" si="1"/>
        <v/>
      </c>
      <c r="J53" t="str">
        <f t="shared" si="2"/>
        <v/>
      </c>
    </row>
    <row r="54" spans="1:10" x14ac:dyDescent="0.2">
      <c r="A54" s="3">
        <f>Data!A54</f>
        <v>39598</v>
      </c>
      <c r="B54">
        <f>Data!F54 - Factors!AB56</f>
        <v>4.7819842674596824E-3</v>
      </c>
      <c r="C54">
        <f>Factors!M56</f>
        <v>7.1172010110416295E-3</v>
      </c>
      <c r="D54">
        <f>Factors!K56</f>
        <v>1.2715857948602638E-2</v>
      </c>
      <c r="E54">
        <f>Factors!N56</f>
        <v>4.2835093270232605E-3</v>
      </c>
      <c r="G54" cm="1">
        <f t="array" ref="G54">TREND(B18:B53, C18:E53, C54:E54, TRUE)</f>
        <v>3.6799149305200085E-3</v>
      </c>
      <c r="H54">
        <f t="shared" si="0"/>
        <v>1.1020693369396739E-3</v>
      </c>
      <c r="I54" t="str">
        <f t="shared" si="1"/>
        <v/>
      </c>
      <c r="J54" t="str">
        <f t="shared" si="2"/>
        <v/>
      </c>
    </row>
    <row r="55" spans="1:10" x14ac:dyDescent="0.2">
      <c r="A55" s="3">
        <f>Data!A55</f>
        <v>39629</v>
      </c>
      <c r="B55">
        <f>Data!F55 - Factors!AB57</f>
        <v>1.4255091386199181E-2</v>
      </c>
      <c r="C55">
        <f>Factors!M57</f>
        <v>1.5442717245768511E-2</v>
      </c>
      <c r="D55">
        <f>Factors!K57</f>
        <v>-6.2802390314177226E-3</v>
      </c>
      <c r="E55">
        <f>Factors!N57</f>
        <v>-2.6794579341624658E-2</v>
      </c>
      <c r="G55" cm="1">
        <f t="array" ref="G55">TREND(B19:B54, C19:E54, C55:E55, TRUE)</f>
        <v>1.1801018151158939E-2</v>
      </c>
      <c r="H55">
        <f t="shared" si="0"/>
        <v>2.4540732350402418E-3</v>
      </c>
      <c r="I55" t="str">
        <f t="shared" si="1"/>
        <v/>
      </c>
      <c r="J55" t="str">
        <f t="shared" si="2"/>
        <v/>
      </c>
    </row>
    <row r="56" spans="1:10" x14ac:dyDescent="0.2">
      <c r="A56" s="3">
        <f>Data!A56</f>
        <v>39660</v>
      </c>
      <c r="B56">
        <f>Data!F56 - Factors!AB58</f>
        <v>-1.0025302209385467E-2</v>
      </c>
      <c r="C56">
        <f>Factors!M58</f>
        <v>-9.2004044393724227E-3</v>
      </c>
      <c r="D56">
        <f>Factors!K58</f>
        <v>-8.1509853234239538E-3</v>
      </c>
      <c r="E56">
        <f>Factors!N58</f>
        <v>-1.6026927020641013E-2</v>
      </c>
      <c r="G56" cm="1">
        <f t="array" ref="G56">TREND(B20:B55, C20:E55, C56:E56, TRUE)</f>
        <v>-1.0279559977777564E-2</v>
      </c>
      <c r="H56">
        <f t="shared" si="0"/>
        <v>2.5425776839209727E-4</v>
      </c>
      <c r="I56" t="str">
        <f t="shared" si="1"/>
        <v/>
      </c>
      <c r="J56" t="str">
        <f t="shared" si="2"/>
        <v/>
      </c>
    </row>
    <row r="57" spans="1:10" x14ac:dyDescent="0.2">
      <c r="A57" s="3">
        <f>Data!A57</f>
        <v>39689</v>
      </c>
      <c r="B57">
        <f>Data!F57 - Factors!AB59</f>
        <v>1.0665335101434303E-2</v>
      </c>
      <c r="C57">
        <f>Factors!M59</f>
        <v>1.3194722111155466E-2</v>
      </c>
      <c r="D57">
        <f>Factors!K59</f>
        <v>-1.4401191239722388E-3</v>
      </c>
      <c r="E57">
        <f>Factors!N59</f>
        <v>3.2272735985667822E-3</v>
      </c>
      <c r="G57" cm="1">
        <f t="array" ref="G57">TREND(B21:B56, C21:E56, C57:E57, TRUE)</f>
        <v>9.1511849327650281E-3</v>
      </c>
      <c r="H57">
        <f t="shared" si="0"/>
        <v>1.5141501686692753E-3</v>
      </c>
      <c r="I57" t="str">
        <f t="shared" si="1"/>
        <v/>
      </c>
      <c r="J57" t="str">
        <f t="shared" si="2"/>
        <v/>
      </c>
    </row>
    <row r="58" spans="1:10" x14ac:dyDescent="0.2">
      <c r="A58" s="3">
        <f>Data!A58</f>
        <v>39721</v>
      </c>
      <c r="B58">
        <f>Data!F58 - Factors!AB60</f>
        <v>-4.3280590801458407E-2</v>
      </c>
      <c r="C58">
        <f>Factors!M60</f>
        <v>-4.6319311100378124E-2</v>
      </c>
      <c r="D58">
        <f>Factors!K60</f>
        <v>-5.898082472588384E-2</v>
      </c>
      <c r="E58">
        <f>Factors!N60</f>
        <v>-8.2973922679955736E-2</v>
      </c>
      <c r="G58" cm="1">
        <f t="array" ref="G58">TREND(B22:B57, C22:E57, C58:E58, TRUE)</f>
        <v>-4.1185148763898997E-2</v>
      </c>
      <c r="H58">
        <f t="shared" si="0"/>
        <v>-2.0954420375594099E-3</v>
      </c>
      <c r="I58" t="str">
        <f t="shared" si="1"/>
        <v/>
      </c>
      <c r="J58" t="str">
        <f t="shared" si="2"/>
        <v/>
      </c>
    </row>
    <row r="59" spans="1:10" x14ac:dyDescent="0.2">
      <c r="A59" s="3">
        <f>Data!A59</f>
        <v>39752</v>
      </c>
      <c r="B59">
        <f>Data!F59 - Factors!AB61</f>
        <v>-9.5495321550930656E-2</v>
      </c>
      <c r="C59">
        <f>Factors!M61</f>
        <v>-7.6398581963264323E-2</v>
      </c>
      <c r="D59">
        <f>Factors!K61</f>
        <v>-8.0311738926092557E-2</v>
      </c>
      <c r="E59">
        <f>Factors!N61</f>
        <v>-0.16298381261577977</v>
      </c>
      <c r="G59" cm="1">
        <f t="array" ref="G59">TREND(B23:B58, C23:E58, C59:E59, TRUE)</f>
        <v>-6.7969242514031206E-2</v>
      </c>
      <c r="H59">
        <f t="shared" si="0"/>
        <v>-2.7526079036899451E-2</v>
      </c>
      <c r="I59" t="str">
        <f t="shared" si="1"/>
        <v/>
      </c>
      <c r="J59" t="str">
        <f t="shared" si="2"/>
        <v/>
      </c>
    </row>
    <row r="60" spans="1:10" x14ac:dyDescent="0.2">
      <c r="A60" s="3">
        <f>Data!A60</f>
        <v>39780</v>
      </c>
      <c r="B60">
        <f>Data!F60 - Factors!AB62</f>
        <v>1.4529970279181459E-2</v>
      </c>
      <c r="C60">
        <f>Factors!M62</f>
        <v>4.687583587439148E-2</v>
      </c>
      <c r="D60">
        <f>Factors!K62</f>
        <v>-2.8024411644779201E-2</v>
      </c>
      <c r="E60">
        <f>Factors!N62</f>
        <v>-8.4323008128609489E-2</v>
      </c>
      <c r="G60" cm="1">
        <f t="array" ref="G60">TREND(B24:B59, C24:E59, C60:E60, TRUE)</f>
        <v>3.5257795176027576E-2</v>
      </c>
      <c r="H60">
        <f t="shared" si="0"/>
        <v>-2.0727824896846117E-2</v>
      </c>
      <c r="I60" t="str">
        <f t="shared" si="1"/>
        <v/>
      </c>
      <c r="J60" t="str">
        <f t="shared" si="2"/>
        <v/>
      </c>
    </row>
    <row r="61" spans="1:10" x14ac:dyDescent="0.2">
      <c r="A61" s="3">
        <f>Data!A61</f>
        <v>39813</v>
      </c>
      <c r="B61">
        <f>Data!F61 - Factors!AB63</f>
        <v>6.1892992693730831E-2</v>
      </c>
      <c r="C61">
        <f>Factors!M63</f>
        <v>3.4186287159702067E-2</v>
      </c>
      <c r="D61">
        <f>Factors!K63</f>
        <v>-2.3592003921266702E-3</v>
      </c>
      <c r="E61">
        <f>Factors!N63</f>
        <v>7.4744089720586881E-2</v>
      </c>
      <c r="G61" cm="1">
        <f t="array" ref="G61">TREND(B25:B60, C25:E60, C61:E61, TRUE)</f>
        <v>4.1464106333179124E-2</v>
      </c>
      <c r="H61">
        <f t="shared" si="0"/>
        <v>2.0428886360551707E-2</v>
      </c>
      <c r="I61" t="str">
        <f t="shared" si="1"/>
        <v/>
      </c>
      <c r="J61" t="str">
        <f t="shared" si="2"/>
        <v/>
      </c>
    </row>
    <row r="62" spans="1:10" x14ac:dyDescent="0.2">
      <c r="A62" s="3">
        <f>Data!A62</f>
        <v>39843</v>
      </c>
      <c r="B62">
        <f>Data!F62 - Factors!AB64</f>
        <v>1.1490048625345417E-2</v>
      </c>
      <c r="C62">
        <f>Factors!M64</f>
        <v>1.0796388027620951E-2</v>
      </c>
      <c r="D62">
        <f>Factors!K64</f>
        <v>2.0547026166424676E-2</v>
      </c>
      <c r="E62">
        <f>Factors!N64</f>
        <v>5.3079254411582122E-2</v>
      </c>
      <c r="G62" cm="1">
        <f t="array" ref="G62">TREND(B26:B61, C26:E61, C62:E62, TRUE)</f>
        <v>1.7211324260090113E-2</v>
      </c>
      <c r="H62">
        <f t="shared" si="0"/>
        <v>-5.7212756347446957E-3</v>
      </c>
      <c r="I62" t="str">
        <f t="shared" si="1"/>
        <v/>
      </c>
      <c r="J62" t="str">
        <f t="shared" si="2"/>
        <v/>
      </c>
    </row>
    <row r="63" spans="1:10" x14ac:dyDescent="0.2">
      <c r="A63" s="3">
        <f>Data!A63</f>
        <v>39871</v>
      </c>
      <c r="B63">
        <f>Data!F63 - Factors!AB65</f>
        <v>-3.5446727201330464E-2</v>
      </c>
      <c r="C63">
        <f>Factors!M65</f>
        <v>-3.9271878475319877E-2</v>
      </c>
      <c r="D63">
        <f>Factors!K65</f>
        <v>5.1834774386301241E-3</v>
      </c>
      <c r="E63">
        <f>Factors!N65</f>
        <v>-3.4666707427051691E-2</v>
      </c>
      <c r="G63" cm="1">
        <f t="array" ref="G63">TREND(B27:B62, C27:E62, C63:E63, TRUE)</f>
        <v>-4.9137024277310662E-2</v>
      </c>
      <c r="H63">
        <f t="shared" si="0"/>
        <v>1.3690297075980198E-2</v>
      </c>
      <c r="I63" t="str">
        <f t="shared" si="1"/>
        <v/>
      </c>
      <c r="J63" t="str">
        <f t="shared" si="2"/>
        <v/>
      </c>
    </row>
    <row r="64" spans="1:10" x14ac:dyDescent="0.2">
      <c r="A64" s="3">
        <f>Data!A64</f>
        <v>39903</v>
      </c>
      <c r="B64">
        <f>Data!F64 - Factors!AB66</f>
        <v>7.1883267505939319E-2</v>
      </c>
      <c r="C64">
        <f>Factors!M66</f>
        <v>6.6101878176140216E-2</v>
      </c>
      <c r="D64">
        <f>Factors!K66</f>
        <v>9.9570400484072508E-3</v>
      </c>
      <c r="E64">
        <f>Factors!N66</f>
        <v>3.3036633226642076E-2</v>
      </c>
      <c r="G64" cm="1">
        <f t="array" ref="G64">TREND(B28:B63, C28:E63, C64:E64, TRUE)</f>
        <v>6.2935259908042954E-2</v>
      </c>
      <c r="H64">
        <f t="shared" si="0"/>
        <v>8.9480075978963652E-3</v>
      </c>
      <c r="I64" t="str">
        <f t="shared" si="1"/>
        <v/>
      </c>
      <c r="J64" t="str">
        <f t="shared" si="2"/>
        <v/>
      </c>
    </row>
    <row r="65" spans="1:10" x14ac:dyDescent="0.2">
      <c r="A65" s="3">
        <f>Data!A65</f>
        <v>39933</v>
      </c>
      <c r="B65">
        <f>Data!F65 - Factors!AB67</f>
        <v>-8.6874457556627149E-3</v>
      </c>
      <c r="C65">
        <f>Factors!M67</f>
        <v>-1.305333492423344E-2</v>
      </c>
      <c r="D65">
        <f>Factors!K67</f>
        <v>3.0997126677581033E-2</v>
      </c>
      <c r="E65">
        <f>Factors!N67</f>
        <v>0.11465983489894671</v>
      </c>
      <c r="G65" cm="1">
        <f t="array" ref="G65">TREND(B29:B64, C29:E64, C65:E65, TRUE)</f>
        <v>8.8063491920841938E-3</v>
      </c>
      <c r="H65">
        <f t="shared" si="0"/>
        <v>-1.7493794947746909E-2</v>
      </c>
      <c r="I65" t="str">
        <f t="shared" si="1"/>
        <v/>
      </c>
      <c r="J65" t="str">
        <f t="shared" si="2"/>
        <v/>
      </c>
    </row>
    <row r="66" spans="1:10" x14ac:dyDescent="0.2">
      <c r="A66" s="3">
        <f>Data!A66</f>
        <v>39962</v>
      </c>
      <c r="B66">
        <f>Data!F66 - Factors!AB68</f>
        <v>6.9454534184050232E-3</v>
      </c>
      <c r="C66">
        <f>Factors!M68</f>
        <v>3.2823153924270709E-3</v>
      </c>
      <c r="D66">
        <f>Factors!K68</f>
        <v>3.9329080872431366E-2</v>
      </c>
      <c r="E66">
        <f>Factors!N68</f>
        <v>7.1129978352002077E-2</v>
      </c>
      <c r="G66" cm="1">
        <f t="array" ref="G66">TREND(B30:B65, C30:E65, C66:E66, TRUE)</f>
        <v>7.3733492035190484E-3</v>
      </c>
      <c r="H66">
        <f t="shared" si="0"/>
        <v>-4.2789578511402519E-4</v>
      </c>
      <c r="I66" t="str">
        <f t="shared" si="1"/>
        <v/>
      </c>
      <c r="J66" t="str">
        <f t="shared" si="2"/>
        <v/>
      </c>
    </row>
    <row r="67" spans="1:10" x14ac:dyDescent="0.2">
      <c r="A67" s="3">
        <f>Data!A67</f>
        <v>39994</v>
      </c>
      <c r="B67">
        <f>Data!F67 - Factors!AB69</f>
        <v>-4.0806394795755985E-3</v>
      </c>
      <c r="C67">
        <f>Factors!M69</f>
        <v>-5.3682783551739499E-3</v>
      </c>
      <c r="D67">
        <f>Factors!K69</f>
        <v>1.5460380576513888E-2</v>
      </c>
      <c r="E67">
        <f>Factors!N69</f>
        <v>3.1797499555260345E-2</v>
      </c>
      <c r="G67" cm="1">
        <f t="array" ref="G67">TREND(B31:B66, C31:E66, C67:E67, TRUE)</f>
        <v>-3.8701872736695529E-3</v>
      </c>
      <c r="H67">
        <f t="shared" si="0"/>
        <v>-2.1045220590604555E-4</v>
      </c>
      <c r="I67" t="str">
        <f t="shared" si="1"/>
        <v/>
      </c>
      <c r="J67" t="str">
        <f t="shared" si="2"/>
        <v/>
      </c>
    </row>
    <row r="68" spans="1:10" x14ac:dyDescent="0.2">
      <c r="A68" s="3">
        <f>Data!A68</f>
        <v>40025</v>
      </c>
      <c r="B68">
        <f>Data!F68 - Factors!AB70</f>
        <v>9.0907390961265655E-3</v>
      </c>
      <c r="C68">
        <f>Factors!M70</f>
        <v>9.7768408810061658E-3</v>
      </c>
      <c r="D68">
        <f>Factors!K70</f>
        <v>2.9692498571274761E-2</v>
      </c>
      <c r="E68">
        <f>Factors!N70</f>
        <v>6.1830675736445517E-2</v>
      </c>
      <c r="G68" cm="1">
        <f t="array" ref="G68">TREND(B32:B67, C32:E67, C68:E68, TRUE)</f>
        <v>1.3516319600548497E-2</v>
      </c>
      <c r="H68">
        <f t="shared" si="0"/>
        <v>-4.4255805044219314E-3</v>
      </c>
      <c r="I68" t="str">
        <f t="shared" si="1"/>
        <v/>
      </c>
      <c r="J68" t="str">
        <f t="shared" si="2"/>
        <v/>
      </c>
    </row>
    <row r="69" spans="1:10" x14ac:dyDescent="0.2">
      <c r="A69" s="3">
        <f>Data!A69</f>
        <v>40056</v>
      </c>
      <c r="B69">
        <f>Data!F69 - Factors!AB71</f>
        <v>4.5205757669732893E-3</v>
      </c>
      <c r="C69">
        <f>Factors!M71</f>
        <v>1.4577259475219151E-3</v>
      </c>
      <c r="D69">
        <f>Factors!K71</f>
        <v>1.7522287276521276E-2</v>
      </c>
      <c r="E69">
        <f>Factors!N71</f>
        <v>2.0338574491912453E-2</v>
      </c>
      <c r="G69" cm="1">
        <f t="array" ref="G69">TREND(B33:B68, C33:E68, C69:E69, TRUE)</f>
        <v>-4.795314219374759E-4</v>
      </c>
      <c r="H69">
        <f t="shared" si="0"/>
        <v>5.0001071889107657E-3</v>
      </c>
      <c r="I69" t="str">
        <f t="shared" si="1"/>
        <v/>
      </c>
      <c r="J69" t="str">
        <f t="shared" si="2"/>
        <v/>
      </c>
    </row>
    <row r="70" spans="1:10" x14ac:dyDescent="0.2">
      <c r="A70" s="3">
        <f>Data!A70</f>
        <v>40086</v>
      </c>
      <c r="B70">
        <f>Data!F70 - Factors!AB72</f>
        <v>2.0345926496802003E-2</v>
      </c>
      <c r="C70">
        <f>Factors!M72</f>
        <v>1.9647659951719465E-2</v>
      </c>
      <c r="D70">
        <f>Factors!K72</f>
        <v>2.4510632490586381E-2</v>
      </c>
      <c r="E70">
        <f>Factors!N72</f>
        <v>5.9760113003804349E-2</v>
      </c>
      <c r="G70" cm="1">
        <f t="array" ref="G70">TREND(B34:B69, C34:E69, C70:E70, TRUE)</f>
        <v>2.3688038267730995E-2</v>
      </c>
      <c r="H70">
        <f t="shared" ref="H70:H101" si="3">B70 - G70</f>
        <v>-3.3421117709289926E-3</v>
      </c>
      <c r="I70" t="str">
        <f t="shared" ref="I70:I101" si="4">IF(OR(YEAR(A70)=2008, YEAR(A70)=2009), "", H70)</f>
        <v/>
      </c>
      <c r="J70" t="str">
        <f t="shared" ref="J70:J101" si="5">IF(OR(YEAR(A70)=2008, YEAR(A70)=2009), "", B70)</f>
        <v/>
      </c>
    </row>
    <row r="71" spans="1:10" x14ac:dyDescent="0.2">
      <c r="A71" s="3">
        <f>Data!A71</f>
        <v>40116</v>
      </c>
      <c r="B71">
        <f>Data!F71 - Factors!AB73</f>
        <v>1.7850963177098667E-2</v>
      </c>
      <c r="C71">
        <f>Factors!M73</f>
        <v>1.8705095141022587E-2</v>
      </c>
      <c r="D71">
        <f>Factors!K73</f>
        <v>1.2557164961793488E-2</v>
      </c>
      <c r="E71">
        <f>Factors!N73</f>
        <v>1.7863252229616933E-2</v>
      </c>
      <c r="G71" cm="1">
        <f t="array" ref="G71">TREND(B35:B70, C35:E70, C71:E71, TRUE)</f>
        <v>1.6633792541557554E-2</v>
      </c>
      <c r="H71">
        <f t="shared" si="3"/>
        <v>1.2171706355411128E-3</v>
      </c>
      <c r="I71" t="str">
        <f t="shared" si="4"/>
        <v/>
      </c>
      <c r="J71" t="str">
        <f t="shared" si="5"/>
        <v/>
      </c>
    </row>
    <row r="72" spans="1:10" x14ac:dyDescent="0.2">
      <c r="A72" s="3">
        <f>Data!A72</f>
        <v>40147</v>
      </c>
      <c r="B72">
        <f>Data!F72 - Factors!AB74</f>
        <v>2.549609027982469E-2</v>
      </c>
      <c r="C72">
        <f>Factors!M74</f>
        <v>2.6498659208211928E-2</v>
      </c>
      <c r="D72">
        <f>Factors!K74</f>
        <v>6.1045656248126523E-3</v>
      </c>
      <c r="E72">
        <f>Factors!N74</f>
        <v>1.0132288570985359E-2</v>
      </c>
      <c r="G72" cm="1">
        <f t="array" ref="G72">TREND(B36:B71, C36:E71, C72:E72, TRUE)</f>
        <v>2.3861930679188636E-2</v>
      </c>
      <c r="H72">
        <f t="shared" si="3"/>
        <v>1.6341596006360544E-3</v>
      </c>
      <c r="I72" t="str">
        <f t="shared" si="4"/>
        <v/>
      </c>
      <c r="J72" t="str">
        <f t="shared" si="5"/>
        <v/>
      </c>
    </row>
    <row r="73" spans="1:10" x14ac:dyDescent="0.2">
      <c r="A73" s="3">
        <f>Data!A73</f>
        <v>40178</v>
      </c>
      <c r="B73">
        <f>Data!F73 - Factors!AB75</f>
        <v>-2.1973737739004684E-2</v>
      </c>
      <c r="C73">
        <f>Factors!M75</f>
        <v>-2.7483146067415753E-2</v>
      </c>
      <c r="D73">
        <f>Factors!K75</f>
        <v>2.0512228445421776E-2</v>
      </c>
      <c r="E73">
        <f>Factors!N75</f>
        <v>3.1346173535452104E-2</v>
      </c>
      <c r="G73" cm="1">
        <f t="array" ref="G73">TREND(B37:B72, C37:E72, C73:E73, TRUE)</f>
        <v>-2.5423998043244328E-2</v>
      </c>
      <c r="H73">
        <f t="shared" si="3"/>
        <v>3.450260304239644E-3</v>
      </c>
      <c r="I73" t="str">
        <f t="shared" si="4"/>
        <v/>
      </c>
      <c r="J73" t="str">
        <f t="shared" si="5"/>
        <v/>
      </c>
    </row>
    <row r="74" spans="1:10" x14ac:dyDescent="0.2">
      <c r="A74" s="3">
        <f>Data!A74</f>
        <v>40207</v>
      </c>
      <c r="B74">
        <f>Data!F74 - Factors!AB76</f>
        <v>1.9295312939203724E-2</v>
      </c>
      <c r="C74">
        <f>Factors!M76</f>
        <v>2.0513205628855946E-2</v>
      </c>
      <c r="D74">
        <f>Factors!K76</f>
        <v>1.5317656838982563E-2</v>
      </c>
      <c r="E74">
        <f>Factors!N76</f>
        <v>1.5155120638030484E-2</v>
      </c>
      <c r="G74" cm="1">
        <f t="array" ref="G74">TREND(B38:B73, C38:E73, C74:E74, TRUE)</f>
        <v>1.7626807945163782E-2</v>
      </c>
      <c r="H74">
        <f t="shared" si="3"/>
        <v>1.6685049940399418E-3</v>
      </c>
      <c r="I74">
        <f t="shared" si="4"/>
        <v>1.6685049940399418E-3</v>
      </c>
      <c r="J74">
        <f t="shared" si="5"/>
        <v>1.9295312939203724E-2</v>
      </c>
    </row>
    <row r="75" spans="1:10" x14ac:dyDescent="0.2">
      <c r="A75" s="3">
        <f>Data!A75</f>
        <v>40235</v>
      </c>
      <c r="B75">
        <f>Data!F75 - Factors!AB77</f>
        <v>-1.2994961831195861E-2</v>
      </c>
      <c r="C75">
        <f>Factors!M77</f>
        <v>-1.8085690511097652E-2</v>
      </c>
      <c r="D75">
        <f>Factors!K77</f>
        <v>5.6242558647858765E-3</v>
      </c>
      <c r="E75">
        <f>Factors!N77</f>
        <v>1.5488291024556844E-3</v>
      </c>
      <c r="G75" cm="1">
        <f t="array" ref="G75">TREND(B39:B74, C39:E74, C75:E75, TRUE)</f>
        <v>-1.9181760015519144E-2</v>
      </c>
      <c r="H75">
        <f t="shared" si="3"/>
        <v>6.1867981843232826E-3</v>
      </c>
      <c r="I75">
        <f t="shared" si="4"/>
        <v>6.1867981843232826E-3</v>
      </c>
      <c r="J75">
        <f t="shared" si="5"/>
        <v>-1.2994961831195861E-2</v>
      </c>
    </row>
    <row r="76" spans="1:10" x14ac:dyDescent="0.2">
      <c r="A76" s="3">
        <f>Data!A76</f>
        <v>40268</v>
      </c>
      <c r="B76">
        <f>Data!F76 - Factors!AB78</f>
        <v>-4.4332428069100427E-3</v>
      </c>
      <c r="C76">
        <f>Factors!M78</f>
        <v>-7.8633030484711597E-3</v>
      </c>
      <c r="D76">
        <f>Factors!K78</f>
        <v>1.6205639641077019E-2</v>
      </c>
      <c r="E76">
        <f>Factors!N78</f>
        <v>3.0957396247492497E-2</v>
      </c>
      <c r="G76" cm="1">
        <f t="array" ref="G76">TREND(B40:B75, C40:E75, C76:E76, TRUE)</f>
        <v>-5.4133917849845782E-3</v>
      </c>
      <c r="H76">
        <f t="shared" si="3"/>
        <v>9.8014897807453556E-4</v>
      </c>
      <c r="I76">
        <f t="shared" si="4"/>
        <v>9.8014897807453556E-4</v>
      </c>
      <c r="J76">
        <f t="shared" si="5"/>
        <v>-4.4332428069100427E-3</v>
      </c>
    </row>
    <row r="77" spans="1:10" x14ac:dyDescent="0.2">
      <c r="A77" s="3">
        <f>Data!A77</f>
        <v>40298</v>
      </c>
      <c r="B77">
        <f>Data!F77 - Factors!AB79</f>
        <v>2.8125593229817225E-2</v>
      </c>
      <c r="C77">
        <f>Factors!M79</f>
        <v>3.2550842533410895E-2</v>
      </c>
      <c r="D77">
        <f>Factors!K79</f>
        <v>1.3897547811587918E-2</v>
      </c>
      <c r="E77">
        <f>Factors!N79</f>
        <v>2.2389940961085042E-2</v>
      </c>
      <c r="G77" cm="1">
        <f t="array" ref="G77">TREND(B41:B76, C41:E76, C77:E77, TRUE)</f>
        <v>3.1006886503597217E-2</v>
      </c>
      <c r="H77">
        <f t="shared" si="3"/>
        <v>-2.8812932737799918E-3</v>
      </c>
      <c r="I77">
        <f t="shared" si="4"/>
        <v>-2.8812932737799918E-3</v>
      </c>
      <c r="J77">
        <f t="shared" si="5"/>
        <v>2.8125593229817225E-2</v>
      </c>
    </row>
    <row r="78" spans="1:10" x14ac:dyDescent="0.2">
      <c r="A78" s="3">
        <f>Data!A78</f>
        <v>40329</v>
      </c>
      <c r="B78">
        <f>Data!F78 - Factors!AB80</f>
        <v>1.1165752200366086E-3</v>
      </c>
      <c r="C78">
        <f>Factors!M80</f>
        <v>3.7703571147202908E-3</v>
      </c>
      <c r="D78">
        <f>Factors!K80</f>
        <v>-1.789436229394048E-2</v>
      </c>
      <c r="E78">
        <f>Factors!N80</f>
        <v>-3.5206115979658836E-2</v>
      </c>
      <c r="G78" cm="1">
        <f t="array" ref="G78">TREND(B42:B77, C42:E77, C78:E78, TRUE)</f>
        <v>-1.3435486367729143E-3</v>
      </c>
      <c r="H78">
        <f t="shared" si="3"/>
        <v>2.4601238568095229E-3</v>
      </c>
      <c r="I78">
        <f t="shared" si="4"/>
        <v>2.4601238568095229E-3</v>
      </c>
      <c r="J78">
        <f t="shared" si="5"/>
        <v>1.1165752200366086E-3</v>
      </c>
    </row>
    <row r="79" spans="1:10" x14ac:dyDescent="0.2">
      <c r="A79" s="3">
        <f>Data!A79</f>
        <v>40359</v>
      </c>
      <c r="B79">
        <f>Data!F79 - Factors!AB81</f>
        <v>1.7327923097806064E-2</v>
      </c>
      <c r="C79">
        <f>Factors!M81</f>
        <v>1.9235081739286342E-2</v>
      </c>
      <c r="D79">
        <f>Factors!K81</f>
        <v>3.6560568654719905E-3</v>
      </c>
      <c r="E79">
        <f>Factors!N81</f>
        <v>1.3038082100099935E-2</v>
      </c>
      <c r="G79" cm="1">
        <f t="array" ref="G79">TREND(B43:B78, C43:E78, C79:E79, TRUE)</f>
        <v>1.8676997839504422E-2</v>
      </c>
      <c r="H79">
        <f t="shared" si="3"/>
        <v>-1.3490747416983577E-3</v>
      </c>
      <c r="I79">
        <f t="shared" si="4"/>
        <v>-1.3490747416983577E-3</v>
      </c>
      <c r="J79">
        <f t="shared" si="5"/>
        <v>1.7327923097806064E-2</v>
      </c>
    </row>
    <row r="80" spans="1:10" x14ac:dyDescent="0.2">
      <c r="A80" s="3">
        <f>Data!A80</f>
        <v>40389</v>
      </c>
      <c r="B80">
        <f>Data!F80 - Factors!AB82</f>
        <v>3.9149771286617341E-3</v>
      </c>
      <c r="C80">
        <f>Factors!M82</f>
        <v>3.5037925666794312E-3</v>
      </c>
      <c r="D80">
        <f>Factors!K82</f>
        <v>1.7014951977949666E-2</v>
      </c>
      <c r="E80">
        <f>Factors!N82</f>
        <v>3.4651071059714322E-2</v>
      </c>
      <c r="G80" cm="1">
        <f t="array" ref="G80">TREND(B44:B79, C44:E79, C80:E80, TRUE)</f>
        <v>5.773439570119044E-3</v>
      </c>
      <c r="H80">
        <f t="shared" si="3"/>
        <v>-1.8584624414573099E-3</v>
      </c>
      <c r="I80">
        <f t="shared" si="4"/>
        <v>-1.8584624414573099E-3</v>
      </c>
      <c r="J80">
        <f t="shared" si="5"/>
        <v>3.9149771286617341E-3</v>
      </c>
    </row>
    <row r="81" spans="1:10" x14ac:dyDescent="0.2">
      <c r="A81" s="3">
        <f>Data!A81</f>
        <v>40421</v>
      </c>
      <c r="B81">
        <f>Data!F81 - Factors!AB83</f>
        <v>1.4804070596142749E-2</v>
      </c>
      <c r="C81">
        <f>Factors!M83</f>
        <v>1.7112475334356558E-2</v>
      </c>
      <c r="D81">
        <f>Factors!K83</f>
        <v>8.18782616610636E-3</v>
      </c>
      <c r="E81">
        <f>Factors!N83</f>
        <v>1.5639986636635239E-3</v>
      </c>
      <c r="G81" cm="1">
        <f t="array" ref="G81">TREND(B45:B80, C45:E80, C81:E81, TRUE)</f>
        <v>1.324926586405975E-2</v>
      </c>
      <c r="H81">
        <f t="shared" si="3"/>
        <v>1.5548047320829983E-3</v>
      </c>
      <c r="I81">
        <f t="shared" si="4"/>
        <v>1.5548047320829983E-3</v>
      </c>
      <c r="J81">
        <f t="shared" si="5"/>
        <v>1.4804070596142749E-2</v>
      </c>
    </row>
    <row r="82" spans="1:10" x14ac:dyDescent="0.2">
      <c r="A82" s="3">
        <f>Data!A82</f>
        <v>40451</v>
      </c>
      <c r="B82">
        <f>Data!F82 - Factors!AB84</f>
        <v>1.8480297840079318E-2</v>
      </c>
      <c r="C82">
        <f>Factors!M84</f>
        <v>2.1836367359696407E-2</v>
      </c>
      <c r="D82">
        <f>Factors!K84</f>
        <v>1.6314507669459299E-2</v>
      </c>
      <c r="E82">
        <f>Factors!N84</f>
        <v>2.9689746586701204E-2</v>
      </c>
      <c r="G82" cm="1">
        <f t="array" ref="G82">TREND(B46:B81, C46:E81, C82:E82, TRUE)</f>
        <v>2.2023618639907701E-2</v>
      </c>
      <c r="H82">
        <f t="shared" si="3"/>
        <v>-3.5433207998283832E-3</v>
      </c>
      <c r="I82">
        <f t="shared" si="4"/>
        <v>-3.5433207998283832E-3</v>
      </c>
      <c r="J82">
        <f t="shared" si="5"/>
        <v>1.8480297840079318E-2</v>
      </c>
    </row>
    <row r="83" spans="1:10" x14ac:dyDescent="0.2">
      <c r="A83" s="3">
        <f>Data!A83</f>
        <v>40480</v>
      </c>
      <c r="B83">
        <f>Data!F83 - Factors!AB85</f>
        <v>2.2405591064569519E-2</v>
      </c>
      <c r="C83">
        <f>Factors!M85</f>
        <v>2.5652114295357853E-2</v>
      </c>
      <c r="D83">
        <f>Factors!K85</f>
        <v>1.5607661000129225E-2</v>
      </c>
      <c r="E83">
        <f>Factors!N85</f>
        <v>2.4252739487148789E-2</v>
      </c>
      <c r="G83" cm="1">
        <f t="array" ref="G83">TREND(B47:B82, C47:E82, C83:E83, TRUE)</f>
        <v>2.4512982041088736E-2</v>
      </c>
      <c r="H83">
        <f t="shared" si="3"/>
        <v>-2.1073909765192168E-3</v>
      </c>
      <c r="I83">
        <f t="shared" si="4"/>
        <v>-2.1073909765192168E-3</v>
      </c>
      <c r="J83">
        <f t="shared" si="5"/>
        <v>2.2405591064569519E-2</v>
      </c>
    </row>
    <row r="84" spans="1:10" x14ac:dyDescent="0.2">
      <c r="A84" s="3">
        <f>Data!A84</f>
        <v>40512</v>
      </c>
      <c r="B84">
        <f>Data!F84 - Factors!AB86</f>
        <v>-1.4436506274128846E-2</v>
      </c>
      <c r="C84">
        <f>Factors!M86</f>
        <v>-1.9215541089480537E-2</v>
      </c>
      <c r="D84">
        <f>Factors!K86</f>
        <v>4.6372082056680419E-3</v>
      </c>
      <c r="E84">
        <f>Factors!N86</f>
        <v>-1.1156313366406101E-2</v>
      </c>
      <c r="G84" cm="1">
        <f t="array" ref="G84">TREND(B48:B83, C48:E83, C84:E84, TRUE)</f>
        <v>-2.2527776921519662E-2</v>
      </c>
      <c r="H84">
        <f t="shared" si="3"/>
        <v>8.0912706473908157E-3</v>
      </c>
      <c r="I84">
        <f t="shared" si="4"/>
        <v>8.0912706473908157E-3</v>
      </c>
      <c r="J84">
        <f t="shared" si="5"/>
        <v>-1.4436506274128846E-2</v>
      </c>
    </row>
    <row r="85" spans="1:10" x14ac:dyDescent="0.2">
      <c r="A85" s="3">
        <f>Data!A85</f>
        <v>40543</v>
      </c>
      <c r="B85">
        <f>Data!F85 - Factors!AB87</f>
        <v>-1.9774999032133311E-2</v>
      </c>
      <c r="C85">
        <f>Factors!M87</f>
        <v>-2.2837250512475205E-2</v>
      </c>
      <c r="D85">
        <f>Factors!K87</f>
        <v>1.0673162764171629E-2</v>
      </c>
      <c r="E85">
        <f>Factors!N87</f>
        <v>1.7608095106669941E-2</v>
      </c>
      <c r="G85" cm="1">
        <f t="array" ref="G85">TREND(B49:B84, C49:E84, C85:E85, TRUE)</f>
        <v>-2.0439657565084451E-2</v>
      </c>
      <c r="H85">
        <f t="shared" si="3"/>
        <v>6.6465853295114008E-4</v>
      </c>
      <c r="I85">
        <f t="shared" si="4"/>
        <v>6.6465853295114008E-4</v>
      </c>
      <c r="J85">
        <f t="shared" si="5"/>
        <v>-1.9774999032133311E-2</v>
      </c>
    </row>
    <row r="86" spans="1:10" x14ac:dyDescent="0.2">
      <c r="A86" s="3">
        <f>Data!A86</f>
        <v>40574</v>
      </c>
      <c r="B86">
        <f>Data!F86 - Factors!AB88</f>
        <v>4.7572469786507643E-3</v>
      </c>
      <c r="C86">
        <f>Factors!M88</f>
        <v>1.6578587332671813E-3</v>
      </c>
      <c r="D86">
        <f>Factors!K88</f>
        <v>1.1454314005393318E-2</v>
      </c>
      <c r="E86">
        <f>Factors!N88</f>
        <v>2.1024415900435356E-2</v>
      </c>
      <c r="G86" cm="1">
        <f t="array" ref="G86">TREND(B50:B85, C50:E85, C86:E86, TRUE)</f>
        <v>2.5701248830469776E-3</v>
      </c>
      <c r="H86">
        <f t="shared" si="3"/>
        <v>2.1871220956037867E-3</v>
      </c>
      <c r="I86">
        <f t="shared" si="4"/>
        <v>2.1871220956037867E-3</v>
      </c>
      <c r="J86">
        <f t="shared" si="5"/>
        <v>4.7572469786507643E-3</v>
      </c>
    </row>
    <row r="87" spans="1:10" x14ac:dyDescent="0.2">
      <c r="A87" s="3">
        <f>Data!A87</f>
        <v>40602</v>
      </c>
      <c r="B87">
        <f>Data!F87 - Factors!AB89</f>
        <v>5.9600809399034116E-3</v>
      </c>
      <c r="C87">
        <f>Factors!M89</f>
        <v>6.2401576911952361E-3</v>
      </c>
      <c r="D87">
        <f>Factors!K89</f>
        <v>9.0771864562524396E-3</v>
      </c>
      <c r="E87">
        <f>Factors!N89</f>
        <v>1.3369760583100687E-2</v>
      </c>
      <c r="G87" cm="1">
        <f t="array" ref="G87">TREND(B51:B86, C51:E86, C87:E87, TRUE)</f>
        <v>5.7234365456740712E-3</v>
      </c>
      <c r="H87">
        <f t="shared" si="3"/>
        <v>2.3664439422934041E-4</v>
      </c>
      <c r="I87">
        <f t="shared" si="4"/>
        <v>2.3664439422934041E-4</v>
      </c>
      <c r="J87">
        <f t="shared" si="5"/>
        <v>5.9600809399034116E-3</v>
      </c>
    </row>
    <row r="88" spans="1:10" x14ac:dyDescent="0.2">
      <c r="A88" s="3">
        <f>Data!A88</f>
        <v>40633</v>
      </c>
      <c r="B88">
        <f>Data!F88 - Factors!AB90</f>
        <v>6.7034119638080814E-3</v>
      </c>
      <c r="C88">
        <f>Factors!M90</f>
        <v>8.8310914036591193E-3</v>
      </c>
      <c r="D88">
        <f>Factors!K90</f>
        <v>2.856794736134205E-3</v>
      </c>
      <c r="E88">
        <f>Factors!N90</f>
        <v>4.2013976077757142E-3</v>
      </c>
      <c r="G88" cm="1">
        <f t="array" ref="G88">TREND(B52:B87, C52:E87, C88:E88, TRUE)</f>
        <v>7.3782843155503737E-3</v>
      </c>
      <c r="H88">
        <f t="shared" si="3"/>
        <v>-6.7487235174229238E-4</v>
      </c>
      <c r="I88">
        <f t="shared" si="4"/>
        <v>-6.7487235174229238E-4</v>
      </c>
      <c r="J88">
        <f t="shared" si="5"/>
        <v>6.7034119638080814E-3</v>
      </c>
    </row>
    <row r="89" spans="1:10" x14ac:dyDescent="0.2">
      <c r="A89" s="3">
        <f>Data!A89</f>
        <v>40662</v>
      </c>
      <c r="B89">
        <f>Data!F89 - Factors!AB91</f>
        <v>2.9399788269357296E-2</v>
      </c>
      <c r="C89">
        <f>Factors!M91</f>
        <v>3.1358498928861778E-2</v>
      </c>
      <c r="D89">
        <f>Factors!K91</f>
        <v>8.2654181680053007E-3</v>
      </c>
      <c r="E89">
        <f>Factors!N91</f>
        <v>1.5199585277345662E-2</v>
      </c>
      <c r="G89" cm="1">
        <f t="array" ref="G89">TREND(B53:B88, C53:E88, C89:E89, TRUE)</f>
        <v>2.9265000378937461E-2</v>
      </c>
      <c r="H89">
        <f t="shared" si="3"/>
        <v>1.3478789041983588E-4</v>
      </c>
      <c r="I89">
        <f t="shared" si="4"/>
        <v>1.3478789041983588E-4</v>
      </c>
      <c r="J89">
        <f t="shared" si="5"/>
        <v>2.9399788269357296E-2</v>
      </c>
    </row>
    <row r="90" spans="1:10" x14ac:dyDescent="0.2">
      <c r="A90" s="3">
        <f>Data!A90</f>
        <v>40694</v>
      </c>
      <c r="B90">
        <f>Data!F90 - Factors!AB92</f>
        <v>6.852552480117069E-3</v>
      </c>
      <c r="C90">
        <f>Factors!M92</f>
        <v>6.021661610244422E-3</v>
      </c>
      <c r="D90">
        <f>Factors!K92</f>
        <v>9.9636640595424097E-4</v>
      </c>
      <c r="E90">
        <f>Factors!N92</f>
        <v>4.8901459354115939E-3</v>
      </c>
      <c r="G90" cm="1">
        <f t="array" ref="G90">TREND(B54:B89, C54:E89, C90:E90, TRUE)</f>
        <v>5.6384596488889185E-3</v>
      </c>
      <c r="H90">
        <f t="shared" si="3"/>
        <v>1.2140928312281505E-3</v>
      </c>
      <c r="I90">
        <f t="shared" si="4"/>
        <v>1.2140928312281505E-3</v>
      </c>
      <c r="J90">
        <f t="shared" si="5"/>
        <v>6.852552480117069E-3</v>
      </c>
    </row>
    <row r="91" spans="1:10" x14ac:dyDescent="0.2">
      <c r="A91" s="3">
        <f>Data!A91</f>
        <v>40724</v>
      </c>
      <c r="B91">
        <f>Data!F91 - Factors!AB93</f>
        <v>1.0483136930506509E-2</v>
      </c>
      <c r="C91">
        <f>Factors!M93</f>
        <v>1.1060934305678449E-2</v>
      </c>
      <c r="D91">
        <f>Factors!K93</f>
        <v>-2.5070277837919708E-3</v>
      </c>
      <c r="E91">
        <f>Factors!N93</f>
        <v>-1.0044765626120888E-2</v>
      </c>
      <c r="G91" cm="1">
        <f t="array" ref="G91">TREND(B55:B90, C55:E90, C91:E91, TRUE)</f>
        <v>7.628027482806889E-3</v>
      </c>
      <c r="H91">
        <f t="shared" si="3"/>
        <v>2.8551094476996202E-3</v>
      </c>
      <c r="I91">
        <f t="shared" si="4"/>
        <v>2.8551094476996202E-3</v>
      </c>
      <c r="J91">
        <f t="shared" si="5"/>
        <v>1.0483136930506509E-2</v>
      </c>
    </row>
    <row r="92" spans="1:10" x14ac:dyDescent="0.2">
      <c r="A92" s="3">
        <f>Data!A92</f>
        <v>40753</v>
      </c>
      <c r="B92">
        <f>Data!F92 - Factors!AB94</f>
        <v>4.0716808602804133E-2</v>
      </c>
      <c r="C92">
        <f>Factors!M94</f>
        <v>4.3724504936800024E-2</v>
      </c>
      <c r="D92">
        <f>Factors!K94</f>
        <v>-3.3492361080855737E-5</v>
      </c>
      <c r="E92">
        <f>Factors!N94</f>
        <v>1.2354536176482966E-2</v>
      </c>
      <c r="G92" cm="1">
        <f t="array" ref="G92">TREND(B56:B91, C56:E91, C92:E92, TRUE)</f>
        <v>4.1614965701065827E-2</v>
      </c>
      <c r="H92">
        <f t="shared" si="3"/>
        <v>-8.9815709826169404E-4</v>
      </c>
      <c r="I92">
        <f t="shared" si="4"/>
        <v>-8.9815709826169404E-4</v>
      </c>
      <c r="J92">
        <f t="shared" si="5"/>
        <v>4.0716808602804133E-2</v>
      </c>
    </row>
    <row r="93" spans="1:10" x14ac:dyDescent="0.2">
      <c r="A93" s="3">
        <f>Data!A93</f>
        <v>40786</v>
      </c>
      <c r="B93">
        <f>Data!F93 - Factors!AB95</f>
        <v>1.151010861726709E-2</v>
      </c>
      <c r="C93">
        <f>Factors!M95</f>
        <v>1.9951230325869984E-2</v>
      </c>
      <c r="D93">
        <f>Factors!K95</f>
        <v>-2.1704073192707285E-2</v>
      </c>
      <c r="E93">
        <f>Factors!N95</f>
        <v>-4.0071153827799133E-2</v>
      </c>
      <c r="G93" cm="1">
        <f t="array" ref="G93">TREND(B57:B92, C57:E92, C93:E93, TRUE)</f>
        <v>1.322644610893612E-2</v>
      </c>
      <c r="H93">
        <f t="shared" si="3"/>
        <v>-1.7163374916690302E-3</v>
      </c>
      <c r="I93">
        <f t="shared" si="4"/>
        <v>-1.7163374916690302E-3</v>
      </c>
      <c r="J93">
        <f t="shared" si="5"/>
        <v>1.151010861726709E-2</v>
      </c>
    </row>
    <row r="94" spans="1:10" x14ac:dyDescent="0.2">
      <c r="A94" s="3">
        <f>Data!A94</f>
        <v>40816</v>
      </c>
      <c r="B94">
        <f>Data!F94 - Factors!AB96</f>
        <v>-8.3202631880940903E-4</v>
      </c>
      <c r="C94">
        <f>Factors!M96</f>
        <v>2.3388110335182954E-3</v>
      </c>
      <c r="D94">
        <f>Factors!K96</f>
        <v>-1.6798196857655046E-2</v>
      </c>
      <c r="E94">
        <f>Factors!N96</f>
        <v>-3.5947188468264279E-2</v>
      </c>
      <c r="G94" cm="1">
        <f t="array" ref="G94">TREND(B58:B93, C58:E93, C94:E94, TRUE)</f>
        <v>-2.9812567211045552E-3</v>
      </c>
      <c r="H94">
        <f t="shared" si="3"/>
        <v>2.1492304022951462E-3</v>
      </c>
      <c r="I94">
        <f t="shared" si="4"/>
        <v>2.1492304022951462E-3</v>
      </c>
      <c r="J94">
        <f t="shared" si="5"/>
        <v>-8.3202631880940903E-4</v>
      </c>
    </row>
    <row r="95" spans="1:10" x14ac:dyDescent="0.2">
      <c r="A95" s="3">
        <f>Data!A95</f>
        <v>40847</v>
      </c>
      <c r="B95">
        <f>Data!F95 - Factors!AB97</f>
        <v>1.1223092991877515E-2</v>
      </c>
      <c r="C95">
        <f>Factors!M97</f>
        <v>1.1497070344723692E-2</v>
      </c>
      <c r="D95">
        <f>Factors!K97</f>
        <v>1.2663566680903848E-2</v>
      </c>
      <c r="E95">
        <f>Factors!N97</f>
        <v>5.95572366741699E-2</v>
      </c>
      <c r="G95" cm="1">
        <f t="array" ref="G95">TREND(B59:B94, C59:E94, C95:E95, TRUE)</f>
        <v>2.0025906120212347E-2</v>
      </c>
      <c r="H95">
        <f t="shared" si="3"/>
        <v>-8.802813128334832E-3</v>
      </c>
      <c r="I95">
        <f t="shared" si="4"/>
        <v>-8.802813128334832E-3</v>
      </c>
      <c r="J95">
        <f t="shared" si="5"/>
        <v>1.1223092991877515E-2</v>
      </c>
    </row>
    <row r="96" spans="1:10" x14ac:dyDescent="0.2">
      <c r="A96" s="3">
        <f>Data!A96</f>
        <v>40877</v>
      </c>
      <c r="B96">
        <f>Data!F96 - Factors!AB98</f>
        <v>1.296199895887562E-2</v>
      </c>
      <c r="C96">
        <f>Factors!M98</f>
        <v>1.1380370957218666E-2</v>
      </c>
      <c r="D96">
        <f>Factors!K98</f>
        <v>-5.9492301937030811E-3</v>
      </c>
      <c r="E96">
        <f>Factors!N98</f>
        <v>-2.2115392804953449E-2</v>
      </c>
      <c r="G96" cm="1">
        <f t="array" ref="G96">TREND(B60:B95, C60:E95, C96:E96, TRUE)</f>
        <v>6.934803531782204E-3</v>
      </c>
      <c r="H96">
        <f t="shared" si="3"/>
        <v>6.0271954270934161E-3</v>
      </c>
      <c r="I96">
        <f t="shared" si="4"/>
        <v>6.0271954270934161E-3</v>
      </c>
      <c r="J96">
        <f t="shared" si="5"/>
        <v>1.296199895887562E-2</v>
      </c>
    </row>
    <row r="97" spans="1:10" x14ac:dyDescent="0.2">
      <c r="A97" s="3">
        <f>Data!A97</f>
        <v>40907</v>
      </c>
      <c r="B97">
        <f>Data!F97 - Factors!AB99</f>
        <v>2.0602759181309604E-3</v>
      </c>
      <c r="C97">
        <f>Factors!M99</f>
        <v>3.5618508722616848E-3</v>
      </c>
      <c r="D97">
        <f>Factors!K99</f>
        <v>3.790460460686651E-3</v>
      </c>
      <c r="E97">
        <f>Factors!N99</f>
        <v>2.478676612396491E-2</v>
      </c>
      <c r="G97" cm="1">
        <f t="array" ref="G97">TREND(B61:B96, C61:E96, C97:E97, TRUE)</f>
        <v>7.7275405970089923E-3</v>
      </c>
      <c r="H97">
        <f t="shared" si="3"/>
        <v>-5.6672646788780319E-3</v>
      </c>
      <c r="I97">
        <f t="shared" si="4"/>
        <v>-5.6672646788780319E-3</v>
      </c>
      <c r="J97">
        <f t="shared" si="5"/>
        <v>2.0602759181309604E-3</v>
      </c>
    </row>
    <row r="98" spans="1:10" x14ac:dyDescent="0.2">
      <c r="A98" s="3">
        <f>Data!A98</f>
        <v>40939</v>
      </c>
      <c r="B98">
        <f>Data!F98 - Factors!AB100</f>
        <v>2.545106997995239E-2</v>
      </c>
      <c r="C98">
        <f>Factors!M100</f>
        <v>2.8705893156408591E-2</v>
      </c>
      <c r="D98">
        <f>Factors!K100</f>
        <v>1.9738373130252063E-2</v>
      </c>
      <c r="E98">
        <f>Factors!N100</f>
        <v>2.9029304918797072E-2</v>
      </c>
      <c r="G98" cm="1">
        <f t="array" ref="G98">TREND(B62:B97, C62:E97, C98:E98, TRUE)</f>
        <v>2.8622370237923835E-2</v>
      </c>
      <c r="H98">
        <f t="shared" si="3"/>
        <v>-3.1713002579714447E-3</v>
      </c>
      <c r="I98">
        <f t="shared" si="4"/>
        <v>-3.1713002579714447E-3</v>
      </c>
      <c r="J98">
        <f t="shared" si="5"/>
        <v>2.545106997995239E-2</v>
      </c>
    </row>
    <row r="99" spans="1:10" x14ac:dyDescent="0.2">
      <c r="A99" s="3">
        <f>Data!A99</f>
        <v>40968</v>
      </c>
      <c r="B99">
        <f>Data!F99 - Factors!AB101</f>
        <v>-3.2189280242237439E-3</v>
      </c>
      <c r="C99">
        <f>Factors!M101</f>
        <v>-3.6465563029186576E-3</v>
      </c>
      <c r="D99">
        <f>Factors!K101</f>
        <v>1.5767517064045E-2</v>
      </c>
      <c r="E99">
        <f>Factors!N101</f>
        <v>2.278516857909807E-2</v>
      </c>
      <c r="G99" cm="1">
        <f t="array" ref="G99">TREND(B63:B98, C63:E98, C99:E99, TRUE)</f>
        <v>-1.9448528414236421E-3</v>
      </c>
      <c r="H99">
        <f t="shared" si="3"/>
        <v>-1.2740751828001018E-3</v>
      </c>
      <c r="I99">
        <f t="shared" si="4"/>
        <v>-1.2740751828001018E-3</v>
      </c>
      <c r="J99">
        <f t="shared" si="5"/>
        <v>-3.2189280242237439E-3</v>
      </c>
    </row>
    <row r="100" spans="1:10" x14ac:dyDescent="0.2">
      <c r="A100" s="3">
        <f>Data!A100</f>
        <v>40998</v>
      </c>
      <c r="B100">
        <f>Data!F100 - Factors!AB102</f>
        <v>-5.5639715915867249E-3</v>
      </c>
      <c r="C100">
        <f>Factors!M102</f>
        <v>-8.1575057115979011E-3</v>
      </c>
      <c r="D100">
        <f>Factors!K102</f>
        <v>5.1561418228793787E-3</v>
      </c>
      <c r="E100">
        <f>Factors!N102</f>
        <v>-9.3558643157420907E-4</v>
      </c>
      <c r="G100" cm="1">
        <f t="array" ref="G100">TREND(B64:B99, C64:E99, C100:E100, TRUE)</f>
        <v>-7.342957847436298E-3</v>
      </c>
      <c r="H100">
        <f t="shared" si="3"/>
        <v>1.7789862558495731E-3</v>
      </c>
      <c r="I100">
        <f t="shared" si="4"/>
        <v>1.7789862558495731E-3</v>
      </c>
      <c r="J100">
        <f t="shared" si="5"/>
        <v>-5.5639715915867249E-3</v>
      </c>
    </row>
    <row r="101" spans="1:10" x14ac:dyDescent="0.2">
      <c r="A101" s="3">
        <f>Data!A101</f>
        <v>41029</v>
      </c>
      <c r="B101">
        <f>Data!F101 - Factors!AB103</f>
        <v>2.0287823631149449E-2</v>
      </c>
      <c r="C101">
        <f>Factors!M103</f>
        <v>2.2289066840101457E-2</v>
      </c>
      <c r="D101">
        <f>Factors!K103</f>
        <v>2.9085840630864723E-3</v>
      </c>
      <c r="E101">
        <f>Factors!N103</f>
        <v>1.0222568632545226E-2</v>
      </c>
      <c r="G101" cm="1">
        <f t="array" ref="G101">TREND(B65:B100, C65:E100, C101:E101, TRUE)</f>
        <v>1.9568122149404624E-2</v>
      </c>
      <c r="H101">
        <f t="shared" si="3"/>
        <v>7.1970148174482426E-4</v>
      </c>
      <c r="I101">
        <f t="shared" si="4"/>
        <v>7.1970148174482426E-4</v>
      </c>
      <c r="J101">
        <f t="shared" si="5"/>
        <v>2.0287823631149449E-2</v>
      </c>
    </row>
    <row r="102" spans="1:10" x14ac:dyDescent="0.2">
      <c r="A102" s="3">
        <f>Data!A102</f>
        <v>41060</v>
      </c>
      <c r="B102">
        <f>Data!F102 - Factors!AB104</f>
        <v>1.8324495543107222E-2</v>
      </c>
      <c r="C102">
        <f>Factors!M104</f>
        <v>2.4175591135616514E-2</v>
      </c>
      <c r="D102">
        <f>Factors!K104</f>
        <v>-1.0544197695849133E-2</v>
      </c>
      <c r="E102">
        <f>Factors!N104</f>
        <v>-1.2072540399918674E-2</v>
      </c>
      <c r="G102" cm="1">
        <f t="array" ref="G102">TREND(B66:B101, C66:E101, C102:E102, TRUE)</f>
        <v>1.9953906442773672E-2</v>
      </c>
      <c r="H102">
        <f t="shared" ref="H102:H121" si="6">B102 - G102</f>
        <v>-1.6294108996664503E-3</v>
      </c>
      <c r="I102">
        <f t="shared" ref="I102:I121" si="7">IF(OR(YEAR(A102)=2008, YEAR(A102)=2009), "", H102)</f>
        <v>-1.6294108996664503E-3</v>
      </c>
      <c r="J102">
        <f t="shared" ref="J102:J121" si="8">IF(OR(YEAR(A102)=2008, YEAR(A102)=2009), "", B102)</f>
        <v>1.8324495543107222E-2</v>
      </c>
    </row>
    <row r="103" spans="1:10" x14ac:dyDescent="0.2">
      <c r="A103" s="3">
        <f>Data!A103</f>
        <v>41089</v>
      </c>
      <c r="B103">
        <f>Data!F103 - Factors!AB105</f>
        <v>-3.5917039025920028E-3</v>
      </c>
      <c r="C103">
        <f>Factors!M105</f>
        <v>-1.5960934534285931E-3</v>
      </c>
      <c r="D103">
        <f>Factors!K105</f>
        <v>8.8261545297985133E-3</v>
      </c>
      <c r="E103">
        <f>Factors!N105</f>
        <v>2.0337469166369582E-2</v>
      </c>
      <c r="G103" cm="1">
        <f t="array" ref="G103">TREND(B67:B102, C67:E102, C103:E103, TRUE)</f>
        <v>-5.6765892867109615E-4</v>
      </c>
      <c r="H103">
        <f t="shared" si="6"/>
        <v>-3.0240449739209066E-3</v>
      </c>
      <c r="I103">
        <f t="shared" si="7"/>
        <v>-3.0240449739209066E-3</v>
      </c>
      <c r="J103">
        <f t="shared" si="8"/>
        <v>-3.5917039025920028E-3</v>
      </c>
    </row>
    <row r="104" spans="1:10" x14ac:dyDescent="0.2">
      <c r="A104" s="3">
        <f>Data!A104</f>
        <v>41121</v>
      </c>
      <c r="B104">
        <f>Data!F104 - Factors!AB106</f>
        <v>1.4254054744972988E-2</v>
      </c>
      <c r="C104">
        <f>Factors!M106</f>
        <v>1.7939389749660917E-2</v>
      </c>
      <c r="D104">
        <f>Factors!K106</f>
        <v>1.2016349389969205E-2</v>
      </c>
      <c r="E104">
        <f>Factors!N106</f>
        <v>1.9163300804858618E-2</v>
      </c>
      <c r="G104" cm="1">
        <f t="array" ref="G104">TREND(B68:B103, C68:E103, C104:E104, TRUE)</f>
        <v>1.6732070118589865E-2</v>
      </c>
      <c r="H104">
        <f t="shared" si="6"/>
        <v>-2.4780153736168771E-3</v>
      </c>
      <c r="I104">
        <f t="shared" si="7"/>
        <v>-2.4780153736168771E-3</v>
      </c>
      <c r="J104">
        <f t="shared" si="8"/>
        <v>1.4254054744972988E-2</v>
      </c>
    </row>
    <row r="105" spans="1:10" x14ac:dyDescent="0.2">
      <c r="A105" s="3">
        <f>Data!A105</f>
        <v>41152</v>
      </c>
      <c r="B105">
        <f>Data!F105 - Factors!AB107</f>
        <v>3.758403309968017E-4</v>
      </c>
      <c r="C105">
        <f>Factors!M107</f>
        <v>-2.3769301946535704E-3</v>
      </c>
      <c r="D105">
        <f>Factors!K107</f>
        <v>1.0532068083051627E-2</v>
      </c>
      <c r="E105">
        <f>Factors!N107</f>
        <v>1.2058380452028006E-2</v>
      </c>
      <c r="G105" cm="1">
        <f t="array" ref="G105">TREND(B69:B104, C69:E104, C105:E105, TRUE)</f>
        <v>-9.1011200105797828E-4</v>
      </c>
      <c r="H105">
        <f t="shared" si="6"/>
        <v>1.2859523320547799E-3</v>
      </c>
      <c r="I105">
        <f t="shared" si="7"/>
        <v>1.2859523320547799E-3</v>
      </c>
      <c r="J105">
        <f t="shared" si="8"/>
        <v>3.758403309968017E-4</v>
      </c>
    </row>
    <row r="106" spans="1:10" x14ac:dyDescent="0.2">
      <c r="A106" s="3">
        <f>Data!A106</f>
        <v>41180</v>
      </c>
      <c r="B106">
        <f>Data!F106 - Factors!AB108</f>
        <v>1.011820416982645E-2</v>
      </c>
      <c r="C106">
        <f>Factors!M108</f>
        <v>7.1775627770827022E-3</v>
      </c>
      <c r="D106">
        <f>Factors!K108</f>
        <v>1.3131178017094181E-2</v>
      </c>
      <c r="E106">
        <f>Factors!N108</f>
        <v>1.42431224934918E-2</v>
      </c>
      <c r="G106" cm="1">
        <f t="array" ref="G106">TREND(B70:B105, C70:E105, C106:E106, TRUE)</f>
        <v>7.6231520570013717E-3</v>
      </c>
      <c r="H106">
        <f t="shared" si="6"/>
        <v>2.4950521128250785E-3</v>
      </c>
      <c r="I106">
        <f t="shared" si="7"/>
        <v>2.4950521128250785E-3</v>
      </c>
      <c r="J106">
        <f t="shared" si="8"/>
        <v>1.011820416982645E-2</v>
      </c>
    </row>
    <row r="107" spans="1:10" x14ac:dyDescent="0.2">
      <c r="A107" s="3">
        <f>Data!A107</f>
        <v>41213</v>
      </c>
      <c r="B107">
        <f>Data!F107 - Factors!AB109</f>
        <v>5.7418970255702639E-3</v>
      </c>
      <c r="C107">
        <f>Factors!M109</f>
        <v>7.4643573767028126E-3</v>
      </c>
      <c r="D107">
        <f>Factors!K109</f>
        <v>6.4806662306513552E-3</v>
      </c>
      <c r="E107">
        <f>Factors!N109</f>
        <v>8.2474517336015296E-3</v>
      </c>
      <c r="G107" cm="1">
        <f t="array" ref="G107">TREND(B71:B106, C71:E106, C107:E107, TRUE)</f>
        <v>7.1660593713896593E-3</v>
      </c>
      <c r="H107">
        <f t="shared" si="6"/>
        <v>-1.4241623458193953E-3</v>
      </c>
      <c r="I107">
        <f t="shared" si="7"/>
        <v>-1.4241623458193953E-3</v>
      </c>
      <c r="J107">
        <f t="shared" si="8"/>
        <v>5.7418970255702639E-3</v>
      </c>
    </row>
    <row r="108" spans="1:10" x14ac:dyDescent="0.2">
      <c r="A108" s="3">
        <f>Data!A108</f>
        <v>41243</v>
      </c>
      <c r="B108">
        <f>Data!F108 - Factors!AB110</f>
        <v>6.3824219891057687E-3</v>
      </c>
      <c r="C108">
        <f>Factors!M110</f>
        <v>7.14489374905658E-3</v>
      </c>
      <c r="D108">
        <f>Factors!K110</f>
        <v>5.6097898553779668E-3</v>
      </c>
      <c r="E108">
        <f>Factors!N110</f>
        <v>7.4231587502431307E-3</v>
      </c>
      <c r="G108" cm="1">
        <f t="array" ref="G108">TREND(B72:B107, C72:E107, C108:E108, TRUE)</f>
        <v>6.7328037265395628E-3</v>
      </c>
      <c r="H108">
        <f t="shared" si="6"/>
        <v>-3.5038173743379402E-4</v>
      </c>
      <c r="I108">
        <f t="shared" si="7"/>
        <v>-3.5038173743379402E-4</v>
      </c>
      <c r="J108">
        <f t="shared" si="8"/>
        <v>6.3824219891057687E-3</v>
      </c>
    </row>
    <row r="109" spans="1:10" x14ac:dyDescent="0.2">
      <c r="A109" s="3">
        <f>Data!A109</f>
        <v>41274</v>
      </c>
      <c r="B109">
        <f>Data!F109 - Factors!AB111</f>
        <v>-7.7824117134394077E-3</v>
      </c>
      <c r="C109">
        <f>Factors!M111</f>
        <v>-1.0766207597128985E-2</v>
      </c>
      <c r="D109">
        <f>Factors!K111</f>
        <v>1.1757510952544958E-2</v>
      </c>
      <c r="E109">
        <f>Factors!N111</f>
        <v>1.5858465780672848E-2</v>
      </c>
      <c r="G109" cm="1">
        <f t="array" ref="G109">TREND(B73:B108, C73:E108, C109:E109, TRUE)</f>
        <v>-8.0235806687207669E-3</v>
      </c>
      <c r="H109">
        <f t="shared" si="6"/>
        <v>2.4116895528135916E-4</v>
      </c>
      <c r="I109">
        <f t="shared" si="7"/>
        <v>2.4116895528135916E-4</v>
      </c>
      <c r="J109">
        <f t="shared" si="8"/>
        <v>-7.7824117134394077E-3</v>
      </c>
    </row>
    <row r="110" spans="1:10" x14ac:dyDescent="0.2">
      <c r="A110" s="3">
        <f>Data!A110</f>
        <v>41305</v>
      </c>
      <c r="B110">
        <f>Data!F110 - Factors!AB112</f>
        <v>-7.9613245648367803E-3</v>
      </c>
      <c r="C110">
        <f>Factors!M112</f>
        <v>-9.3682925802787143E-3</v>
      </c>
      <c r="D110">
        <f>Factors!K112</f>
        <v>1.7690871787318097E-2</v>
      </c>
      <c r="E110">
        <f>Factors!N112</f>
        <v>1.3757887648994771E-2</v>
      </c>
      <c r="G110" cm="1">
        <f t="array" ref="G110">TREND(B74:B109, C74:E109, C110:E110, TRUE)</f>
        <v>-5.8430911671129458E-3</v>
      </c>
      <c r="H110">
        <f t="shared" si="6"/>
        <v>-2.1182333977238345E-3</v>
      </c>
      <c r="I110">
        <f t="shared" si="7"/>
        <v>-2.1182333977238345E-3</v>
      </c>
      <c r="J110">
        <f t="shared" si="8"/>
        <v>-7.9613245648367803E-3</v>
      </c>
    </row>
    <row r="111" spans="1:10" x14ac:dyDescent="0.2">
      <c r="A111" s="3">
        <f>Data!A111</f>
        <v>41333</v>
      </c>
      <c r="B111">
        <f>Data!F111 - Factors!AB113</f>
        <v>5.2677673337726549E-3</v>
      </c>
      <c r="C111">
        <f>Factors!M113</f>
        <v>5.1787717092071084E-3</v>
      </c>
      <c r="D111">
        <f>Factors!K113</f>
        <v>3.8791295056148645E-3</v>
      </c>
      <c r="E111">
        <f>Factors!N113</f>
        <v>4.6276915424947607E-3</v>
      </c>
      <c r="G111" cm="1">
        <f t="array" ref="G111">TREND(B75:B110, C75:E110, C111:E111, TRUE)</f>
        <v>4.7690969515229746E-3</v>
      </c>
      <c r="H111">
        <f t="shared" si="6"/>
        <v>4.9867038224968036E-4</v>
      </c>
      <c r="I111">
        <f t="shared" si="7"/>
        <v>4.9867038224968036E-4</v>
      </c>
      <c r="J111">
        <f t="shared" si="8"/>
        <v>5.2677673337726549E-3</v>
      </c>
    </row>
    <row r="112" spans="1:10" x14ac:dyDescent="0.2">
      <c r="A112" s="3">
        <f>Data!A112</f>
        <v>41362</v>
      </c>
      <c r="B112">
        <f>Data!F112 - Factors!AB114</f>
        <v>5.372909659159042E-3</v>
      </c>
      <c r="C112">
        <f>Factors!M114</f>
        <v>3.7827077425052202E-3</v>
      </c>
      <c r="D112">
        <f>Factors!K114</f>
        <v>8.8292465396606623E-3</v>
      </c>
      <c r="E112">
        <f>Factors!N114</f>
        <v>1.0306067088453608E-2</v>
      </c>
      <c r="G112" cm="1">
        <f t="array" ref="G112">TREND(B76:B111, C76:E111, C112:E112, TRUE)</f>
        <v>4.0184706010142485E-3</v>
      </c>
      <c r="H112">
        <f t="shared" si="6"/>
        <v>1.3544390581447935E-3</v>
      </c>
      <c r="I112">
        <f t="shared" si="7"/>
        <v>1.3544390581447935E-3</v>
      </c>
      <c r="J112">
        <f t="shared" si="8"/>
        <v>5.372909659159042E-3</v>
      </c>
    </row>
    <row r="113" spans="1:10" x14ac:dyDescent="0.2">
      <c r="A113" s="3">
        <f>Data!A113</f>
        <v>41394</v>
      </c>
      <c r="B113">
        <f>Data!F113 - Factors!AB115</f>
        <v>6.5275320369748702E-3</v>
      </c>
      <c r="C113">
        <f>Factors!M115</f>
        <v>7.5579583828075947E-3</v>
      </c>
      <c r="D113">
        <f>Factors!K115</f>
        <v>1.0642850099580548E-2</v>
      </c>
      <c r="E113">
        <f>Factors!N115</f>
        <v>1.8570358074073035E-2</v>
      </c>
      <c r="G113" cm="1">
        <f t="array" ref="G113">TREND(B77:B112, C77:E112, C113:E113, TRUE)</f>
        <v>7.3834851560960575E-3</v>
      </c>
      <c r="H113">
        <f t="shared" si="6"/>
        <v>-8.5595311912118732E-4</v>
      </c>
      <c r="I113">
        <f t="shared" si="7"/>
        <v>-8.5595311912118732E-4</v>
      </c>
      <c r="J113">
        <f t="shared" si="8"/>
        <v>6.5275320369748702E-3</v>
      </c>
    </row>
    <row r="114" spans="1:10" x14ac:dyDescent="0.2">
      <c r="A114" s="3">
        <f>Data!A114</f>
        <v>41425</v>
      </c>
      <c r="B114">
        <f>Data!F114 - Factors!AB116</f>
        <v>-4.7184527690352529E-2</v>
      </c>
      <c r="C114">
        <f>Factors!M116</f>
        <v>-5.2070056374402984E-2</v>
      </c>
      <c r="D114">
        <f>Factors!K116</f>
        <v>6.2482883066472539E-4</v>
      </c>
      <c r="E114">
        <f>Factors!N116</f>
        <v>-5.309168614464399E-3</v>
      </c>
      <c r="G114" cm="1">
        <f t="array" ref="G114">TREND(B78:B113, C78:E113, C114:E114, TRUE)</f>
        <v>-4.5419871974988278E-2</v>
      </c>
      <c r="H114">
        <f t="shared" si="6"/>
        <v>-1.7646557153642509E-3</v>
      </c>
      <c r="I114">
        <f t="shared" si="7"/>
        <v>-1.7646557153642509E-3</v>
      </c>
      <c r="J114">
        <f t="shared" si="8"/>
        <v>-4.7184527690352529E-2</v>
      </c>
    </row>
    <row r="115" spans="1:10" x14ac:dyDescent="0.2">
      <c r="A115" s="3">
        <f>Data!A115</f>
        <v>41453</v>
      </c>
      <c r="B115">
        <f>Data!F115 - Factors!AB117</f>
        <v>-5.3882066738813572E-2</v>
      </c>
      <c r="C115">
        <f>Factors!M117</f>
        <v>-5.4934687633633517E-2</v>
      </c>
      <c r="D115">
        <f>Factors!K117</f>
        <v>-1.1939816983510876E-2</v>
      </c>
      <c r="E115">
        <f>Factors!N117</f>
        <v>-2.6360046392069347E-2</v>
      </c>
      <c r="G115" cm="1">
        <f t="array" ref="G115">TREND(B79:B114, C79:E114, C115:E115, TRUE)</f>
        <v>-4.9915743812799049E-2</v>
      </c>
      <c r="H115">
        <f t="shared" si="6"/>
        <v>-3.9663229260145233E-3</v>
      </c>
      <c r="I115">
        <f t="shared" si="7"/>
        <v>-3.9663229260145233E-3</v>
      </c>
      <c r="J115">
        <f t="shared" si="8"/>
        <v>-5.3882066738813572E-2</v>
      </c>
    </row>
    <row r="116" spans="1:10" x14ac:dyDescent="0.2">
      <c r="A116" s="3">
        <f>Data!A116</f>
        <v>41486</v>
      </c>
      <c r="B116">
        <f>Data!F116 - Factors!AB118</f>
        <v>7.3875943266201727E-3</v>
      </c>
      <c r="C116">
        <f>Factors!M118</f>
        <v>2.957475789748587E-3</v>
      </c>
      <c r="D116">
        <f>Factors!K118</f>
        <v>5.7471738327656841E-3</v>
      </c>
      <c r="E116">
        <f>Factors!N118</f>
        <v>1.880567264613453E-2</v>
      </c>
      <c r="G116" cm="1">
        <f t="array" ref="G116">TREND(B80:B115, C80:E115, C116:E116, TRUE)</f>
        <v>2.3780362829647736E-3</v>
      </c>
      <c r="H116">
        <f t="shared" si="6"/>
        <v>5.0095580436553995E-3</v>
      </c>
      <c r="I116">
        <f t="shared" si="7"/>
        <v>5.0095580436553995E-3</v>
      </c>
      <c r="J116">
        <f t="shared" si="8"/>
        <v>7.3875943266201727E-3</v>
      </c>
    </row>
    <row r="117" spans="1:10" x14ac:dyDescent="0.2">
      <c r="A117" s="3">
        <f>Data!A117</f>
        <v>41516</v>
      </c>
      <c r="B117">
        <f>Data!F117 - Factors!AB119</f>
        <v>-1.0139180827203331E-2</v>
      </c>
      <c r="C117">
        <f>Factors!M119</f>
        <v>-1.0464824237463088E-2</v>
      </c>
      <c r="D117">
        <f>Factors!K119</f>
        <v>-1.1417343102947397E-3</v>
      </c>
      <c r="E117">
        <f>Factors!N119</f>
        <v>-6.2005928351865913E-3</v>
      </c>
      <c r="G117" cm="1">
        <f t="array" ref="G117">TREND(B81:B116, C81:E116, C117:E117, TRUE)</f>
        <v>-9.9704219617796352E-3</v>
      </c>
      <c r="H117">
        <f t="shared" si="6"/>
        <v>-1.68758865423696E-4</v>
      </c>
      <c r="I117">
        <f t="shared" si="7"/>
        <v>-1.68758865423696E-4</v>
      </c>
      <c r="J117">
        <f t="shared" si="8"/>
        <v>-1.0139180827203331E-2</v>
      </c>
    </row>
    <row r="118" spans="1:10" x14ac:dyDescent="0.2">
      <c r="A118" s="3">
        <f>Data!A118</f>
        <v>41547</v>
      </c>
      <c r="B118">
        <f>Data!F118 - Factors!AB120</f>
        <v>1.6455522221116459E-2</v>
      </c>
      <c r="C118">
        <f>Factors!M120</f>
        <v>1.6977194532704187E-2</v>
      </c>
      <c r="D118">
        <f>Factors!K120</f>
        <v>1.1006305486822576E-2</v>
      </c>
      <c r="E118">
        <f>Factors!N120</f>
        <v>9.9139543583988132E-3</v>
      </c>
      <c r="G118" cm="1">
        <f t="array" ref="G118">TREND(B82:B117, C82:E117, C118:E118, TRUE)</f>
        <v>1.6270738500780743E-2</v>
      </c>
      <c r="H118">
        <f t="shared" si="6"/>
        <v>1.8478372033571555E-4</v>
      </c>
      <c r="I118">
        <f t="shared" si="7"/>
        <v>1.8478372033571555E-4</v>
      </c>
      <c r="J118">
        <f t="shared" si="8"/>
        <v>1.6455522221116459E-2</v>
      </c>
    </row>
    <row r="119" spans="1:10" x14ac:dyDescent="0.2">
      <c r="A119" s="3">
        <f>Data!A119</f>
        <v>41578</v>
      </c>
      <c r="B119">
        <f>Data!F119 - Factors!AB121</f>
        <v>8.318373627398401E-3</v>
      </c>
      <c r="C119">
        <f>Factors!M121</f>
        <v>9.183428233380253E-3</v>
      </c>
      <c r="D119">
        <f>Factors!K121</f>
        <v>1.0998449253881493E-2</v>
      </c>
      <c r="E119">
        <f>Factors!N121</f>
        <v>2.4582572971922456E-2</v>
      </c>
      <c r="G119" cm="1">
        <f t="array" ref="G119">TREND(B83:B118, C83:E118, C119:E119, TRUE)</f>
        <v>9.1379959341139211E-3</v>
      </c>
      <c r="H119">
        <f t="shared" si="6"/>
        <v>-8.1962230671552005E-4</v>
      </c>
      <c r="I119">
        <f t="shared" si="7"/>
        <v>-8.1962230671552005E-4</v>
      </c>
      <c r="J119">
        <f t="shared" si="8"/>
        <v>8.318373627398401E-3</v>
      </c>
    </row>
    <row r="120" spans="1:10" x14ac:dyDescent="0.2">
      <c r="A120" s="3">
        <f>Data!A120</f>
        <v>41607</v>
      </c>
      <c r="B120">
        <f>Data!F120 - Factors!AB122</f>
        <v>-1.1446325854465256E-2</v>
      </c>
      <c r="C120">
        <f>Factors!M122</f>
        <v>-1.5287032584552662E-2</v>
      </c>
      <c r="D120">
        <f>Factors!K122</f>
        <v>4.7831924152106353E-3</v>
      </c>
      <c r="E120">
        <f>Factors!N122</f>
        <v>4.6507722474946611E-3</v>
      </c>
      <c r="G120" cm="1">
        <f t="array" ref="G120">TREND(B84:B119, C84:E119, C120:E120, TRUE)</f>
        <v>-1.3576973107613756E-2</v>
      </c>
      <c r="H120">
        <f t="shared" si="6"/>
        <v>2.1306472531484998E-3</v>
      </c>
      <c r="I120">
        <f t="shared" si="7"/>
        <v>2.1306472531484998E-3</v>
      </c>
      <c r="J120">
        <f t="shared" si="8"/>
        <v>-1.1446325854465256E-2</v>
      </c>
    </row>
    <row r="121" spans="1:10" x14ac:dyDescent="0.2">
      <c r="A121" s="3">
        <f>Data!A121</f>
        <v>41639</v>
      </c>
      <c r="B121">
        <f>Data!F121 - Factors!AB123</f>
        <v>-2.0900099074379619E-2</v>
      </c>
      <c r="C121">
        <f>Factors!M123</f>
        <v>-2.0891371379937351E-2</v>
      </c>
      <c r="D121">
        <f>Factors!K123</f>
        <v>7.684990367479827E-3</v>
      </c>
      <c r="E121">
        <f>Factors!N123</f>
        <v>5.479772628275148E-3</v>
      </c>
      <c r="G121" cm="1">
        <f t="array" ref="G121">TREND(B85:B120, C85:E120, C121:E121, TRUE)</f>
        <v>-1.8211858675336815E-2</v>
      </c>
      <c r="H121">
        <f t="shared" si="6"/>
        <v>-2.6882403990428037E-3</v>
      </c>
      <c r="I121">
        <f t="shared" si="7"/>
        <v>-2.6882403990428037E-3</v>
      </c>
      <c r="J121">
        <f t="shared" si="8"/>
        <v>-2.0900099074379619E-2</v>
      </c>
    </row>
    <row r="122" spans="1:10" x14ac:dyDescent="0.2">
      <c r="A122" s="3"/>
    </row>
    <row r="123" spans="1:10" x14ac:dyDescent="0.2">
      <c r="A123" s="3"/>
    </row>
    <row r="124" spans="1:10" x14ac:dyDescent="0.2">
      <c r="A124" s="3"/>
    </row>
  </sheetData>
  <mergeCells count="1">
    <mergeCell ref="G37:J37"/>
  </mergeCells>
  <pageMargins left="0.7" right="0.7" top="0.75" bottom="0.75" header="0.3" footer="0.3"/>
  <pageSetup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245BD-B65B-A34F-8DC0-D0D3DA377125}">
  <sheetPr>
    <tabColor theme="0"/>
  </sheetPr>
  <dimension ref="B2:H161"/>
  <sheetViews>
    <sheetView showGridLines="0" topLeftCell="A115" zoomScale="111" workbookViewId="0">
      <selection activeCell="C138" sqref="C138"/>
    </sheetView>
  </sheetViews>
  <sheetFormatPr baseColWidth="10" defaultColWidth="10.83203125" defaultRowHeight="15" x14ac:dyDescent="0.2"/>
  <cols>
    <col min="1" max="1" width="14" bestFit="1" customWidth="1"/>
    <col min="2" max="2" width="44.5" bestFit="1" customWidth="1"/>
    <col min="3" max="3" width="20.1640625" bestFit="1" customWidth="1"/>
    <col min="4" max="4" width="12.33203125" bestFit="1" customWidth="1"/>
    <col min="5" max="5" width="34.33203125" bestFit="1" customWidth="1"/>
    <col min="6" max="6" width="18.33203125" bestFit="1" customWidth="1"/>
    <col min="7" max="7" width="12.1640625" bestFit="1" customWidth="1"/>
  </cols>
  <sheetData>
    <row r="2" spans="2:8" x14ac:dyDescent="0.2">
      <c r="B2" s="24" t="s">
        <v>160</v>
      </c>
    </row>
    <row r="3" spans="2:8" x14ac:dyDescent="0.2">
      <c r="B3" s="24" t="s">
        <v>183</v>
      </c>
      <c r="C3" s="64">
        <f>Project_Page_3!I4</f>
        <v>6.2135223855345645E-2</v>
      </c>
      <c r="D3" t="s">
        <v>184</v>
      </c>
    </row>
    <row r="4" spans="2:8" x14ac:dyDescent="0.2">
      <c r="B4" s="24" t="s">
        <v>161</v>
      </c>
      <c r="C4" s="27">
        <v>18000000</v>
      </c>
    </row>
    <row r="5" spans="2:8" x14ac:dyDescent="0.2">
      <c r="B5" t="s">
        <v>185</v>
      </c>
      <c r="C5" s="32">
        <v>0.02</v>
      </c>
    </row>
    <row r="6" spans="2:8" x14ac:dyDescent="0.2">
      <c r="B6" s="24" t="s">
        <v>300</v>
      </c>
      <c r="C6" s="133">
        <v>200000</v>
      </c>
      <c r="D6" s="129" t="s">
        <v>301</v>
      </c>
    </row>
    <row r="7" spans="2:8" x14ac:dyDescent="0.2">
      <c r="B7" s="24" t="s">
        <v>302</v>
      </c>
      <c r="C7" s="132">
        <v>60</v>
      </c>
      <c r="D7" s="129" t="s">
        <v>303</v>
      </c>
    </row>
    <row r="9" spans="2:8" x14ac:dyDescent="0.2">
      <c r="B9" s="24" t="s">
        <v>295</v>
      </c>
    </row>
    <row r="11" spans="2:8" x14ac:dyDescent="0.2">
      <c r="B11" s="25" t="s">
        <v>296</v>
      </c>
      <c r="C11" s="25" t="s">
        <v>65</v>
      </c>
      <c r="D11" s="25" t="s">
        <v>297</v>
      </c>
      <c r="E11" s="25" t="s">
        <v>159</v>
      </c>
      <c r="F11" s="25" t="s">
        <v>298</v>
      </c>
      <c r="G11" s="137" t="s">
        <v>315</v>
      </c>
      <c r="H11" s="137" t="s">
        <v>316</v>
      </c>
    </row>
    <row r="12" spans="2:8" x14ac:dyDescent="0.2">
      <c r="B12" s="135">
        <v>0</v>
      </c>
      <c r="C12" s="135" t="s">
        <v>299</v>
      </c>
      <c r="E12" s="130">
        <v>0</v>
      </c>
      <c r="F12" s="130">
        <f>C4</f>
        <v>18000000</v>
      </c>
      <c r="G12" s="139">
        <f>F12</f>
        <v>18000000</v>
      </c>
      <c r="H12" s="138">
        <v>0</v>
      </c>
    </row>
    <row r="13" spans="2:8" x14ac:dyDescent="0.2">
      <c r="B13" s="135">
        <f t="shared" ref="B13:B44" si="0">B12+1</f>
        <v>1</v>
      </c>
      <c r="C13" s="136">
        <f>Project_Page_3!A4</f>
        <v>38016</v>
      </c>
      <c r="D13" s="131">
        <f>Project_Page_3!G4</f>
        <v>1.8386675314272873E-2</v>
      </c>
      <c r="E13" s="130">
        <f t="shared" ref="E13:E44" si="1">IF(B13&lt;=$C$7,$C$6/12,0)</f>
        <v>16666.666666666668</v>
      </c>
      <c r="F13" s="130">
        <f t="shared" ref="F13:F44" si="2">F12*(1+D13)-F12*($C$5/12)+E13</f>
        <v>18317626.822323579</v>
      </c>
      <c r="G13" s="139">
        <f t="shared" ref="G13:G44" si="3">MAX(G12,F13)</f>
        <v>18317626.822323579</v>
      </c>
      <c r="H13" s="140">
        <f>(F13-G13)/G13</f>
        <v>0</v>
      </c>
    </row>
    <row r="14" spans="2:8" x14ac:dyDescent="0.2">
      <c r="B14">
        <f t="shared" si="0"/>
        <v>2</v>
      </c>
      <c r="C14" s="3">
        <f>Project_Page_3!A5</f>
        <v>38044</v>
      </c>
      <c r="D14" s="56">
        <f>Project_Page_3!G5</f>
        <v>2.0723036132999244E-2</v>
      </c>
      <c r="E14" s="26">
        <f t="shared" si="1"/>
        <v>16666.666666666668</v>
      </c>
      <c r="F14" s="26">
        <f t="shared" si="2"/>
        <v>18683360.95346285</v>
      </c>
      <c r="G14" s="139">
        <f t="shared" si="3"/>
        <v>18683360.95346285</v>
      </c>
      <c r="H14" s="140">
        <f t="shared" ref="H14:H77" si="4">(F14-G14)/G14</f>
        <v>0</v>
      </c>
    </row>
    <row r="15" spans="2:8" x14ac:dyDescent="0.2">
      <c r="B15">
        <f t="shared" si="0"/>
        <v>3</v>
      </c>
      <c r="C15" s="3">
        <f>Project_Page_3!A6</f>
        <v>38077</v>
      </c>
      <c r="D15" s="56">
        <f>Project_Page_3!G6</f>
        <v>3.738682846071038E-4</v>
      </c>
      <c r="E15" s="26">
        <f t="shared" si="1"/>
        <v>16666.666666666668</v>
      </c>
      <c r="F15" s="26">
        <f t="shared" si="2"/>
        <v>18675873.801317446</v>
      </c>
      <c r="G15" s="139">
        <f t="shared" si="3"/>
        <v>18683360.95346285</v>
      </c>
      <c r="H15" s="140">
        <f t="shared" si="4"/>
        <v>-4.0073904069260456E-4</v>
      </c>
    </row>
    <row r="16" spans="2:8" x14ac:dyDescent="0.2">
      <c r="B16">
        <f t="shared" si="0"/>
        <v>4</v>
      </c>
      <c r="C16" s="3">
        <f>Project_Page_3!A7</f>
        <v>38107</v>
      </c>
      <c r="D16" s="56">
        <f>Project_Page_3!G7</f>
        <v>-4.4443734759060251E-2</v>
      </c>
      <c r="E16" s="26">
        <f t="shared" si="1"/>
        <v>16666.666666666668</v>
      </c>
      <c r="F16" s="26">
        <f t="shared" si="2"/>
        <v>17831388.43002915</v>
      </c>
      <c r="G16" s="139">
        <f t="shared" si="3"/>
        <v>18683360.95346285</v>
      </c>
      <c r="H16" s="140">
        <f t="shared" si="4"/>
        <v>-4.5600602887019219E-2</v>
      </c>
    </row>
    <row r="17" spans="2:8" x14ac:dyDescent="0.2">
      <c r="B17">
        <f t="shared" si="0"/>
        <v>5</v>
      </c>
      <c r="C17" s="3">
        <f>Project_Page_3!A8</f>
        <v>38138</v>
      </c>
      <c r="D17" s="56">
        <f>Project_Page_3!G8</f>
        <v>1.9877074340645121E-2</v>
      </c>
      <c r="E17" s="26">
        <f t="shared" si="1"/>
        <v>16666.666666666668</v>
      </c>
      <c r="F17" s="26">
        <f t="shared" si="2"/>
        <v>18172771.94939971</v>
      </c>
      <c r="G17" s="139">
        <f t="shared" si="3"/>
        <v>18683360.95346285</v>
      </c>
      <c r="H17" s="140">
        <f t="shared" si="4"/>
        <v>-2.7328541440425683E-2</v>
      </c>
    </row>
    <row r="18" spans="2:8" x14ac:dyDescent="0.2">
      <c r="B18">
        <f t="shared" si="0"/>
        <v>6</v>
      </c>
      <c r="C18" s="3">
        <f>Project_Page_3!A9</f>
        <v>38168</v>
      </c>
      <c r="D18" s="56">
        <f>Project_Page_3!G9</f>
        <v>6.1192546532896196E-3</v>
      </c>
      <c r="E18" s="26">
        <f t="shared" si="1"/>
        <v>16666.666666666668</v>
      </c>
      <c r="F18" s="26">
        <f t="shared" si="2"/>
        <v>18270354.482131913</v>
      </c>
      <c r="G18" s="139">
        <f t="shared" si="3"/>
        <v>18683360.95346285</v>
      </c>
      <c r="H18" s="140">
        <f t="shared" si="4"/>
        <v>-2.2105576847745303E-2</v>
      </c>
    </row>
    <row r="19" spans="2:8" x14ac:dyDescent="0.2">
      <c r="B19">
        <f t="shared" si="0"/>
        <v>7</v>
      </c>
      <c r="C19" s="3">
        <f>Project_Page_3!A10</f>
        <v>38198</v>
      </c>
      <c r="D19" s="56">
        <f>Project_Page_3!G10</f>
        <v>-7.0648619017884768E-3</v>
      </c>
      <c r="E19" s="26">
        <f t="shared" si="1"/>
        <v>16666.666666666668</v>
      </c>
      <c r="F19" s="26">
        <f t="shared" si="2"/>
        <v>18127493.026682045</v>
      </c>
      <c r="G19" s="139">
        <f t="shared" si="3"/>
        <v>18683360.95346285</v>
      </c>
      <c r="H19" s="140">
        <f t="shared" si="4"/>
        <v>-2.9752030599065109E-2</v>
      </c>
    </row>
    <row r="20" spans="2:8" x14ac:dyDescent="0.2">
      <c r="B20">
        <f t="shared" si="0"/>
        <v>8</v>
      </c>
      <c r="C20" s="3">
        <f>Project_Page_3!A11</f>
        <v>38230</v>
      </c>
      <c r="D20" s="56">
        <f>Project_Page_3!G11</f>
        <v>-8.1745898765668082E-3</v>
      </c>
      <c r="E20" s="26">
        <f t="shared" si="1"/>
        <v>16666.666666666668</v>
      </c>
      <c r="F20" s="26">
        <f t="shared" si="2"/>
        <v>17965762.38398746</v>
      </c>
      <c r="G20" s="139">
        <f t="shared" si="3"/>
        <v>18683360.95346285</v>
      </c>
      <c r="H20" s="140">
        <f t="shared" si="4"/>
        <v>-3.8408430435124007E-2</v>
      </c>
    </row>
    <row r="21" spans="2:8" x14ac:dyDescent="0.2">
      <c r="B21">
        <f t="shared" si="0"/>
        <v>9</v>
      </c>
      <c r="C21" s="3">
        <f>Project_Page_3!A12</f>
        <v>38260</v>
      </c>
      <c r="D21" s="56">
        <f>Project_Page_3!G12</f>
        <v>3.2582950915121776E-2</v>
      </c>
      <c r="E21" s="26">
        <f t="shared" si="1"/>
        <v>16666.666666666668</v>
      </c>
      <c r="F21" s="26">
        <f t="shared" si="2"/>
        <v>18537863.667257689</v>
      </c>
      <c r="G21" s="139">
        <f t="shared" si="3"/>
        <v>18683360.95346285</v>
      </c>
      <c r="H21" s="140">
        <f t="shared" si="4"/>
        <v>-7.787532798171108E-3</v>
      </c>
    </row>
    <row r="22" spans="2:8" x14ac:dyDescent="0.2">
      <c r="B22">
        <f t="shared" si="0"/>
        <v>10</v>
      </c>
      <c r="C22" s="3">
        <f>Project_Page_3!A13</f>
        <v>38289</v>
      </c>
      <c r="D22" s="56">
        <f>Project_Page_3!G13</f>
        <v>8.1611922495402854E-3</v>
      </c>
      <c r="E22" s="26">
        <f t="shared" si="1"/>
        <v>16666.666666666668</v>
      </c>
      <c r="F22" s="26">
        <f t="shared" si="2"/>
        <v>18674924.963763189</v>
      </c>
      <c r="G22" s="139">
        <f t="shared" si="3"/>
        <v>18683360.95346285</v>
      </c>
      <c r="H22" s="140">
        <f t="shared" si="4"/>
        <v>-4.5152420491550646E-4</v>
      </c>
    </row>
    <row r="23" spans="2:8" x14ac:dyDescent="0.2">
      <c r="B23">
        <f t="shared" si="0"/>
        <v>11</v>
      </c>
      <c r="C23" s="3">
        <f>Project_Page_3!A14</f>
        <v>38321</v>
      </c>
      <c r="D23" s="56">
        <f>Project_Page_3!G14</f>
        <v>2.4102778907537536E-2</v>
      </c>
      <c r="E23" s="26">
        <f t="shared" si="1"/>
        <v>16666.666666666668</v>
      </c>
      <c r="F23" s="26">
        <f t="shared" si="2"/>
        <v>19110584.343006689</v>
      </c>
      <c r="G23" s="139">
        <f t="shared" si="3"/>
        <v>19110584.343006689</v>
      </c>
      <c r="H23" s="140">
        <f t="shared" si="4"/>
        <v>0</v>
      </c>
    </row>
    <row r="24" spans="2:8" x14ac:dyDescent="0.2">
      <c r="B24">
        <f t="shared" si="0"/>
        <v>12</v>
      </c>
      <c r="C24" s="3">
        <f>Project_Page_3!A15</f>
        <v>38352</v>
      </c>
      <c r="D24" s="56">
        <f>Project_Page_3!G15</f>
        <v>2.0943350226460301E-2</v>
      </c>
      <c r="E24" s="26">
        <f t="shared" si="1"/>
        <v>16666.666666666668</v>
      </c>
      <c r="F24" s="26">
        <f t="shared" si="2"/>
        <v>19495639.69669624</v>
      </c>
      <c r="G24" s="139">
        <f t="shared" si="3"/>
        <v>19495639.69669624</v>
      </c>
      <c r="H24" s="140">
        <f t="shared" si="4"/>
        <v>0</v>
      </c>
    </row>
    <row r="25" spans="2:8" x14ac:dyDescent="0.2">
      <c r="B25">
        <f t="shared" si="0"/>
        <v>13</v>
      </c>
      <c r="C25" s="3">
        <f>Project_Page_3!A16</f>
        <v>38383</v>
      </c>
      <c r="D25" s="56">
        <f>Project_Page_3!G16</f>
        <v>-1.5351462384031535E-2</v>
      </c>
      <c r="E25" s="26">
        <f t="shared" si="1"/>
        <v>16666.666666666668</v>
      </c>
      <c r="F25" s="26">
        <f t="shared" si="2"/>
        <v>19180527.051078618</v>
      </c>
      <c r="G25" s="139">
        <f t="shared" si="3"/>
        <v>19495639.69669624</v>
      </c>
      <c r="H25" s="140">
        <f t="shared" si="4"/>
        <v>-1.6163237037614228E-2</v>
      </c>
    </row>
    <row r="26" spans="2:8" x14ac:dyDescent="0.2">
      <c r="B26">
        <f t="shared" si="0"/>
        <v>14</v>
      </c>
      <c r="C26" s="3">
        <f>Project_Page_3!A17</f>
        <v>38411</v>
      </c>
      <c r="D26" s="56">
        <f>Project_Page_3!G17</f>
        <v>1.3530304255370475E-2</v>
      </c>
      <c r="E26" s="26">
        <f t="shared" si="1"/>
        <v>16666.666666666668</v>
      </c>
      <c r="F26" s="26">
        <f t="shared" si="2"/>
        <v>19424744.539439611</v>
      </c>
      <c r="G26" s="139">
        <f t="shared" si="3"/>
        <v>19495639.69669624</v>
      </c>
      <c r="H26" s="140">
        <f t="shared" si="4"/>
        <v>-3.6364622223010877E-3</v>
      </c>
    </row>
    <row r="27" spans="2:8" x14ac:dyDescent="0.2">
      <c r="B27">
        <f t="shared" si="0"/>
        <v>15</v>
      </c>
      <c r="C27" s="3">
        <f>Project_Page_3!A18</f>
        <v>38442</v>
      </c>
      <c r="D27" s="56">
        <f>Project_Page_3!G18</f>
        <v>-4.3213461254691492E-3</v>
      </c>
      <c r="E27" s="26">
        <f t="shared" si="1"/>
        <v>16666.666666666668</v>
      </c>
      <c r="F27" s="26">
        <f t="shared" si="2"/>
        <v>19325095.587320141</v>
      </c>
      <c r="G27" s="139">
        <f t="shared" si="3"/>
        <v>19495639.69669624</v>
      </c>
      <c r="H27" s="140">
        <f t="shared" si="4"/>
        <v>-8.7478078190478467E-3</v>
      </c>
    </row>
    <row r="28" spans="2:8" x14ac:dyDescent="0.2">
      <c r="B28">
        <f t="shared" si="0"/>
        <v>16</v>
      </c>
      <c r="C28" s="3">
        <f>Project_Page_3!A19</f>
        <v>38471</v>
      </c>
      <c r="D28" s="56">
        <f>Project_Page_3!G19</f>
        <v>-1.2309180933750196E-2</v>
      </c>
      <c r="E28" s="26">
        <f t="shared" si="1"/>
        <v>16666.666666666668</v>
      </c>
      <c r="F28" s="26">
        <f t="shared" si="2"/>
        <v>19071677.663194936</v>
      </c>
      <c r="G28" s="139">
        <f t="shared" si="3"/>
        <v>19495639.69669624</v>
      </c>
      <c r="H28" s="140">
        <f t="shared" si="4"/>
        <v>-2.1746505377463962E-2</v>
      </c>
    </row>
    <row r="29" spans="2:8" x14ac:dyDescent="0.2">
      <c r="B29">
        <f t="shared" si="0"/>
        <v>17</v>
      </c>
      <c r="C29" s="3">
        <f>Project_Page_3!A20</f>
        <v>38503</v>
      </c>
      <c r="D29" s="56">
        <f>Project_Page_3!G20</f>
        <v>1.6629184325978909E-2</v>
      </c>
      <c r="E29" s="26">
        <f t="shared" si="1"/>
        <v>16666.666666666668</v>
      </c>
      <c r="F29" s="26">
        <f t="shared" si="2"/>
        <v>19373704.643689871</v>
      </c>
      <c r="G29" s="139">
        <f t="shared" si="3"/>
        <v>19495639.69669624</v>
      </c>
      <c r="H29" s="140">
        <f t="shared" si="4"/>
        <v>-6.2544781758063018E-3</v>
      </c>
    </row>
    <row r="30" spans="2:8" x14ac:dyDescent="0.2">
      <c r="B30">
        <f t="shared" si="0"/>
        <v>18</v>
      </c>
      <c r="C30" s="3">
        <f>Project_Page_3!A21</f>
        <v>38533</v>
      </c>
      <c r="D30" s="56">
        <f>Project_Page_3!G21</f>
        <v>-8.5260175444028556E-4</v>
      </c>
      <c r="E30" s="26">
        <f t="shared" si="1"/>
        <v>16666.666666666668</v>
      </c>
      <c r="F30" s="26">
        <f t="shared" si="2"/>
        <v>19341563.748047836</v>
      </c>
      <c r="G30" s="139">
        <f t="shared" si="3"/>
        <v>19495639.69669624</v>
      </c>
      <c r="H30" s="140">
        <f t="shared" si="4"/>
        <v>-7.9030978744705806E-3</v>
      </c>
    </row>
    <row r="31" spans="2:8" x14ac:dyDescent="0.2">
      <c r="B31">
        <f t="shared" si="0"/>
        <v>19</v>
      </c>
      <c r="C31" s="3">
        <f>Project_Page_3!A22</f>
        <v>38562</v>
      </c>
      <c r="D31" s="56">
        <f>Project_Page_3!G22</f>
        <v>2.1287465241308402E-2</v>
      </c>
      <c r="E31" s="26">
        <f t="shared" si="1"/>
        <v>16666.666666666668</v>
      </c>
      <c r="F31" s="26">
        <f t="shared" si="2"/>
        <v>19737727.341133546</v>
      </c>
      <c r="G31" s="139">
        <f t="shared" si="3"/>
        <v>19737727.341133546</v>
      </c>
      <c r="H31" s="140">
        <f t="shared" si="4"/>
        <v>0</v>
      </c>
    </row>
    <row r="32" spans="2:8" x14ac:dyDescent="0.2">
      <c r="B32">
        <f t="shared" si="0"/>
        <v>20</v>
      </c>
      <c r="C32" s="3">
        <f>Project_Page_3!A23</f>
        <v>38595</v>
      </c>
      <c r="D32" s="56">
        <f>Project_Page_3!G23</f>
        <v>1.1614860356038537E-2</v>
      </c>
      <c r="E32" s="26">
        <f t="shared" si="1"/>
        <v>16666.666666666668</v>
      </c>
      <c r="F32" s="26">
        <f t="shared" si="2"/>
        <v>19950748.742377821</v>
      </c>
      <c r="G32" s="139">
        <f t="shared" si="3"/>
        <v>19950748.742377821</v>
      </c>
      <c r="H32" s="140">
        <f t="shared" si="4"/>
        <v>0</v>
      </c>
    </row>
    <row r="33" spans="2:8" x14ac:dyDescent="0.2">
      <c r="B33">
        <f t="shared" si="0"/>
        <v>21</v>
      </c>
      <c r="C33" s="3">
        <f>Project_Page_3!A24</f>
        <v>38625</v>
      </c>
      <c r="D33" s="56">
        <f>Project_Page_3!G24</f>
        <v>6.7031936294078328E-3</v>
      </c>
      <c r="E33" s="26">
        <f t="shared" si="1"/>
        <v>16666.666666666668</v>
      </c>
      <c r="F33" s="26">
        <f t="shared" si="2"/>
        <v>20067897.893012349</v>
      </c>
      <c r="G33" s="139">
        <f t="shared" si="3"/>
        <v>20067897.893012349</v>
      </c>
      <c r="H33" s="140">
        <f t="shared" si="4"/>
        <v>0</v>
      </c>
    </row>
    <row r="34" spans="2:8" x14ac:dyDescent="0.2">
      <c r="B34">
        <f t="shared" si="0"/>
        <v>22</v>
      </c>
      <c r="C34" s="3">
        <f>Project_Page_3!A25</f>
        <v>38656</v>
      </c>
      <c r="D34" s="56">
        <f>Project_Page_3!G25</f>
        <v>1.015248964017835E-4</v>
      </c>
      <c r="E34" s="26">
        <f t="shared" si="1"/>
        <v>16666.666666666668</v>
      </c>
      <c r="F34" s="26">
        <f t="shared" si="2"/>
        <v>20053155.45444525</v>
      </c>
      <c r="G34" s="139">
        <f t="shared" si="3"/>
        <v>20067897.893012349</v>
      </c>
      <c r="H34" s="140">
        <f t="shared" si="4"/>
        <v>-7.3462794387804588E-4</v>
      </c>
    </row>
    <row r="35" spans="2:8" x14ac:dyDescent="0.2">
      <c r="B35">
        <f t="shared" si="0"/>
        <v>23</v>
      </c>
      <c r="C35" s="3">
        <f>Project_Page_3!A26</f>
        <v>38686</v>
      </c>
      <c r="D35" s="56">
        <f>Project_Page_3!G26</f>
        <v>3.5255881996168137E-2</v>
      </c>
      <c r="E35" s="26">
        <f t="shared" si="1"/>
        <v>16666.666666666668</v>
      </c>
      <c r="F35" s="26">
        <f t="shared" si="2"/>
        <v>20743391.877707247</v>
      </c>
      <c r="G35" s="139">
        <f t="shared" si="3"/>
        <v>20743391.877707247</v>
      </c>
      <c r="H35" s="140">
        <f t="shared" si="4"/>
        <v>0</v>
      </c>
    </row>
    <row r="36" spans="2:8" x14ac:dyDescent="0.2">
      <c r="B36">
        <f t="shared" si="0"/>
        <v>24</v>
      </c>
      <c r="C36" s="3">
        <f>Project_Page_3!A27</f>
        <v>38716</v>
      </c>
      <c r="D36" s="56">
        <f>Project_Page_3!G27</f>
        <v>1.4889478414847314E-2</v>
      </c>
      <c r="E36" s="26">
        <f t="shared" si="1"/>
        <v>16666.666666666668</v>
      </c>
      <c r="F36" s="26">
        <f t="shared" si="2"/>
        <v>21034344.510191575</v>
      </c>
      <c r="G36" s="139">
        <f t="shared" si="3"/>
        <v>21034344.510191575</v>
      </c>
      <c r="H36" s="140">
        <f t="shared" si="4"/>
        <v>0</v>
      </c>
    </row>
    <row r="37" spans="2:8" x14ac:dyDescent="0.2">
      <c r="B37">
        <f t="shared" si="0"/>
        <v>25</v>
      </c>
      <c r="C37" s="3">
        <f>Project_Page_3!A28</f>
        <v>38748</v>
      </c>
      <c r="D37" s="56">
        <f>Project_Page_3!G28</f>
        <v>3.5460883841928054E-2</v>
      </c>
      <c r="E37" s="26">
        <f t="shared" si="1"/>
        <v>16666.666666666668</v>
      </c>
      <c r="F37" s="26">
        <f t="shared" si="2"/>
        <v>21761850.383374926</v>
      </c>
      <c r="G37" s="139">
        <f t="shared" si="3"/>
        <v>21761850.383374926</v>
      </c>
      <c r="H37" s="140">
        <f t="shared" si="4"/>
        <v>0</v>
      </c>
    </row>
    <row r="38" spans="2:8" x14ac:dyDescent="0.2">
      <c r="B38">
        <f t="shared" si="0"/>
        <v>26</v>
      </c>
      <c r="C38" s="3">
        <f>Project_Page_3!A29</f>
        <v>38776</v>
      </c>
      <c r="D38" s="56">
        <f>Project_Page_3!G29</f>
        <v>-5.9856288004150205E-3</v>
      </c>
      <c r="E38" s="26">
        <f t="shared" si="1"/>
        <v>16666.666666666668</v>
      </c>
      <c r="F38" s="26">
        <f t="shared" si="2"/>
        <v>21611988.940997586</v>
      </c>
      <c r="G38" s="139">
        <f t="shared" si="3"/>
        <v>21761850.383374926</v>
      </c>
      <c r="H38" s="140">
        <f t="shared" si="4"/>
        <v>-6.8864292207351744E-3</v>
      </c>
    </row>
    <row r="39" spans="2:8" x14ac:dyDescent="0.2">
      <c r="B39">
        <f t="shared" si="0"/>
        <v>27</v>
      </c>
      <c r="C39" s="3">
        <f>Project_Page_3!A30</f>
        <v>38807</v>
      </c>
      <c r="D39" s="56">
        <f>Project_Page_3!G30</f>
        <v>1.609156623371406E-2</v>
      </c>
      <c r="E39" s="26">
        <f t="shared" si="1"/>
        <v>16666.666666666668</v>
      </c>
      <c r="F39" s="26">
        <f t="shared" si="2"/>
        <v>21940406.377582282</v>
      </c>
      <c r="G39" s="139">
        <f t="shared" si="3"/>
        <v>21940406.377582282</v>
      </c>
      <c r="H39" s="140">
        <f t="shared" si="4"/>
        <v>0</v>
      </c>
    </row>
    <row r="40" spans="2:8" x14ac:dyDescent="0.2">
      <c r="B40">
        <f t="shared" si="0"/>
        <v>28</v>
      </c>
      <c r="C40" s="3">
        <f>Project_Page_3!A31</f>
        <v>38835</v>
      </c>
      <c r="D40" s="56">
        <f>Project_Page_3!G31</f>
        <v>4.8138644768004446E-2</v>
      </c>
      <c r="E40" s="26">
        <f t="shared" si="1"/>
        <v>16666.666666666668</v>
      </c>
      <c r="F40" s="26">
        <f t="shared" si="2"/>
        <v>22976687.128962409</v>
      </c>
      <c r="G40" s="139">
        <f t="shared" si="3"/>
        <v>22976687.128962409</v>
      </c>
      <c r="H40" s="140">
        <f t="shared" si="4"/>
        <v>0</v>
      </c>
    </row>
    <row r="41" spans="2:8" x14ac:dyDescent="0.2">
      <c r="B41">
        <f t="shared" si="0"/>
        <v>29</v>
      </c>
      <c r="C41" s="3">
        <f>Project_Page_3!A32</f>
        <v>38868</v>
      </c>
      <c r="D41" s="56">
        <f>Project_Page_3!G32</f>
        <v>8.1896240676351427E-4</v>
      </c>
      <c r="E41" s="26">
        <f t="shared" si="1"/>
        <v>16666.666666666668</v>
      </c>
      <c r="F41" s="26">
        <f t="shared" si="2"/>
        <v>22973876.360071395</v>
      </c>
      <c r="G41" s="139">
        <f t="shared" si="3"/>
        <v>22976687.128962409</v>
      </c>
      <c r="H41" s="140">
        <f t="shared" si="4"/>
        <v>-1.2233133851011744E-4</v>
      </c>
    </row>
    <row r="42" spans="2:8" x14ac:dyDescent="0.2">
      <c r="B42">
        <f t="shared" si="0"/>
        <v>30</v>
      </c>
      <c r="C42" s="3">
        <f>Project_Page_3!A33</f>
        <v>38898</v>
      </c>
      <c r="D42" s="56">
        <f>Project_Page_3!G33</f>
        <v>-1.3411877969022391E-2</v>
      </c>
      <c r="E42" s="26">
        <f t="shared" si="1"/>
        <v>16666.666666666668</v>
      </c>
      <c r="F42" s="26">
        <f t="shared" si="2"/>
        <v>22644130.406587925</v>
      </c>
      <c r="G42" s="139">
        <f t="shared" si="3"/>
        <v>22976687.128962409</v>
      </c>
      <c r="H42" s="140">
        <f t="shared" si="4"/>
        <v>-1.4473658474258107E-2</v>
      </c>
    </row>
    <row r="43" spans="2:8" x14ac:dyDescent="0.2">
      <c r="B43">
        <f t="shared" si="0"/>
        <v>31</v>
      </c>
      <c r="C43" s="3">
        <f>Project_Page_3!A34</f>
        <v>38929</v>
      </c>
      <c r="D43" s="56">
        <f>Project_Page_3!G34</f>
        <v>1.0559647934808236E-2</v>
      </c>
      <c r="E43" s="26">
        <f t="shared" si="1"/>
        <v>16666.666666666668</v>
      </c>
      <c r="F43" s="26">
        <f t="shared" si="2"/>
        <v>22862170.900793735</v>
      </c>
      <c r="G43" s="139">
        <f t="shared" si="3"/>
        <v>22976687.128962409</v>
      </c>
      <c r="H43" s="140">
        <f t="shared" si="4"/>
        <v>-4.984018258416577E-3</v>
      </c>
    </row>
    <row r="44" spans="2:8" x14ac:dyDescent="0.2">
      <c r="B44">
        <f t="shared" si="0"/>
        <v>32</v>
      </c>
      <c r="C44" s="3">
        <f>Project_Page_3!A35</f>
        <v>38960</v>
      </c>
      <c r="D44" s="56">
        <f>Project_Page_3!G35</f>
        <v>2.6305435676994109E-2</v>
      </c>
      <c r="E44" s="26">
        <f t="shared" si="1"/>
        <v>16666.666666666668</v>
      </c>
      <c r="F44" s="26">
        <f t="shared" si="2"/>
        <v>23442133.315359689</v>
      </c>
      <c r="G44" s="139">
        <f t="shared" si="3"/>
        <v>23442133.315359689</v>
      </c>
      <c r="H44" s="140">
        <f t="shared" si="4"/>
        <v>0</v>
      </c>
    </row>
    <row r="45" spans="2:8" x14ac:dyDescent="0.2">
      <c r="B45">
        <f t="shared" ref="B45:B76" si="5">B44+1</f>
        <v>33</v>
      </c>
      <c r="C45" s="3">
        <f>Project_Page_3!A36</f>
        <v>38989</v>
      </c>
      <c r="D45" s="56">
        <f>Project_Page_3!G36</f>
        <v>1.0972923340039922E-2</v>
      </c>
      <c r="E45" s="26">
        <f t="shared" ref="E45:E76" si="6">IF(B45&lt;=$C$7,$C$6/12,0)</f>
        <v>16666.666666666668</v>
      </c>
      <c r="F45" s="26">
        <f t="shared" ref="F45:F76" si="7">F44*(1+D45)-F44*($C$5/12)+E45</f>
        <v>23676958.491630532</v>
      </c>
      <c r="G45" s="139">
        <f t="shared" ref="G45:G76" si="8">MAX(G44,F45)</f>
        <v>23676958.491630532</v>
      </c>
      <c r="H45" s="140">
        <f t="shared" si="4"/>
        <v>0</v>
      </c>
    </row>
    <row r="46" spans="2:8" x14ac:dyDescent="0.2">
      <c r="B46">
        <f t="shared" si="5"/>
        <v>34</v>
      </c>
      <c r="C46" s="3">
        <f>Project_Page_3!A37</f>
        <v>39021</v>
      </c>
      <c r="D46" s="56">
        <f>Project_Page_3!G37</f>
        <v>2.7457492065095578E-2</v>
      </c>
      <c r="E46" s="26">
        <f t="shared" si="6"/>
        <v>16666.666666666668</v>
      </c>
      <c r="F46" s="26">
        <f t="shared" si="7"/>
        <v>24304273.460720692</v>
      </c>
      <c r="G46" s="139">
        <f t="shared" si="8"/>
        <v>24304273.460720692</v>
      </c>
      <c r="H46" s="140">
        <f t="shared" si="4"/>
        <v>0</v>
      </c>
    </row>
    <row r="47" spans="2:8" x14ac:dyDescent="0.2">
      <c r="B47">
        <f t="shared" si="5"/>
        <v>35</v>
      </c>
      <c r="C47" s="3">
        <f>Project_Page_3!A38</f>
        <v>39051</v>
      </c>
      <c r="D47" s="56">
        <f>Project_Page_3!G38</f>
        <v>1.7126924539136779E-2</v>
      </c>
      <c r="E47" s="26">
        <f t="shared" si="6"/>
        <v>16666.666666666668</v>
      </c>
      <c r="F47" s="26">
        <f t="shared" si="7"/>
        <v>24696690.462493133</v>
      </c>
      <c r="G47" s="139">
        <f t="shared" si="8"/>
        <v>24696690.462493133</v>
      </c>
      <c r="H47" s="140">
        <f t="shared" si="4"/>
        <v>0</v>
      </c>
    </row>
    <row r="48" spans="2:8" x14ac:dyDescent="0.2">
      <c r="B48">
        <f t="shared" si="5"/>
        <v>36</v>
      </c>
      <c r="C48" s="3">
        <f>Project_Page_3!A39</f>
        <v>39080</v>
      </c>
      <c r="D48" s="56">
        <f>Project_Page_3!G39</f>
        <v>-1.0327297305278441E-2</v>
      </c>
      <c r="E48" s="26">
        <f t="shared" si="6"/>
        <v>16666.666666666668</v>
      </c>
      <c r="F48" s="26">
        <f t="shared" si="7"/>
        <v>24417145.913526379</v>
      </c>
      <c r="G48" s="139">
        <f t="shared" si="8"/>
        <v>24696690.462493133</v>
      </c>
      <c r="H48" s="140">
        <f t="shared" si="4"/>
        <v>-1.1319109715988001E-2</v>
      </c>
    </row>
    <row r="49" spans="2:8" x14ac:dyDescent="0.2">
      <c r="B49">
        <f t="shared" si="5"/>
        <v>37</v>
      </c>
      <c r="C49" s="3">
        <f>Project_Page_3!A40</f>
        <v>39113</v>
      </c>
      <c r="D49" s="56">
        <f>Project_Page_3!G40</f>
        <v>-3.828707210100468E-3</v>
      </c>
      <c r="E49" s="26">
        <f t="shared" si="6"/>
        <v>16666.666666666668</v>
      </c>
      <c r="F49" s="26">
        <f t="shared" si="7"/>
        <v>24299631.234394643</v>
      </c>
      <c r="G49" s="139">
        <f t="shared" si="8"/>
        <v>24696690.462493133</v>
      </c>
      <c r="H49" s="140">
        <f t="shared" si="4"/>
        <v>-1.6077426596956514E-2</v>
      </c>
    </row>
    <row r="50" spans="2:8" x14ac:dyDescent="0.2">
      <c r="B50">
        <f t="shared" si="5"/>
        <v>38</v>
      </c>
      <c r="C50" s="3">
        <f>Project_Page_3!A41</f>
        <v>39141</v>
      </c>
      <c r="D50" s="56">
        <f>Project_Page_3!G41</f>
        <v>1.2225948861462733E-2</v>
      </c>
      <c r="E50" s="26">
        <f t="shared" si="6"/>
        <v>16666.666666666668</v>
      </c>
      <c r="F50" s="26">
        <f t="shared" si="7"/>
        <v>24572884.564494763</v>
      </c>
      <c r="G50" s="139">
        <f t="shared" si="8"/>
        <v>24696690.462493133</v>
      </c>
      <c r="H50" s="140">
        <f t="shared" si="4"/>
        <v>-5.013056230606861E-3</v>
      </c>
    </row>
    <row r="51" spans="2:8" x14ac:dyDescent="0.2">
      <c r="B51">
        <f t="shared" si="5"/>
        <v>39</v>
      </c>
      <c r="C51" s="3">
        <f>Project_Page_3!A42</f>
        <v>39171</v>
      </c>
      <c r="D51" s="56">
        <f>Project_Page_3!G42</f>
        <v>1.3905293368288541E-2</v>
      </c>
      <c r="E51" s="26">
        <f t="shared" si="6"/>
        <v>16666.666666666668</v>
      </c>
      <c r="F51" s="26">
        <f t="shared" si="7"/>
        <v>24890289.592328329</v>
      </c>
      <c r="G51" s="139">
        <f t="shared" si="8"/>
        <v>24890289.592328329</v>
      </c>
      <c r="H51" s="140">
        <f t="shared" si="4"/>
        <v>0</v>
      </c>
    </row>
    <row r="52" spans="2:8" x14ac:dyDescent="0.2">
      <c r="B52">
        <f t="shared" si="5"/>
        <v>40</v>
      </c>
      <c r="C52" s="3">
        <f>Project_Page_3!A43</f>
        <v>39202</v>
      </c>
      <c r="D52" s="56">
        <f>Project_Page_3!G43</f>
        <v>3.4700898008806651E-2</v>
      </c>
      <c r="E52" s="26">
        <f t="shared" si="6"/>
        <v>16666.666666666668</v>
      </c>
      <c r="F52" s="26">
        <f t="shared" si="7"/>
        <v>25729187.843560826</v>
      </c>
      <c r="G52" s="139">
        <f t="shared" si="8"/>
        <v>25729187.843560826</v>
      </c>
      <c r="H52" s="140">
        <f t="shared" si="4"/>
        <v>0</v>
      </c>
    </row>
    <row r="53" spans="2:8" x14ac:dyDescent="0.2">
      <c r="B53">
        <f t="shared" si="5"/>
        <v>41</v>
      </c>
      <c r="C53" s="3">
        <f>Project_Page_3!A44</f>
        <v>39233</v>
      </c>
      <c r="D53" s="56">
        <f>Project_Page_3!G44</f>
        <v>1.6329818865057355E-3</v>
      </c>
      <c r="E53" s="26">
        <f t="shared" si="6"/>
        <v>16666.666666666668</v>
      </c>
      <c r="F53" s="26">
        <f t="shared" si="7"/>
        <v>25744987.828191265</v>
      </c>
      <c r="G53" s="139">
        <f t="shared" si="8"/>
        <v>25744987.828191265</v>
      </c>
      <c r="H53" s="140">
        <f t="shared" si="4"/>
        <v>0</v>
      </c>
    </row>
    <row r="54" spans="2:8" x14ac:dyDescent="0.2">
      <c r="B54">
        <f t="shared" si="5"/>
        <v>42</v>
      </c>
      <c r="C54" s="3">
        <f>Project_Page_3!A45</f>
        <v>39262</v>
      </c>
      <c r="D54" s="56">
        <f>Project_Page_3!G45</f>
        <v>-6.7807410333749598E-3</v>
      </c>
      <c r="E54" s="26">
        <f t="shared" si="6"/>
        <v>16666.666666666668</v>
      </c>
      <c r="F54" s="26">
        <f t="shared" si="7"/>
        <v>25544176.086440593</v>
      </c>
      <c r="G54" s="139">
        <f t="shared" si="8"/>
        <v>25744987.828191265</v>
      </c>
      <c r="H54" s="140">
        <f t="shared" si="4"/>
        <v>-7.8000324991717293E-3</v>
      </c>
    </row>
    <row r="55" spans="2:8" x14ac:dyDescent="0.2">
      <c r="B55">
        <f t="shared" si="5"/>
        <v>43</v>
      </c>
      <c r="C55" s="3">
        <f>Project_Page_3!A46</f>
        <v>39294</v>
      </c>
      <c r="D55" s="56">
        <f>Project_Page_3!G46</f>
        <v>9.7537355286801079E-3</v>
      </c>
      <c r="E55" s="26">
        <f t="shared" si="6"/>
        <v>16666.666666666668</v>
      </c>
      <c r="F55" s="26">
        <f t="shared" si="7"/>
        <v>25767420.264141705</v>
      </c>
      <c r="G55" s="139">
        <f t="shared" si="8"/>
        <v>25767420.264141705</v>
      </c>
      <c r="H55" s="140">
        <f t="shared" si="4"/>
        <v>0</v>
      </c>
    </row>
    <row r="56" spans="2:8" x14ac:dyDescent="0.2">
      <c r="B56">
        <f t="shared" si="5"/>
        <v>44</v>
      </c>
      <c r="C56" s="3">
        <f>Project_Page_3!A47</f>
        <v>39325</v>
      </c>
      <c r="D56" s="56">
        <f>Project_Page_3!G47</f>
        <v>-9.1322219550104243E-3</v>
      </c>
      <c r="E56" s="26">
        <f t="shared" si="6"/>
        <v>16666.666666666668</v>
      </c>
      <c r="F56" s="26">
        <f t="shared" si="7"/>
        <v>25505827.429307964</v>
      </c>
      <c r="G56" s="139">
        <f t="shared" si="8"/>
        <v>25767420.264141705</v>
      </c>
      <c r="H56" s="140">
        <f t="shared" si="4"/>
        <v>-1.0152077008569514E-2</v>
      </c>
    </row>
    <row r="57" spans="2:8" x14ac:dyDescent="0.2">
      <c r="B57">
        <f t="shared" si="5"/>
        <v>45</v>
      </c>
      <c r="C57" s="3">
        <f>Project_Page_3!A48</f>
        <v>39353</v>
      </c>
      <c r="D57" s="56">
        <f>Project_Page_3!G48</f>
        <v>2.3336479468245179E-2</v>
      </c>
      <c r="E57" s="26">
        <f t="shared" si="6"/>
        <v>16666.666666666668</v>
      </c>
      <c r="F57" s="26">
        <f t="shared" si="7"/>
        <v>26075200.601717103</v>
      </c>
      <c r="G57" s="139">
        <f t="shared" si="8"/>
        <v>26075200.601717103</v>
      </c>
      <c r="H57" s="140">
        <f t="shared" si="4"/>
        <v>0</v>
      </c>
    </row>
    <row r="58" spans="2:8" x14ac:dyDescent="0.2">
      <c r="B58">
        <f t="shared" si="5"/>
        <v>46</v>
      </c>
      <c r="C58" s="3">
        <f>Project_Page_3!A49</f>
        <v>39386</v>
      </c>
      <c r="D58" s="56">
        <f>Project_Page_3!G49</f>
        <v>2.2010163346238197E-2</v>
      </c>
      <c r="E58" s="26">
        <f t="shared" si="6"/>
        <v>16666.666666666668</v>
      </c>
      <c r="F58" s="26">
        <f t="shared" si="7"/>
        <v>26622328.025243964</v>
      </c>
      <c r="G58" s="139">
        <f t="shared" si="8"/>
        <v>26622328.025243964</v>
      </c>
      <c r="H58" s="140">
        <f t="shared" si="4"/>
        <v>0</v>
      </c>
    </row>
    <row r="59" spans="2:8" x14ac:dyDescent="0.2">
      <c r="B59">
        <f t="shared" si="5"/>
        <v>47</v>
      </c>
      <c r="C59" s="3">
        <f>Project_Page_3!A50</f>
        <v>39416</v>
      </c>
      <c r="D59" s="56">
        <f>Project_Page_3!G50</f>
        <v>-2.0618643802939186E-2</v>
      </c>
      <c r="E59" s="26">
        <f t="shared" si="6"/>
        <v>16666.666666666668</v>
      </c>
      <c r="F59" s="26">
        <f t="shared" si="7"/>
        <v>26045707.84644438</v>
      </c>
      <c r="G59" s="139">
        <f t="shared" si="8"/>
        <v>26622328.025243964</v>
      </c>
      <c r="H59" s="140">
        <f t="shared" si="4"/>
        <v>-2.1659269551964754E-2</v>
      </c>
    </row>
    <row r="60" spans="2:8" x14ac:dyDescent="0.2">
      <c r="B60">
        <f t="shared" si="5"/>
        <v>48</v>
      </c>
      <c r="C60" s="3">
        <f>Project_Page_3!A51</f>
        <v>39447</v>
      </c>
      <c r="D60" s="56">
        <f>Project_Page_3!G51</f>
        <v>-3.9665284240136605E-3</v>
      </c>
      <c r="E60" s="26">
        <f t="shared" si="6"/>
        <v>16666.666666666668</v>
      </c>
      <c r="F60" s="26">
        <f t="shared" si="7"/>
        <v>25915653.959537163</v>
      </c>
      <c r="G60" s="139">
        <f t="shared" si="8"/>
        <v>26622328.025243964</v>
      </c>
      <c r="H60" s="140">
        <f t="shared" si="4"/>
        <v>-2.6544412834096046E-2</v>
      </c>
    </row>
    <row r="61" spans="2:8" x14ac:dyDescent="0.2">
      <c r="B61">
        <f t="shared" si="5"/>
        <v>49</v>
      </c>
      <c r="C61" s="3">
        <f>Project_Page_3!A52</f>
        <v>39478</v>
      </c>
      <c r="D61" s="56">
        <f>Project_Page_3!G52</f>
        <v>8.5645160380032337E-3</v>
      </c>
      <c r="E61" s="26">
        <f t="shared" si="6"/>
        <v>16666.666666666668</v>
      </c>
      <c r="F61" s="26">
        <f t="shared" si="7"/>
        <v>26111082.9035764</v>
      </c>
      <c r="G61" s="139">
        <f t="shared" si="8"/>
        <v>26622328.025243964</v>
      </c>
      <c r="H61" s="140">
        <f t="shared" si="4"/>
        <v>-1.9203621906498498E-2</v>
      </c>
    </row>
    <row r="62" spans="2:8" x14ac:dyDescent="0.2">
      <c r="B62">
        <f t="shared" si="5"/>
        <v>50</v>
      </c>
      <c r="C62" s="3">
        <f>Project_Page_3!A53</f>
        <v>39507</v>
      </c>
      <c r="D62" s="56">
        <f>Project_Page_3!G53</f>
        <v>3.3121650681835438E-2</v>
      </c>
      <c r="E62" s="26">
        <f t="shared" si="6"/>
        <v>16666.666666666668</v>
      </c>
      <c r="F62" s="26">
        <f t="shared" si="7"/>
        <v>26949073.265593808</v>
      </c>
      <c r="G62" s="139">
        <f t="shared" si="8"/>
        <v>26949073.265593808</v>
      </c>
      <c r="H62" s="140">
        <f t="shared" si="4"/>
        <v>0</v>
      </c>
    </row>
    <row r="63" spans="2:8" x14ac:dyDescent="0.2">
      <c r="B63">
        <f t="shared" si="5"/>
        <v>51</v>
      </c>
      <c r="C63" s="3">
        <f>Project_Page_3!A54</f>
        <v>39538</v>
      </c>
      <c r="D63" s="56">
        <f>Project_Page_3!G54</f>
        <v>-7.3401012268733629E-3</v>
      </c>
      <c r="E63" s="26">
        <f t="shared" si="6"/>
        <v>16666.666666666668</v>
      </c>
      <c r="F63" s="26">
        <f t="shared" si="7"/>
        <v>26723015.884411268</v>
      </c>
      <c r="G63" s="139">
        <f t="shared" si="8"/>
        <v>26949073.265593808</v>
      </c>
      <c r="H63" s="140">
        <f t="shared" si="4"/>
        <v>-8.3883174369172187E-3</v>
      </c>
    </row>
    <row r="64" spans="2:8" x14ac:dyDescent="0.2">
      <c r="B64">
        <f t="shared" si="5"/>
        <v>52</v>
      </c>
      <c r="C64" s="3">
        <f>Project_Page_3!A55</f>
        <v>39568</v>
      </c>
      <c r="D64" s="56">
        <f>Project_Page_3!G55</f>
        <v>5.3030762620441601E-3</v>
      </c>
      <c r="E64" s="26">
        <f t="shared" si="6"/>
        <v>16666.666666666668</v>
      </c>
      <c r="F64" s="26">
        <f t="shared" si="7"/>
        <v>26836858.382457431</v>
      </c>
      <c r="G64" s="139">
        <f t="shared" si="8"/>
        <v>26949073.265593808</v>
      </c>
      <c r="H64" s="140">
        <f t="shared" si="4"/>
        <v>-4.1639607429337011E-3</v>
      </c>
    </row>
    <row r="65" spans="2:8" x14ac:dyDescent="0.2">
      <c r="B65">
        <f t="shared" si="5"/>
        <v>53</v>
      </c>
      <c r="C65" s="3">
        <f>Project_Page_3!A56</f>
        <v>39598</v>
      </c>
      <c r="D65" s="56">
        <f>Project_Page_3!G56</f>
        <v>-4.2442969336530705E-5</v>
      </c>
      <c r="E65" s="26">
        <f t="shared" si="6"/>
        <v>16666.666666666668</v>
      </c>
      <c r="F65" s="26">
        <f t="shared" si="7"/>
        <v>26807657.91586259</v>
      </c>
      <c r="G65" s="139">
        <f t="shared" si="8"/>
        <v>26949073.265593808</v>
      </c>
      <c r="H65" s="140">
        <f t="shared" si="4"/>
        <v>-5.2475032568843347E-3</v>
      </c>
    </row>
    <row r="66" spans="2:8" x14ac:dyDescent="0.2">
      <c r="B66">
        <f t="shared" si="5"/>
        <v>54</v>
      </c>
      <c r="C66" s="3">
        <f>Project_Page_3!A57</f>
        <v>39629</v>
      </c>
      <c r="D66" s="56">
        <f>Project_Page_3!G57</f>
        <v>-3.4408797357740727E-3</v>
      </c>
      <c r="E66" s="26">
        <f t="shared" si="6"/>
        <v>16666.666666666668</v>
      </c>
      <c r="F66" s="26">
        <f t="shared" si="7"/>
        <v>26687403.225783229</v>
      </c>
      <c r="G66" s="139">
        <f t="shared" si="8"/>
        <v>26949073.265593808</v>
      </c>
      <c r="H66" s="140">
        <f t="shared" si="4"/>
        <v>-9.7097973363208905E-3</v>
      </c>
    </row>
    <row r="67" spans="2:8" x14ac:dyDescent="0.2">
      <c r="B67">
        <f t="shared" si="5"/>
        <v>55</v>
      </c>
      <c r="C67" s="3">
        <f>Project_Page_3!A58</f>
        <v>39660</v>
      </c>
      <c r="D67" s="56">
        <f>Project_Page_3!G58</f>
        <v>-2.1446712680451417E-2</v>
      </c>
      <c r="E67" s="26">
        <f t="shared" si="6"/>
        <v>16666.666666666668</v>
      </c>
      <c r="F67" s="26">
        <f t="shared" si="7"/>
        <v>26087233.817902867</v>
      </c>
      <c r="G67" s="139">
        <f t="shared" si="8"/>
        <v>26949073.265593808</v>
      </c>
      <c r="H67" s="140">
        <f t="shared" si="4"/>
        <v>-3.1980299997598126E-2</v>
      </c>
    </row>
    <row r="68" spans="2:8" x14ac:dyDescent="0.2">
      <c r="B68">
        <f t="shared" si="5"/>
        <v>56</v>
      </c>
      <c r="C68" s="3">
        <f>Project_Page_3!A59</f>
        <v>39689</v>
      </c>
      <c r="D68" s="56">
        <f>Project_Page_3!G59</f>
        <v>-5.7416456690373204E-3</v>
      </c>
      <c r="E68" s="26">
        <f t="shared" si="6"/>
        <v>16666.666666666668</v>
      </c>
      <c r="F68" s="26">
        <f t="shared" si="7"/>
        <v>25910638.108471971</v>
      </c>
      <c r="G68" s="139">
        <f t="shared" si="8"/>
        <v>26949073.265593808</v>
      </c>
      <c r="H68" s="140">
        <f t="shared" si="4"/>
        <v>-3.8533241825707575E-2</v>
      </c>
    </row>
    <row r="69" spans="2:8" x14ac:dyDescent="0.2">
      <c r="B69">
        <f t="shared" si="5"/>
        <v>57</v>
      </c>
      <c r="C69" s="3">
        <f>Project_Page_3!A60</f>
        <v>39721</v>
      </c>
      <c r="D69" s="56">
        <f>Project_Page_3!G60</f>
        <v>-6.1228106364452473E-2</v>
      </c>
      <c r="E69" s="26">
        <f t="shared" si="6"/>
        <v>16666.666666666668</v>
      </c>
      <c r="F69" s="26">
        <f t="shared" si="7"/>
        <v>24297661.072214831</v>
      </c>
      <c r="G69" s="139">
        <f t="shared" si="8"/>
        <v>26949073.265593808</v>
      </c>
      <c r="H69" s="140">
        <f t="shared" si="4"/>
        <v>-9.8386024901422717E-2</v>
      </c>
    </row>
    <row r="70" spans="2:8" x14ac:dyDescent="0.2">
      <c r="B70">
        <f t="shared" si="5"/>
        <v>58</v>
      </c>
      <c r="C70" s="3">
        <f>Project_Page_3!A61</f>
        <v>39752</v>
      </c>
      <c r="D70" s="56">
        <f>Project_Page_3!G61</f>
        <v>-0.10746518310910644</v>
      </c>
      <c r="E70" s="26">
        <f t="shared" si="6"/>
        <v>16666.666666666668</v>
      </c>
      <c r="F70" s="26">
        <f t="shared" si="7"/>
        <v>21662679.040845901</v>
      </c>
      <c r="G70" s="139">
        <f t="shared" si="8"/>
        <v>26949073.265593808</v>
      </c>
      <c r="H70" s="140">
        <f t="shared" si="4"/>
        <v>-0.19616237533099543</v>
      </c>
    </row>
    <row r="71" spans="2:8" x14ac:dyDescent="0.2">
      <c r="B71">
        <f t="shared" si="5"/>
        <v>59</v>
      </c>
      <c r="C71" s="3">
        <f>Project_Page_3!A62</f>
        <v>39780</v>
      </c>
      <c r="D71" s="56">
        <f>Project_Page_3!G62</f>
        <v>-3.1211246532655192E-2</v>
      </c>
      <c r="E71" s="26">
        <f t="shared" si="6"/>
        <v>16666.666666666668</v>
      </c>
      <c r="F71" s="26">
        <f t="shared" si="7"/>
        <v>20967122.026342869</v>
      </c>
      <c r="G71" s="139">
        <f t="shared" si="8"/>
        <v>26949073.265593808</v>
      </c>
      <c r="H71" s="140">
        <f t="shared" si="4"/>
        <v>-0.2219724285245892</v>
      </c>
    </row>
    <row r="72" spans="2:8" x14ac:dyDescent="0.2">
      <c r="B72">
        <f t="shared" si="5"/>
        <v>60</v>
      </c>
      <c r="C72" s="3">
        <f>Project_Page_3!A63</f>
        <v>39813</v>
      </c>
      <c r="D72" s="56">
        <f>Project_Page_3!G63</f>
        <v>1.4739250586386799E-3</v>
      </c>
      <c r="E72" s="26">
        <f t="shared" si="6"/>
        <v>16666.666666666668</v>
      </c>
      <c r="F72" s="26">
        <f t="shared" si="7"/>
        <v>20979747.456194457</v>
      </c>
      <c r="G72" s="139">
        <f t="shared" si="8"/>
        <v>26949073.265593808</v>
      </c>
      <c r="H72" s="140">
        <f t="shared" si="4"/>
        <v>-0.22150393635318283</v>
      </c>
    </row>
    <row r="73" spans="2:8" x14ac:dyDescent="0.2">
      <c r="B73">
        <f t="shared" si="5"/>
        <v>61</v>
      </c>
      <c r="C73" s="3">
        <f>Project_Page_3!A64</f>
        <v>39843</v>
      </c>
      <c r="D73" s="56">
        <f>Project_Page_3!G64</f>
        <v>-1.4881137345077322E-2</v>
      </c>
      <c r="E73" s="26">
        <f t="shared" si="6"/>
        <v>0</v>
      </c>
      <c r="F73" s="26">
        <f t="shared" si="7"/>
        <v>20632578.707073465</v>
      </c>
      <c r="G73" s="139">
        <f t="shared" si="8"/>
        <v>26949073.265593808</v>
      </c>
      <c r="H73" s="140">
        <f t="shared" si="4"/>
        <v>-0.23438633663832456</v>
      </c>
    </row>
    <row r="74" spans="2:8" x14ac:dyDescent="0.2">
      <c r="B74">
        <f t="shared" si="5"/>
        <v>62</v>
      </c>
      <c r="C74" s="3">
        <f>Project_Page_3!A65</f>
        <v>39871</v>
      </c>
      <c r="D74" s="56">
        <f>Project_Page_3!G65</f>
        <v>-1.4703364430666999E-2</v>
      </c>
      <c r="E74" s="26">
        <f t="shared" si="6"/>
        <v>0</v>
      </c>
      <c r="F74" s="26">
        <f t="shared" si="7"/>
        <v>20294822.752020486</v>
      </c>
      <c r="G74" s="139">
        <f t="shared" si="8"/>
        <v>26949073.265593808</v>
      </c>
      <c r="H74" s="140">
        <f t="shared" si="4"/>
        <v>-0.24691945611609883</v>
      </c>
    </row>
    <row r="75" spans="2:8" x14ac:dyDescent="0.2">
      <c r="B75">
        <f t="shared" si="5"/>
        <v>63</v>
      </c>
      <c r="C75" s="3">
        <f>Project_Page_3!A66</f>
        <v>39903</v>
      </c>
      <c r="D75" s="56">
        <f>Project_Page_3!G66</f>
        <v>6.2360912241308325E-2</v>
      </c>
      <c r="E75" s="26">
        <f t="shared" si="6"/>
        <v>0</v>
      </c>
      <c r="F75" s="26">
        <f t="shared" si="7"/>
        <v>21526601.708025441</v>
      </c>
      <c r="G75" s="139">
        <f t="shared" si="8"/>
        <v>26949073.265593808</v>
      </c>
      <c r="H75" s="140">
        <f t="shared" si="4"/>
        <v>-0.20121180064812469</v>
      </c>
    </row>
    <row r="76" spans="2:8" x14ac:dyDescent="0.2">
      <c r="B76">
        <f t="shared" si="5"/>
        <v>64</v>
      </c>
      <c r="C76" s="3">
        <f>Project_Page_3!A67</f>
        <v>39933</v>
      </c>
      <c r="D76" s="56">
        <f>Project_Page_3!G67</f>
        <v>4.207304733449134E-2</v>
      </c>
      <c r="E76" s="26">
        <f t="shared" si="6"/>
        <v>0</v>
      </c>
      <c r="F76" s="26">
        <f t="shared" si="7"/>
        <v>22396413.77112456</v>
      </c>
      <c r="G76" s="139">
        <f t="shared" si="8"/>
        <v>26949073.265593808</v>
      </c>
      <c r="H76" s="140">
        <f t="shared" si="4"/>
        <v>-0.16893566059214662</v>
      </c>
    </row>
    <row r="77" spans="2:8" x14ac:dyDescent="0.2">
      <c r="B77">
        <f t="shared" ref="B77:B108" si="9">B76+1</f>
        <v>65</v>
      </c>
      <c r="C77" s="3">
        <f>Project_Page_3!A68</f>
        <v>39962</v>
      </c>
      <c r="D77" s="56">
        <f>Project_Page_3!G68</f>
        <v>2.5534507439951649E-2</v>
      </c>
      <c r="E77" s="26">
        <f t="shared" ref="E77:E108" si="10">IF(B77&lt;=$C$7,$C$6/12,0)</f>
        <v>0</v>
      </c>
      <c r="F77" s="26">
        <f t="shared" ref="F77:F108" si="11">F76*(1+D77)-F76*($C$5/12)+E77</f>
        <v>22930967.808906369</v>
      </c>
      <c r="G77" s="139">
        <f t="shared" ref="G77:G108" si="12">MAX(G76,F77)</f>
        <v>26949073.265593808</v>
      </c>
      <c r="H77" s="140">
        <f t="shared" si="4"/>
        <v>-0.14909994926680467</v>
      </c>
    </row>
    <row r="78" spans="2:8" x14ac:dyDescent="0.2">
      <c r="B78">
        <f t="shared" si="9"/>
        <v>66</v>
      </c>
      <c r="C78" s="3">
        <f>Project_Page_3!A69</f>
        <v>39994</v>
      </c>
      <c r="D78" s="56">
        <f>Project_Page_3!G69</f>
        <v>1.6660385363885234E-2</v>
      </c>
      <c r="E78" s="26">
        <f t="shared" si="10"/>
        <v>0</v>
      </c>
      <c r="F78" s="26">
        <f t="shared" si="11"/>
        <v>23274788.289688084</v>
      </c>
      <c r="G78" s="139">
        <f t="shared" si="12"/>
        <v>26949073.265593808</v>
      </c>
      <c r="H78" s="140">
        <f t="shared" ref="H78:H132" si="13">(F78-G78)/G78</f>
        <v>-0.13634179326666218</v>
      </c>
    </row>
    <row r="79" spans="2:8" x14ac:dyDescent="0.2">
      <c r="B79">
        <f t="shared" si="9"/>
        <v>67</v>
      </c>
      <c r="C79" s="3">
        <f>Project_Page_3!A70</f>
        <v>40025</v>
      </c>
      <c r="D79" s="56">
        <f>Project_Page_3!G70</f>
        <v>5.341821187831549E-2</v>
      </c>
      <c r="E79" s="26">
        <f t="shared" si="10"/>
        <v>0</v>
      </c>
      <c r="F79" s="26">
        <f t="shared" si="11"/>
        <v>24479294.548153434</v>
      </c>
      <c r="G79" s="139">
        <f t="shared" si="12"/>
        <v>26949073.265593808</v>
      </c>
      <c r="H79" s="140">
        <f t="shared" si="13"/>
        <v>-9.1646146533490236E-2</v>
      </c>
    </row>
    <row r="80" spans="2:8" x14ac:dyDescent="0.2">
      <c r="B80">
        <f t="shared" si="9"/>
        <v>68</v>
      </c>
      <c r="C80" s="3">
        <f>Project_Page_3!A71</f>
        <v>40056</v>
      </c>
      <c r="D80" s="56">
        <f>Project_Page_3!G71</f>
        <v>1.782429959749714E-2</v>
      </c>
      <c r="E80" s="26">
        <f t="shared" si="10"/>
        <v>0</v>
      </c>
      <c r="F80" s="26">
        <f t="shared" si="11"/>
        <v>24874822.003868178</v>
      </c>
      <c r="G80" s="139">
        <f t="shared" si="12"/>
        <v>26949073.265593808</v>
      </c>
      <c r="H80" s="140">
        <f t="shared" si="13"/>
        <v>-7.6969298397872962E-2</v>
      </c>
    </row>
    <row r="81" spans="2:8" x14ac:dyDescent="0.2">
      <c r="B81">
        <f t="shared" si="9"/>
        <v>69</v>
      </c>
      <c r="C81" s="3">
        <f>Project_Page_3!A72</f>
        <v>40086</v>
      </c>
      <c r="D81" s="56">
        <f>Project_Page_3!G72</f>
        <v>1.6682916177740474E-2</v>
      </c>
      <c r="E81" s="26">
        <f t="shared" si="10"/>
        <v>0</v>
      </c>
      <c r="F81" s="26">
        <f t="shared" si="11"/>
        <v>25248348.537621811</v>
      </c>
      <c r="G81" s="139">
        <f t="shared" si="12"/>
        <v>26949073.265593808</v>
      </c>
      <c r="H81" s="140">
        <f t="shared" si="13"/>
        <v>-6.3108839076233908E-2</v>
      </c>
    </row>
    <row r="82" spans="2:8" x14ac:dyDescent="0.2">
      <c r="B82">
        <f t="shared" si="9"/>
        <v>70</v>
      </c>
      <c r="C82" s="3">
        <f>Project_Page_3!A73</f>
        <v>40116</v>
      </c>
      <c r="D82" s="56">
        <f>Project_Page_3!G73</f>
        <v>1.1010752803399006E-2</v>
      </c>
      <c r="E82" s="26">
        <f t="shared" si="10"/>
        <v>0</v>
      </c>
      <c r="F82" s="26">
        <f t="shared" si="11"/>
        <v>25484271.281167589</v>
      </c>
      <c r="G82" s="139">
        <f t="shared" si="12"/>
        <v>26949073.265593808</v>
      </c>
      <c r="H82" s="140">
        <f t="shared" si="13"/>
        <v>-5.4354447367819081E-2</v>
      </c>
    </row>
    <row r="83" spans="2:8" x14ac:dyDescent="0.2">
      <c r="B83">
        <f t="shared" si="9"/>
        <v>71</v>
      </c>
      <c r="C83" s="3">
        <f>Project_Page_3!A74</f>
        <v>40147</v>
      </c>
      <c r="D83" s="56">
        <f>Project_Page_3!G74</f>
        <v>3.1608288232425653E-2</v>
      </c>
      <c r="E83" s="26">
        <f t="shared" si="10"/>
        <v>0</v>
      </c>
      <c r="F83" s="26">
        <f t="shared" si="11"/>
        <v>26247311.687747449</v>
      </c>
      <c r="G83" s="139">
        <f t="shared" si="12"/>
        <v>26949073.265593808</v>
      </c>
      <c r="H83" s="140">
        <f t="shared" si="13"/>
        <v>-2.6040286095563314E-2</v>
      </c>
    </row>
    <row r="84" spans="2:8" x14ac:dyDescent="0.2">
      <c r="B84">
        <f t="shared" si="9"/>
        <v>72</v>
      </c>
      <c r="C84" s="3">
        <f>Project_Page_3!A75</f>
        <v>40178</v>
      </c>
      <c r="D84" s="56">
        <f>Project_Page_3!G75</f>
        <v>1.6492552805313743E-2</v>
      </c>
      <c r="E84" s="26">
        <f t="shared" si="10"/>
        <v>0</v>
      </c>
      <c r="F84" s="26">
        <f t="shared" si="11"/>
        <v>26636451.342275571</v>
      </c>
      <c r="G84" s="139">
        <f t="shared" si="12"/>
        <v>26949073.265593808</v>
      </c>
      <c r="H84" s="140">
        <f t="shared" si="13"/>
        <v>-1.1600470273586924E-2</v>
      </c>
    </row>
    <row r="85" spans="2:8" x14ac:dyDescent="0.2">
      <c r="B85">
        <f t="shared" si="9"/>
        <v>73</v>
      </c>
      <c r="C85" s="3">
        <f>Project_Page_3!A76</f>
        <v>40207</v>
      </c>
      <c r="D85" s="56">
        <f>Project_Page_3!G76</f>
        <v>-3.176087779046801E-2</v>
      </c>
      <c r="E85" s="26">
        <f t="shared" si="10"/>
        <v>0</v>
      </c>
      <c r="F85" s="26">
        <f t="shared" si="11"/>
        <v>25746060.180851351</v>
      </c>
      <c r="G85" s="139">
        <f t="shared" si="12"/>
        <v>26949073.265593808</v>
      </c>
      <c r="H85" s="140">
        <f t="shared" si="13"/>
        <v>-4.4640239494927542E-2</v>
      </c>
    </row>
    <row r="86" spans="2:8" x14ac:dyDescent="0.2">
      <c r="B86">
        <f t="shared" si="9"/>
        <v>74</v>
      </c>
      <c r="C86" s="3">
        <f>Project_Page_3!A77</f>
        <v>40235</v>
      </c>
      <c r="D86" s="56">
        <f>Project_Page_3!G77</f>
        <v>1.8531563665552024E-2</v>
      </c>
      <c r="E86" s="26">
        <f t="shared" si="10"/>
        <v>0</v>
      </c>
      <c r="F86" s="26">
        <f t="shared" si="11"/>
        <v>26180264.833928514</v>
      </c>
      <c r="G86" s="139">
        <f t="shared" si="12"/>
        <v>26949073.265593808</v>
      </c>
      <c r="H86" s="140">
        <f t="shared" si="13"/>
        <v>-2.8528195537129673E-2</v>
      </c>
    </row>
    <row r="87" spans="2:8" x14ac:dyDescent="0.2">
      <c r="B87">
        <f t="shared" si="9"/>
        <v>75</v>
      </c>
      <c r="C87" s="3">
        <f>Project_Page_3!A78</f>
        <v>40268</v>
      </c>
      <c r="D87" s="56">
        <f>Project_Page_3!G78</f>
        <v>3.5226547395809771E-2</v>
      </c>
      <c r="E87" s="26">
        <f t="shared" si="10"/>
        <v>0</v>
      </c>
      <c r="F87" s="26">
        <f t="shared" si="11"/>
        <v>27058871.399212535</v>
      </c>
      <c r="G87" s="139">
        <f t="shared" si="12"/>
        <v>27058871.399212535</v>
      </c>
      <c r="H87" s="140">
        <f t="shared" si="13"/>
        <v>0</v>
      </c>
    </row>
    <row r="88" spans="2:8" x14ac:dyDescent="0.2">
      <c r="B88">
        <f t="shared" si="9"/>
        <v>76</v>
      </c>
      <c r="C88" s="3">
        <f>Project_Page_3!A79</f>
        <v>40298</v>
      </c>
      <c r="D88" s="56">
        <f>Project_Page_3!G79</f>
        <v>5.6130614304762856E-3</v>
      </c>
      <c r="E88" s="26">
        <f t="shared" si="10"/>
        <v>0</v>
      </c>
      <c r="F88" s="26">
        <f t="shared" si="11"/>
        <v>27165656.387616988</v>
      </c>
      <c r="G88" s="139">
        <f t="shared" si="12"/>
        <v>27165656.387616988</v>
      </c>
      <c r="H88" s="140">
        <f t="shared" si="13"/>
        <v>0</v>
      </c>
    </row>
    <row r="89" spans="2:8" x14ac:dyDescent="0.2">
      <c r="B89">
        <f t="shared" si="9"/>
        <v>77</v>
      </c>
      <c r="C89" s="3">
        <f>Project_Page_3!A80</f>
        <v>40329</v>
      </c>
      <c r="D89" s="56">
        <f>Project_Page_3!G80</f>
        <v>-3.9610902112838929E-2</v>
      </c>
      <c r="E89" s="26">
        <f t="shared" si="10"/>
        <v>0</v>
      </c>
      <c r="F89" s="26">
        <f t="shared" si="11"/>
        <v>26044324.137636714</v>
      </c>
      <c r="G89" s="139">
        <f t="shared" si="12"/>
        <v>27165656.387616988</v>
      </c>
      <c r="H89" s="140">
        <f t="shared" si="13"/>
        <v>-4.1277568779505551E-2</v>
      </c>
    </row>
    <row r="90" spans="2:8" x14ac:dyDescent="0.2">
      <c r="B90">
        <f t="shared" si="9"/>
        <v>78</v>
      </c>
      <c r="C90" s="3">
        <f>Project_Page_3!A81</f>
        <v>40359</v>
      </c>
      <c r="D90" s="56">
        <f>Project_Page_3!G81</f>
        <v>-1.8294792390029423E-2</v>
      </c>
      <c r="E90" s="26">
        <f t="shared" si="10"/>
        <v>0</v>
      </c>
      <c r="F90" s="26">
        <f t="shared" si="11"/>
        <v>25524441.427703954</v>
      </c>
      <c r="G90" s="139">
        <f t="shared" si="12"/>
        <v>27165656.387616988</v>
      </c>
      <c r="H90" s="140">
        <f t="shared" si="13"/>
        <v>-6.0415067337049676E-2</v>
      </c>
    </row>
    <row r="91" spans="2:8" x14ac:dyDescent="0.2">
      <c r="B91">
        <f t="shared" si="9"/>
        <v>79</v>
      </c>
      <c r="C91" s="3">
        <f>Project_Page_3!A82</f>
        <v>40389</v>
      </c>
      <c r="D91" s="56">
        <f>Project_Page_3!G82</f>
        <v>3.8136772324819608E-2</v>
      </c>
      <c r="E91" s="26">
        <f t="shared" si="10"/>
        <v>0</v>
      </c>
      <c r="F91" s="26">
        <f t="shared" si="11"/>
        <v>26455320.503437653</v>
      </c>
      <c r="G91" s="139">
        <f t="shared" si="12"/>
        <v>27165656.387616988</v>
      </c>
      <c r="H91" s="140">
        <f t="shared" si="13"/>
        <v>-2.6148305568023375E-2</v>
      </c>
    </row>
    <row r="92" spans="2:8" x14ac:dyDescent="0.2">
      <c r="B92">
        <f t="shared" si="9"/>
        <v>80</v>
      </c>
      <c r="C92" s="3">
        <f>Project_Page_3!A83</f>
        <v>40421</v>
      </c>
      <c r="D92" s="56">
        <f>Project_Page_3!G83</f>
        <v>-1.0316886418274661E-2</v>
      </c>
      <c r="E92" s="26">
        <f t="shared" si="10"/>
        <v>0</v>
      </c>
      <c r="F92" s="26">
        <f t="shared" si="11"/>
        <v>26138291.765805572</v>
      </c>
      <c r="G92" s="139">
        <f t="shared" si="12"/>
        <v>27165656.387616988</v>
      </c>
      <c r="H92" s="140">
        <f t="shared" si="13"/>
        <v>-3.7818509045108993E-2</v>
      </c>
    </row>
    <row r="93" spans="2:8" x14ac:dyDescent="0.2">
      <c r="B93">
        <f t="shared" si="9"/>
        <v>81</v>
      </c>
      <c r="C93" s="3">
        <f>Project_Page_3!A84</f>
        <v>40451</v>
      </c>
      <c r="D93" s="56">
        <f>Project_Page_3!G84</f>
        <v>5.3318849532368914E-2</v>
      </c>
      <c r="E93" s="26">
        <f t="shared" si="10"/>
        <v>0</v>
      </c>
      <c r="F93" s="26">
        <f t="shared" si="11"/>
        <v>27488391.591890041</v>
      </c>
      <c r="G93" s="139">
        <f t="shared" si="12"/>
        <v>27488391.591890041</v>
      </c>
      <c r="H93" s="140">
        <f t="shared" si="13"/>
        <v>0</v>
      </c>
    </row>
    <row r="94" spans="2:8" x14ac:dyDescent="0.2">
      <c r="B94">
        <f t="shared" si="9"/>
        <v>82</v>
      </c>
      <c r="C94" s="3">
        <f>Project_Page_3!A85</f>
        <v>40480</v>
      </c>
      <c r="D94" s="56">
        <f>Project_Page_3!G85</f>
        <v>2.7339972732038656E-2</v>
      </c>
      <c r="E94" s="26">
        <f t="shared" si="10"/>
        <v>0</v>
      </c>
      <c r="F94" s="26">
        <f t="shared" si="11"/>
        <v>28194109.482473433</v>
      </c>
      <c r="G94" s="139">
        <f t="shared" si="12"/>
        <v>28194109.482473433</v>
      </c>
      <c r="H94" s="140">
        <f t="shared" si="13"/>
        <v>0</v>
      </c>
    </row>
    <row r="95" spans="2:8" x14ac:dyDescent="0.2">
      <c r="B95">
        <f t="shared" si="9"/>
        <v>83</v>
      </c>
      <c r="C95" s="3">
        <f>Project_Page_3!A86</f>
        <v>40512</v>
      </c>
      <c r="D95" s="56">
        <f>Project_Page_3!G86</f>
        <v>-1.2172038844334288E-2</v>
      </c>
      <c r="E95" s="26">
        <f t="shared" si="10"/>
        <v>0</v>
      </c>
      <c r="F95" s="26">
        <f t="shared" si="11"/>
        <v>27803939.504200567</v>
      </c>
      <c r="G95" s="139">
        <f t="shared" si="12"/>
        <v>28194109.482473433</v>
      </c>
      <c r="H95" s="140">
        <f t="shared" si="13"/>
        <v>-1.3838705511000851E-2</v>
      </c>
    </row>
    <row r="96" spans="2:8" x14ac:dyDescent="0.2">
      <c r="B96">
        <f t="shared" si="9"/>
        <v>84</v>
      </c>
      <c r="C96" s="3">
        <f>Project_Page_3!A87</f>
        <v>40543</v>
      </c>
      <c r="D96" s="56">
        <f>Project_Page_3!G87</f>
        <v>3.7407724737150642E-2</v>
      </c>
      <c r="E96" s="26">
        <f t="shared" si="10"/>
        <v>0</v>
      </c>
      <c r="F96" s="26">
        <f t="shared" si="11"/>
        <v>28797681.720608424</v>
      </c>
      <c r="G96" s="139">
        <f t="shared" si="12"/>
        <v>28797681.720608424</v>
      </c>
      <c r="H96" s="140">
        <f t="shared" si="13"/>
        <v>0</v>
      </c>
    </row>
    <row r="97" spans="2:8" x14ac:dyDescent="0.2">
      <c r="B97">
        <f t="shared" si="9"/>
        <v>85</v>
      </c>
      <c r="C97" s="3">
        <f>Project_Page_3!A88</f>
        <v>40574</v>
      </c>
      <c r="D97" s="56">
        <f>Project_Page_3!G88</f>
        <v>1.1434240478824088E-2</v>
      </c>
      <c r="E97" s="26">
        <f t="shared" si="10"/>
        <v>0</v>
      </c>
      <c r="F97" s="26">
        <f t="shared" si="11"/>
        <v>29078965.202433486</v>
      </c>
      <c r="G97" s="139">
        <f t="shared" si="12"/>
        <v>29078965.202433486</v>
      </c>
      <c r="H97" s="140">
        <f t="shared" si="13"/>
        <v>0</v>
      </c>
    </row>
    <row r="98" spans="2:8" x14ac:dyDescent="0.2">
      <c r="B98">
        <f t="shared" si="9"/>
        <v>86</v>
      </c>
      <c r="C98" s="3">
        <f>Project_Page_3!A89</f>
        <v>40602</v>
      </c>
      <c r="D98" s="56">
        <f>Project_Page_3!G89</f>
        <v>1.2956086475216601E-2</v>
      </c>
      <c r="E98" s="26">
        <f t="shared" si="10"/>
        <v>0</v>
      </c>
      <c r="F98" s="26">
        <f t="shared" si="11"/>
        <v>29407249.848201972</v>
      </c>
      <c r="G98" s="139">
        <f t="shared" si="12"/>
        <v>29407249.848201972</v>
      </c>
      <c r="H98" s="140">
        <f t="shared" si="13"/>
        <v>0</v>
      </c>
    </row>
    <row r="99" spans="2:8" x14ac:dyDescent="0.2">
      <c r="B99">
        <f t="shared" si="9"/>
        <v>87</v>
      </c>
      <c r="C99" s="3">
        <f>Project_Page_3!A90</f>
        <v>40633</v>
      </c>
      <c r="D99" s="56">
        <f>Project_Page_3!G90</f>
        <v>-1.3093805323254548E-2</v>
      </c>
      <c r="E99" s="26">
        <f t="shared" si="10"/>
        <v>0</v>
      </c>
      <c r="F99" s="26">
        <f t="shared" si="11"/>
        <v>28973184.960516971</v>
      </c>
      <c r="G99" s="139">
        <f t="shared" si="12"/>
        <v>29407249.848201972</v>
      </c>
      <c r="H99" s="140">
        <f t="shared" si="13"/>
        <v>-1.4760471989921241E-2</v>
      </c>
    </row>
    <row r="100" spans="2:8" x14ac:dyDescent="0.2">
      <c r="B100">
        <f t="shared" si="9"/>
        <v>88</v>
      </c>
      <c r="C100" s="3">
        <f>Project_Page_3!A91</f>
        <v>40662</v>
      </c>
      <c r="D100" s="56">
        <f>Project_Page_3!G91</f>
        <v>1.7695086689141284E-2</v>
      </c>
      <c r="E100" s="26">
        <f t="shared" si="10"/>
        <v>0</v>
      </c>
      <c r="F100" s="26">
        <f t="shared" si="11"/>
        <v>29437579.33845298</v>
      </c>
      <c r="G100" s="139">
        <f t="shared" si="12"/>
        <v>29437579.33845298</v>
      </c>
      <c r="H100" s="140">
        <f t="shared" si="13"/>
        <v>0</v>
      </c>
    </row>
    <row r="101" spans="2:8" x14ac:dyDescent="0.2">
      <c r="B101">
        <f t="shared" si="9"/>
        <v>89</v>
      </c>
      <c r="C101" s="3">
        <f>Project_Page_3!A92</f>
        <v>40694</v>
      </c>
      <c r="D101" s="56">
        <f>Project_Page_3!G92</f>
        <v>-9.9330915734757944E-3</v>
      </c>
      <c r="E101" s="26">
        <f t="shared" si="10"/>
        <v>0</v>
      </c>
      <c r="F101" s="26">
        <f t="shared" si="11"/>
        <v>29096110.534951914</v>
      </c>
      <c r="G101" s="139">
        <f t="shared" si="12"/>
        <v>29437579.33845298</v>
      </c>
      <c r="H101" s="140">
        <f t="shared" si="13"/>
        <v>-1.1599758240142408E-2</v>
      </c>
    </row>
    <row r="102" spans="2:8" x14ac:dyDescent="0.2">
      <c r="B102">
        <f t="shared" si="9"/>
        <v>90</v>
      </c>
      <c r="C102" s="3">
        <f>Project_Page_3!A93</f>
        <v>40724</v>
      </c>
      <c r="D102" s="56">
        <f>Project_Page_3!G93</f>
        <v>-7.2979580464381574E-3</v>
      </c>
      <c r="E102" s="26">
        <f t="shared" si="10"/>
        <v>0</v>
      </c>
      <c r="F102" s="26">
        <f t="shared" si="11"/>
        <v>28835274.823395051</v>
      </c>
      <c r="G102" s="139">
        <f t="shared" si="12"/>
        <v>29437579.33845298</v>
      </c>
      <c r="H102" s="140">
        <f t="shared" si="13"/>
        <v>-2.0460395473861727E-2</v>
      </c>
    </row>
    <row r="103" spans="2:8" x14ac:dyDescent="0.2">
      <c r="B103">
        <f t="shared" si="9"/>
        <v>91</v>
      </c>
      <c r="C103" s="3">
        <f>Project_Page_3!A94</f>
        <v>40753</v>
      </c>
      <c r="D103" s="56">
        <f>Project_Page_3!G94</f>
        <v>2.5549962395958394E-2</v>
      </c>
      <c r="E103" s="26">
        <f t="shared" si="10"/>
        <v>0</v>
      </c>
      <c r="F103" s="26">
        <f t="shared" si="11"/>
        <v>29523956.219437592</v>
      </c>
      <c r="G103" s="139">
        <f t="shared" si="12"/>
        <v>29523956.219437592</v>
      </c>
      <c r="H103" s="140">
        <f t="shared" si="13"/>
        <v>0</v>
      </c>
    </row>
    <row r="104" spans="2:8" x14ac:dyDescent="0.2">
      <c r="B104">
        <f t="shared" si="9"/>
        <v>92</v>
      </c>
      <c r="C104" s="3">
        <f>Project_Page_3!A95</f>
        <v>40786</v>
      </c>
      <c r="D104" s="56">
        <f>Project_Page_3!G95</f>
        <v>-2.3267537645891487E-2</v>
      </c>
      <c r="E104" s="26">
        <f t="shared" si="10"/>
        <v>0</v>
      </c>
      <c r="F104" s="26">
        <f t="shared" si="11"/>
        <v>28787799.86294711</v>
      </c>
      <c r="G104" s="139">
        <f t="shared" si="12"/>
        <v>29523956.219437592</v>
      </c>
      <c r="H104" s="140">
        <f t="shared" si="13"/>
        <v>-2.4934204312558245E-2</v>
      </c>
    </row>
    <row r="105" spans="2:8" x14ac:dyDescent="0.2">
      <c r="B105">
        <f t="shared" si="9"/>
        <v>93</v>
      </c>
      <c r="C105" s="3">
        <f>Project_Page_3!A96</f>
        <v>40816</v>
      </c>
      <c r="D105" s="56">
        <f>Project_Page_3!G96</f>
        <v>-4.9215015840138321E-2</v>
      </c>
      <c r="E105" s="26">
        <f t="shared" si="10"/>
        <v>0</v>
      </c>
      <c r="F105" s="26">
        <f t="shared" si="11"/>
        <v>27323028.170251191</v>
      </c>
      <c r="G105" s="139">
        <f t="shared" si="12"/>
        <v>29523956.219437592</v>
      </c>
      <c r="H105" s="140">
        <f t="shared" si="13"/>
        <v>-7.4547192551971855E-2</v>
      </c>
    </row>
    <row r="106" spans="2:8" x14ac:dyDescent="0.2">
      <c r="B106">
        <f t="shared" si="9"/>
        <v>94</v>
      </c>
      <c r="C106" s="3">
        <f>Project_Page_3!A97</f>
        <v>40847</v>
      </c>
      <c r="D106" s="56">
        <f>Project_Page_3!G97</f>
        <v>4.2072802351656363E-2</v>
      </c>
      <c r="E106" s="26">
        <f t="shared" si="10"/>
        <v>0</v>
      </c>
      <c r="F106" s="26">
        <f t="shared" si="11"/>
        <v>28427046.153823156</v>
      </c>
      <c r="G106" s="139">
        <f t="shared" si="12"/>
        <v>29523956.219437592</v>
      </c>
      <c r="H106" s="140">
        <f t="shared" si="13"/>
        <v>-3.7153220844172184E-2</v>
      </c>
    </row>
    <row r="107" spans="2:8" x14ac:dyDescent="0.2">
      <c r="B107">
        <f t="shared" si="9"/>
        <v>95</v>
      </c>
      <c r="C107" s="3">
        <f>Project_Page_3!A98</f>
        <v>40877</v>
      </c>
      <c r="D107" s="56">
        <f>Project_Page_3!G98</f>
        <v>-7.8254756165603949E-3</v>
      </c>
      <c r="E107" s="26">
        <f t="shared" si="10"/>
        <v>0</v>
      </c>
      <c r="F107" s="26">
        <f t="shared" si="11"/>
        <v>28157212.587039202</v>
      </c>
      <c r="G107" s="139">
        <f t="shared" si="12"/>
        <v>29523956.219437592</v>
      </c>
      <c r="H107" s="140">
        <f t="shared" si="13"/>
        <v>-4.6292699468866258E-2</v>
      </c>
    </row>
    <row r="108" spans="2:8" x14ac:dyDescent="0.2">
      <c r="B108">
        <f t="shared" si="9"/>
        <v>96</v>
      </c>
      <c r="C108" s="3">
        <f>Project_Page_3!A99</f>
        <v>40907</v>
      </c>
      <c r="D108" s="56">
        <f>Project_Page_3!G99</f>
        <v>-8.9471573260451638E-3</v>
      </c>
      <c r="E108" s="26">
        <f t="shared" si="10"/>
        <v>0</v>
      </c>
      <c r="F108" s="26">
        <f t="shared" si="11"/>
        <v>27858356.888514999</v>
      </c>
      <c r="G108" s="139">
        <f t="shared" si="12"/>
        <v>29523956.219437592</v>
      </c>
      <c r="H108" s="140">
        <f t="shared" si="13"/>
        <v>-5.6415180897267998E-2</v>
      </c>
    </row>
    <row r="109" spans="2:8" x14ac:dyDescent="0.2">
      <c r="B109">
        <f t="shared" ref="B109:B132" si="14">B108+1</f>
        <v>97</v>
      </c>
      <c r="C109" s="3">
        <f>Project_Page_3!A100</f>
        <v>40939</v>
      </c>
      <c r="D109" s="56">
        <f>Project_Page_3!G100</f>
        <v>4.5509994113776694E-2</v>
      </c>
      <c r="E109" s="26">
        <f t="shared" ref="E109:E132" si="15">IF(B109&lt;=$C$7,$C$6/12,0)</f>
        <v>0</v>
      </c>
      <c r="F109" s="26">
        <f t="shared" ref="F109:F140" si="16">F108*(1+D109)-F108*($C$5/12)+E109</f>
        <v>29079759.951716613</v>
      </c>
      <c r="G109" s="139">
        <f t="shared" ref="G109:G140" si="17">MAX(G108,F109)</f>
        <v>29523956.219437592</v>
      </c>
      <c r="H109" s="140">
        <f t="shared" si="13"/>
        <v>-1.5045282699224932E-2</v>
      </c>
    </row>
    <row r="110" spans="2:8" x14ac:dyDescent="0.2">
      <c r="B110">
        <f t="shared" si="14"/>
        <v>98</v>
      </c>
      <c r="C110" s="3">
        <f>Project_Page_3!A101</f>
        <v>40968</v>
      </c>
      <c r="D110" s="56">
        <f>Project_Page_3!G101</f>
        <v>1.7391043774917514E-2</v>
      </c>
      <c r="E110" s="26">
        <f t="shared" si="15"/>
        <v>0</v>
      </c>
      <c r="F110" s="26">
        <f t="shared" si="16"/>
        <v>29537021.063414812</v>
      </c>
      <c r="G110" s="139">
        <f t="shared" si="17"/>
        <v>29537021.063414812</v>
      </c>
      <c r="H110" s="140">
        <f t="shared" si="13"/>
        <v>0</v>
      </c>
    </row>
    <row r="111" spans="2:8" x14ac:dyDescent="0.2">
      <c r="B111">
        <f t="shared" si="14"/>
        <v>99</v>
      </c>
      <c r="C111" s="3">
        <f>Project_Page_3!A102</f>
        <v>40998</v>
      </c>
      <c r="D111" s="56">
        <f>Project_Page_3!G102</f>
        <v>-4.2664746639561983E-3</v>
      </c>
      <c r="E111" s="26">
        <f t="shared" si="15"/>
        <v>0</v>
      </c>
      <c r="F111" s="26">
        <f t="shared" si="16"/>
        <v>29361773.742959984</v>
      </c>
      <c r="G111" s="139">
        <f t="shared" si="17"/>
        <v>29537021.063414812</v>
      </c>
      <c r="H111" s="140">
        <f t="shared" si="13"/>
        <v>-5.9331413306229971E-3</v>
      </c>
    </row>
    <row r="112" spans="2:8" x14ac:dyDescent="0.2">
      <c r="B112">
        <f t="shared" si="14"/>
        <v>100</v>
      </c>
      <c r="C112" s="3">
        <f>Project_Page_3!A103</f>
        <v>41029</v>
      </c>
      <c r="D112" s="56">
        <f>Project_Page_3!G103</f>
        <v>1.0491737051370421E-3</v>
      </c>
      <c r="E112" s="26">
        <f t="shared" si="15"/>
        <v>0</v>
      </c>
      <c r="F112" s="26">
        <f t="shared" si="16"/>
        <v>29343643.05433568</v>
      </c>
      <c r="G112" s="139">
        <f t="shared" si="17"/>
        <v>29537021.063414812</v>
      </c>
      <c r="H112" s="140">
        <f t="shared" si="13"/>
        <v>-6.5469706191412236E-3</v>
      </c>
    </row>
    <row r="113" spans="2:8" x14ac:dyDescent="0.2">
      <c r="B113">
        <f t="shared" si="14"/>
        <v>101</v>
      </c>
      <c r="C113" s="3">
        <f>Project_Page_3!A104</f>
        <v>41060</v>
      </c>
      <c r="D113" s="56">
        <f>Project_Page_3!G104</f>
        <v>-2.959935783169397E-2</v>
      </c>
      <c r="E113" s="26">
        <f t="shared" si="15"/>
        <v>0</v>
      </c>
      <c r="F113" s="26">
        <f t="shared" si="16"/>
        <v>28426183.991727669</v>
      </c>
      <c r="G113" s="139">
        <f t="shared" si="17"/>
        <v>29537021.063414812</v>
      </c>
      <c r="H113" s="140">
        <f t="shared" si="13"/>
        <v>-3.76082973737338E-2</v>
      </c>
    </row>
    <row r="114" spans="2:8" x14ac:dyDescent="0.2">
      <c r="B114">
        <f t="shared" si="14"/>
        <v>102</v>
      </c>
      <c r="C114" s="3">
        <f>Project_Page_3!A105</f>
        <v>41089</v>
      </c>
      <c r="D114" s="56">
        <f>Project_Page_3!G105</f>
        <v>3.3925511879024711E-3</v>
      </c>
      <c r="E114" s="26">
        <f t="shared" si="15"/>
        <v>0</v>
      </c>
      <c r="F114" s="26">
        <f t="shared" si="16"/>
        <v>28475244.302676793</v>
      </c>
      <c r="G114" s="139">
        <f t="shared" si="17"/>
        <v>29537021.063414812</v>
      </c>
      <c r="H114" s="140">
        <f t="shared" si="13"/>
        <v>-3.5947320430805341E-2</v>
      </c>
    </row>
    <row r="115" spans="2:8" x14ac:dyDescent="0.2">
      <c r="B115">
        <f t="shared" si="14"/>
        <v>103</v>
      </c>
      <c r="C115" s="3">
        <f>Project_Page_3!A106</f>
        <v>41121</v>
      </c>
      <c r="D115" s="56">
        <f>Project_Page_3!G106</f>
        <v>5.4937405378762787E-3</v>
      </c>
      <c r="E115" s="26">
        <f t="shared" si="15"/>
        <v>0</v>
      </c>
      <c r="F115" s="26">
        <f t="shared" si="16"/>
        <v>28584221.166123878</v>
      </c>
      <c r="G115" s="139">
        <f t="shared" si="17"/>
        <v>29537021.063414812</v>
      </c>
      <c r="H115" s="140">
        <f t="shared" si="13"/>
        <v>-3.2257819610356453E-2</v>
      </c>
    </row>
    <row r="116" spans="2:8" x14ac:dyDescent="0.2">
      <c r="B116">
        <f t="shared" si="14"/>
        <v>104</v>
      </c>
      <c r="C116" s="3">
        <f>Project_Page_3!A107</f>
        <v>41152</v>
      </c>
      <c r="D116" s="56">
        <f>Project_Page_3!G107</f>
        <v>1.0435542163803603E-2</v>
      </c>
      <c r="E116" s="26">
        <f t="shared" si="15"/>
        <v>0</v>
      </c>
      <c r="F116" s="26">
        <f t="shared" si="16"/>
        <v>28834872.642712243</v>
      </c>
      <c r="G116" s="139">
        <f t="shared" si="17"/>
        <v>29537021.063414812</v>
      </c>
      <c r="H116" s="140">
        <f t="shared" si="13"/>
        <v>-2.3771808917191901E-2</v>
      </c>
    </row>
    <row r="117" spans="2:8" x14ac:dyDescent="0.2">
      <c r="B117">
        <f t="shared" si="14"/>
        <v>105</v>
      </c>
      <c r="C117" s="3">
        <f>Project_Page_3!A108</f>
        <v>41180</v>
      </c>
      <c r="D117" s="56">
        <f>Project_Page_3!G108</f>
        <v>2.6874054016829609E-2</v>
      </c>
      <c r="E117" s="26">
        <f t="shared" si="15"/>
        <v>0</v>
      </c>
      <c r="F117" s="26">
        <f t="shared" si="16"/>
        <v>29561724.446609706</v>
      </c>
      <c r="G117" s="139">
        <f t="shared" si="17"/>
        <v>29561724.446609706</v>
      </c>
      <c r="H117" s="140">
        <f t="shared" si="13"/>
        <v>0</v>
      </c>
    </row>
    <row r="118" spans="2:8" x14ac:dyDescent="0.2">
      <c r="B118">
        <f t="shared" si="14"/>
        <v>106</v>
      </c>
      <c r="C118" s="3">
        <f>Project_Page_3!A109</f>
        <v>41213</v>
      </c>
      <c r="D118" s="56">
        <f>Project_Page_3!G109</f>
        <v>-3.4909913580925364E-2</v>
      </c>
      <c r="E118" s="26">
        <f t="shared" si="15"/>
        <v>0</v>
      </c>
      <c r="F118" s="26">
        <f t="shared" si="16"/>
        <v>28480457.660131086</v>
      </c>
      <c r="G118" s="139">
        <f t="shared" si="17"/>
        <v>29561724.446609706</v>
      </c>
      <c r="H118" s="140">
        <f t="shared" si="13"/>
        <v>-3.657658024759193E-2</v>
      </c>
    </row>
    <row r="119" spans="2:8" x14ac:dyDescent="0.2">
      <c r="B119">
        <f t="shared" si="14"/>
        <v>107</v>
      </c>
      <c r="C119" s="3">
        <f>Project_Page_3!A110</f>
        <v>41243</v>
      </c>
      <c r="D119" s="56">
        <f>Project_Page_3!G110</f>
        <v>1.6823802545348075E-2</v>
      </c>
      <c r="E119" s="26">
        <f t="shared" si="15"/>
        <v>0</v>
      </c>
      <c r="F119" s="26">
        <f t="shared" si="16"/>
        <v>28912139.826772723</v>
      </c>
      <c r="G119" s="139">
        <f t="shared" si="17"/>
        <v>29561724.446609706</v>
      </c>
      <c r="H119" s="140">
        <f t="shared" si="13"/>
        <v>-2.1973840565700831E-2</v>
      </c>
    </row>
    <row r="120" spans="2:8" x14ac:dyDescent="0.2">
      <c r="B120">
        <f t="shared" si="14"/>
        <v>108</v>
      </c>
      <c r="C120" s="3">
        <f>Project_Page_3!A111</f>
        <v>41274</v>
      </c>
      <c r="D120" s="56">
        <f>Project_Page_3!G111</f>
        <v>-7.8595006267581104E-4</v>
      </c>
      <c r="E120" s="26">
        <f t="shared" si="15"/>
        <v>0</v>
      </c>
      <c r="F120" s="26">
        <f t="shared" si="16"/>
        <v>28841229.428952493</v>
      </c>
      <c r="G120" s="139">
        <f t="shared" si="17"/>
        <v>29561724.446609706</v>
      </c>
      <c r="H120" s="140">
        <f t="shared" si="13"/>
        <v>-2.437256388606393E-2</v>
      </c>
    </row>
    <row r="121" spans="2:8" x14ac:dyDescent="0.2">
      <c r="B121">
        <f t="shared" si="14"/>
        <v>109</v>
      </c>
      <c r="C121" s="3">
        <f>Project_Page_3!A112</f>
        <v>41305</v>
      </c>
      <c r="D121" s="56">
        <f>Project_Page_3!G112</f>
        <v>7.7423569932876263E-3</v>
      </c>
      <c r="E121" s="26">
        <f t="shared" si="15"/>
        <v>0</v>
      </c>
      <c r="F121" s="26">
        <f t="shared" si="16"/>
        <v>29016459.807601839</v>
      </c>
      <c r="G121" s="139">
        <f t="shared" si="17"/>
        <v>29561724.446609706</v>
      </c>
      <c r="H121" s="140">
        <f t="shared" si="13"/>
        <v>-1.8444953710080342E-2</v>
      </c>
    </row>
    <row r="122" spans="2:8" x14ac:dyDescent="0.2">
      <c r="B122">
        <f t="shared" si="14"/>
        <v>110</v>
      </c>
      <c r="C122" s="3">
        <f>Project_Page_3!A113</f>
        <v>41333</v>
      </c>
      <c r="D122" s="56">
        <f>Project_Page_3!G113</f>
        <v>-9.7163180371258265E-3</v>
      </c>
      <c r="E122" s="26">
        <f t="shared" si="15"/>
        <v>0</v>
      </c>
      <c r="F122" s="26">
        <f t="shared" si="16"/>
        <v>28686165.889453698</v>
      </c>
      <c r="G122" s="139">
        <f t="shared" si="17"/>
        <v>29561724.446609706</v>
      </c>
      <c r="H122" s="140">
        <f t="shared" si="13"/>
        <v>-2.9617979787928825E-2</v>
      </c>
    </row>
    <row r="123" spans="2:8" x14ac:dyDescent="0.2">
      <c r="B123">
        <f t="shared" si="14"/>
        <v>111</v>
      </c>
      <c r="C123" s="3">
        <f>Project_Page_3!A114</f>
        <v>41362</v>
      </c>
      <c r="D123" s="56">
        <f>Project_Page_3!G114</f>
        <v>-1.9416227781530839E-3</v>
      </c>
      <c r="E123" s="26">
        <f t="shared" si="15"/>
        <v>0</v>
      </c>
      <c r="F123" s="26">
        <f t="shared" si="16"/>
        <v>28582657.899862435</v>
      </c>
      <c r="G123" s="139">
        <f t="shared" si="17"/>
        <v>29561724.446609706</v>
      </c>
      <c r="H123" s="140">
        <f t="shared" si="13"/>
        <v>-3.3119398988902878E-2</v>
      </c>
    </row>
    <row r="124" spans="2:8" x14ac:dyDescent="0.2">
      <c r="B124">
        <f t="shared" si="14"/>
        <v>112</v>
      </c>
      <c r="C124" s="3">
        <f>Project_Page_3!A115</f>
        <v>41394</v>
      </c>
      <c r="D124" s="56">
        <f>Project_Page_3!G115</f>
        <v>-4.6747798679017682E-3</v>
      </c>
      <c r="E124" s="26">
        <f t="shared" si="15"/>
        <v>0</v>
      </c>
      <c r="F124" s="26">
        <f t="shared" si="16"/>
        <v>28401402.502974596</v>
      </c>
      <c r="G124" s="139">
        <f t="shared" si="17"/>
        <v>29561724.446609706</v>
      </c>
      <c r="H124" s="140">
        <f t="shared" si="13"/>
        <v>-3.9250820625526185E-2</v>
      </c>
    </row>
    <row r="125" spans="2:8" x14ac:dyDescent="0.2">
      <c r="B125">
        <f t="shared" si="14"/>
        <v>113</v>
      </c>
      <c r="C125" s="3">
        <f>Project_Page_3!A116</f>
        <v>41425</v>
      </c>
      <c r="D125" s="56">
        <f>Project_Page_3!G116</f>
        <v>-2.8692070258090853E-3</v>
      </c>
      <c r="E125" s="26">
        <f t="shared" si="15"/>
        <v>0</v>
      </c>
      <c r="F125" s="26">
        <f t="shared" si="16"/>
        <v>28272577.328531936</v>
      </c>
      <c r="G125" s="139">
        <f t="shared" si="17"/>
        <v>29561724.446609706</v>
      </c>
      <c r="H125" s="140">
        <f t="shared" si="13"/>
        <v>-4.3608657553318615E-2</v>
      </c>
    </row>
    <row r="126" spans="2:8" x14ac:dyDescent="0.2">
      <c r="B126">
        <f t="shared" si="14"/>
        <v>114</v>
      </c>
      <c r="C126" s="3">
        <f>Project_Page_3!A117</f>
        <v>41453</v>
      </c>
      <c r="D126" s="56">
        <f>Project_Page_3!G117</f>
        <v>-3.7331941219990776E-2</v>
      </c>
      <c r="E126" s="26">
        <f t="shared" si="15"/>
        <v>0</v>
      </c>
      <c r="F126" s="26">
        <f t="shared" si="16"/>
        <v>27169986.171351317</v>
      </c>
      <c r="G126" s="139">
        <f t="shared" si="17"/>
        <v>29561724.446609706</v>
      </c>
      <c r="H126" s="140">
        <f t="shared" si="13"/>
        <v>-8.0906588503590685E-2</v>
      </c>
    </row>
    <row r="127" spans="2:8" x14ac:dyDescent="0.2">
      <c r="B127">
        <f t="shared" si="14"/>
        <v>115</v>
      </c>
      <c r="C127" s="3">
        <f>Project_Page_3!A118</f>
        <v>41486</v>
      </c>
      <c r="D127" s="56">
        <f>Project_Page_3!G118</f>
        <v>1.1344453454868899E-2</v>
      </c>
      <c r="E127" s="26">
        <f t="shared" si="15"/>
        <v>0</v>
      </c>
      <c r="F127" s="26">
        <f t="shared" si="16"/>
        <v>27432931.50455606</v>
      </c>
      <c r="G127" s="139">
        <f t="shared" si="17"/>
        <v>29561724.446609706</v>
      </c>
      <c r="H127" s="140">
        <f t="shared" si="13"/>
        <v>-7.2011798428686963E-2</v>
      </c>
    </row>
    <row r="128" spans="2:8" x14ac:dyDescent="0.2">
      <c r="B128">
        <f t="shared" si="14"/>
        <v>116</v>
      </c>
      <c r="C128" s="3">
        <f>Project_Page_3!A119</f>
        <v>41516</v>
      </c>
      <c r="D128" s="56">
        <f>Project_Page_3!G119</f>
        <v>-2.5047419842441077E-3</v>
      </c>
      <c r="E128" s="26">
        <f t="shared" si="15"/>
        <v>0</v>
      </c>
      <c r="F128" s="26">
        <f t="shared" si="16"/>
        <v>27318497.53675811</v>
      </c>
      <c r="G128" s="139">
        <f t="shared" si="17"/>
        <v>29561724.446609706</v>
      </c>
      <c r="H128" s="140">
        <f t="shared" si="13"/>
        <v>-7.5882816440664747E-2</v>
      </c>
    </row>
    <row r="129" spans="2:8" x14ac:dyDescent="0.2">
      <c r="B129">
        <f t="shared" si="14"/>
        <v>117</v>
      </c>
      <c r="C129" s="3">
        <f>Project_Page_3!A120</f>
        <v>41547</v>
      </c>
      <c r="D129" s="56">
        <f>Project_Page_3!G120</f>
        <v>1.4636804403049887E-2</v>
      </c>
      <c r="E129" s="26">
        <f t="shared" si="15"/>
        <v>0</v>
      </c>
      <c r="F129" s="26">
        <f t="shared" si="16"/>
        <v>27672822.212560903</v>
      </c>
      <c r="G129" s="139">
        <f t="shared" si="17"/>
        <v>29561724.446609706</v>
      </c>
      <c r="H129" s="140">
        <f t="shared" si="13"/>
        <v>-6.3896889285341804E-2</v>
      </c>
    </row>
    <row r="130" spans="2:8" x14ac:dyDescent="0.2">
      <c r="B130">
        <f t="shared" si="14"/>
        <v>118</v>
      </c>
      <c r="C130" s="3">
        <f>Project_Page_3!A121</f>
        <v>41578</v>
      </c>
      <c r="D130" s="56">
        <f>Project_Page_3!G121</f>
        <v>1.4663143535263946E-2</v>
      </c>
      <c r="E130" s="26">
        <f t="shared" si="15"/>
        <v>0</v>
      </c>
      <c r="F130" s="26">
        <f t="shared" si="16"/>
        <v>28032471.406335257</v>
      </c>
      <c r="G130" s="139">
        <f t="shared" si="17"/>
        <v>29561724.446609706</v>
      </c>
      <c r="H130" s="140">
        <f t="shared" si="13"/>
        <v>-5.1730846860316752E-2</v>
      </c>
    </row>
    <row r="131" spans="2:8" x14ac:dyDescent="0.2">
      <c r="B131">
        <f t="shared" si="14"/>
        <v>119</v>
      </c>
      <c r="C131" s="3">
        <f>Project_Page_3!A122</f>
        <v>41607</v>
      </c>
      <c r="D131" s="56">
        <f>Project_Page_3!G122</f>
        <v>-4.3185517878778345E-3</v>
      </c>
      <c r="E131" s="26">
        <f t="shared" si="15"/>
        <v>0</v>
      </c>
      <c r="F131" s="26">
        <f t="shared" si="16"/>
        <v>27864690.94114757</v>
      </c>
      <c r="G131" s="139">
        <f t="shared" si="17"/>
        <v>29561724.446609706</v>
      </c>
      <c r="H131" s="140">
        <f t="shared" si="13"/>
        <v>-5.7406444895563624E-2</v>
      </c>
    </row>
    <row r="132" spans="2:8" x14ac:dyDescent="0.2">
      <c r="B132">
        <f t="shared" si="14"/>
        <v>120</v>
      </c>
      <c r="C132" s="3">
        <f>Project_Page_3!A123</f>
        <v>41639</v>
      </c>
      <c r="D132" s="56">
        <f>Project_Page_3!G123</f>
        <v>1.3880929528445284E-2</v>
      </c>
      <c r="E132" s="26">
        <f t="shared" si="15"/>
        <v>0</v>
      </c>
      <c r="F132" s="26">
        <f t="shared" si="16"/>
        <v>28205037.600864965</v>
      </c>
      <c r="G132" s="139">
        <f t="shared" si="17"/>
        <v>29561724.446609706</v>
      </c>
      <c r="H132" s="140">
        <f t="shared" si="13"/>
        <v>-4.5893359441699692E-2</v>
      </c>
    </row>
    <row r="134" spans="2:8" x14ac:dyDescent="0.2">
      <c r="B134" s="24" t="s">
        <v>304</v>
      </c>
      <c r="E134" s="41"/>
    </row>
    <row r="135" spans="2:8" x14ac:dyDescent="0.2">
      <c r="B135" s="129" t="s">
        <v>305</v>
      </c>
      <c r="C135" s="130">
        <f>F12</f>
        <v>18000000</v>
      </c>
      <c r="F135" s="26"/>
    </row>
    <row r="136" spans="2:8" x14ac:dyDescent="0.2">
      <c r="B136" s="129" t="s">
        <v>306</v>
      </c>
      <c r="C136" s="130">
        <f>F132</f>
        <v>28205037.600864965</v>
      </c>
      <c r="F136" s="26"/>
    </row>
    <row r="137" spans="2:8" x14ac:dyDescent="0.2">
      <c r="B137" s="129" t="s">
        <v>307</v>
      </c>
      <c r="C137" s="134">
        <f>F132/F12-1</f>
        <v>0.56694653338138701</v>
      </c>
      <c r="F137" s="39"/>
    </row>
    <row r="138" spans="2:8" x14ac:dyDescent="0.2">
      <c r="B138" s="129" t="s">
        <v>308</v>
      </c>
      <c r="C138" s="134">
        <f>(F132/F12)^(1/10)-1</f>
        <v>4.5936738368194341E-2</v>
      </c>
      <c r="F138" s="39"/>
    </row>
    <row r="139" spans="2:8" x14ac:dyDescent="0.2">
      <c r="B139" s="129" t="s">
        <v>309</v>
      </c>
      <c r="C139" s="131" cm="1">
        <f t="array" ref="C139">GEOMEAN(1+D13:D132)-1</f>
        <v>5.0360756259959505E-3</v>
      </c>
      <c r="F139" s="56"/>
    </row>
    <row r="140" spans="2:8" x14ac:dyDescent="0.2">
      <c r="B140" s="129" t="s">
        <v>310</v>
      </c>
      <c r="C140" s="134">
        <f>(1+C139)^12-1</f>
        <v>6.2135223855345645E-2</v>
      </c>
      <c r="F140" s="39"/>
    </row>
    <row r="141" spans="2:8" x14ac:dyDescent="0.2">
      <c r="B141" s="129" t="s">
        <v>311</v>
      </c>
      <c r="C141" s="131">
        <f>STDEV(D13:D132)</f>
        <v>2.4248534768615531E-2</v>
      </c>
      <c r="F141" s="56"/>
    </row>
    <row r="142" spans="2:8" x14ac:dyDescent="0.2">
      <c r="B142" s="129" t="s">
        <v>312</v>
      </c>
      <c r="C142" s="134">
        <f>C141*SQRT(12)</f>
        <v>8.3999388456685059E-2</v>
      </c>
      <c r="F142" s="39"/>
    </row>
    <row r="143" spans="2:8" x14ac:dyDescent="0.2">
      <c r="B143" s="129" t="s">
        <v>313</v>
      </c>
      <c r="C143" s="131">
        <f>MIN(D13:D132)</f>
        <v>-0.10746518310910644</v>
      </c>
      <c r="F143" s="56"/>
    </row>
    <row r="144" spans="2:8" x14ac:dyDescent="0.2">
      <c r="B144" s="129" t="s">
        <v>314</v>
      </c>
      <c r="C144" s="131">
        <f>MAX(D13:D132)</f>
        <v>6.2360912241308325E-2</v>
      </c>
      <c r="F144" s="56"/>
    </row>
    <row r="145" spans="2:6" x14ac:dyDescent="0.2">
      <c r="B145" s="129" t="s">
        <v>92</v>
      </c>
      <c r="C145" s="134">
        <f>MIN(H13:H132)</f>
        <v>-0.24691945611609883</v>
      </c>
      <c r="F145" s="39"/>
    </row>
    <row r="146" spans="2:6" x14ac:dyDescent="0.2">
      <c r="B146" t="s">
        <v>317</v>
      </c>
      <c r="C146" s="145" cm="1">
        <f t="array" ref="C146">SQRT(SUMPRODUCT((D13:D132&lt;0)*D13:D132^2)/60)*SQRT(12)</f>
        <v>7.8650660534675634E-2</v>
      </c>
    </row>
    <row r="147" spans="2:6" x14ac:dyDescent="0.2">
      <c r="B147" t="s">
        <v>318</v>
      </c>
      <c r="C147">
        <f>C140/C146</f>
        <v>0.79001528318953362</v>
      </c>
    </row>
    <row r="148" spans="2:6" x14ac:dyDescent="0.2">
      <c r="B148" t="s">
        <v>319</v>
      </c>
      <c r="C148" cm="1">
        <f t="array" ref="C148">SUMPRODUCT((D13:D132&gt;(1.0602^(1/12)-1))*((D13:D132-(1.0602^(1/12)-1))))/SUMPRODUCT((D13:D132&lt;(1.0602^(1/12)-1))*((1.0602^(1/12)-1)-D13:D132))</f>
        <v>1.0507364834016633</v>
      </c>
    </row>
    <row r="149" spans="2:6" x14ac:dyDescent="0.2">
      <c r="B149" t="s">
        <v>320</v>
      </c>
      <c r="C149" cm="1">
        <f t="array" ref="C149">SQRT(SUMPRODUCT(H13:H132^2)/60)</f>
        <v>8.8756184834622762E-2</v>
      </c>
    </row>
    <row r="150" spans="2:6" x14ac:dyDescent="0.2">
      <c r="B150" t="s">
        <v>321</v>
      </c>
      <c r="C150" cm="1">
        <f t="array" ref="C150">(C140-((GEOMEAN(1+Factors!AB4:AB123)^12)-1))/C149</f>
        <v>0.52091483570373565</v>
      </c>
    </row>
    <row r="151" spans="2:6" x14ac:dyDescent="0.2">
      <c r="B151" t="s">
        <v>324</v>
      </c>
      <c r="C151">
        <f>(C139 - AVERAGE(Factors!AB4:AB123)) / C141</f>
        <v>0.15338502156342768</v>
      </c>
    </row>
    <row r="152" spans="2:6" x14ac:dyDescent="0.2">
      <c r="B152" t="s">
        <v>325</v>
      </c>
      <c r="C152">
        <f>C151 *SQRT(12)</f>
        <v>0.53134130093580911</v>
      </c>
    </row>
    <row r="153" spans="2:6" x14ac:dyDescent="0.2">
      <c r="B153" s="31" t="s">
        <v>82</v>
      </c>
      <c r="C153">
        <f>SKEW(D13:D132)</f>
        <v>-0.93395702330336527</v>
      </c>
    </row>
    <row r="154" spans="2:6" x14ac:dyDescent="0.2">
      <c r="B154" s="31" t="s">
        <v>83</v>
      </c>
      <c r="C154">
        <f>KURT(D13:D132)</f>
        <v>3.4420507521420012</v>
      </c>
    </row>
    <row r="155" spans="2:6" x14ac:dyDescent="0.2">
      <c r="B155" s="31" t="s">
        <v>84</v>
      </c>
      <c r="C155">
        <f>120/6 * (C153^2 + C154^2/4)</f>
        <v>76.68408132916025</v>
      </c>
    </row>
    <row r="156" spans="2:6" x14ac:dyDescent="0.2">
      <c r="B156" s="31" t="s">
        <v>86</v>
      </c>
      <c r="C156">
        <f>_xlfn.CHISQ.DIST.RT(C155, 2)</f>
        <v>2.2297866679927809E-17</v>
      </c>
    </row>
    <row r="157" spans="2:6" x14ac:dyDescent="0.2">
      <c r="B157" s="31" t="s">
        <v>87</v>
      </c>
      <c r="C157" t="str">
        <f>IF(C156&lt;0.05, "REJECT", "PASS")</f>
        <v>REJECT</v>
      </c>
    </row>
    <row r="158" spans="2:6" x14ac:dyDescent="0.2">
      <c r="B158" s="31" t="s">
        <v>88</v>
      </c>
      <c r="C158" s="39">
        <f>_xlfn.PERCENTILE.INC(D13:D132, 0.05)</f>
        <v>-3.5031014962878637E-2</v>
      </c>
    </row>
    <row r="159" spans="2:6" x14ac:dyDescent="0.2">
      <c r="B159" s="31" t="s">
        <v>162</v>
      </c>
      <c r="C159" s="150">
        <f>_xlfn.PERCENTILE.INC(D13:D132, 0.01)</f>
        <v>-5.8945619164832784E-2</v>
      </c>
    </row>
    <row r="160" spans="2:6" x14ac:dyDescent="0.2">
      <c r="B160" s="31" t="s">
        <v>89</v>
      </c>
      <c r="C160" s="39">
        <f>AVERAGEIF(D13:D132, "&lt;="&amp;C158)</f>
        <v>-5.6549147234264525E-2</v>
      </c>
    </row>
    <row r="161" spans="2:3" x14ac:dyDescent="0.2">
      <c r="B161" s="31" t="s">
        <v>163</v>
      </c>
      <c r="C161" s="151">
        <f>AVERAGEIF(D13:D132, "&lt;="&amp;C159)</f>
        <v>-8.4346644736779455E-2</v>
      </c>
    </row>
  </sheetData>
  <pageMargins left="0.7" right="0.7" top="0.75" bottom="0.75" header="0.3" footer="0.3"/>
  <pageSetup orientation="portrait" horizontalDpi="0" verticalDpi="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0B4FA-D175-2740-B31D-E33CFC887038}">
  <sheetPr>
    <tabColor theme="0"/>
  </sheetPr>
  <dimension ref="B3:E30"/>
  <sheetViews>
    <sheetView showGridLines="0" workbookViewId="0">
      <selection activeCell="U61" sqref="U61"/>
    </sheetView>
  </sheetViews>
  <sheetFormatPr baseColWidth="10" defaultColWidth="10.83203125" defaultRowHeight="15" x14ac:dyDescent="0.2"/>
  <sheetData>
    <row r="3" spans="2:5" x14ac:dyDescent="0.2">
      <c r="B3" s="24" t="s">
        <v>0</v>
      </c>
      <c r="C3" s="14" t="s">
        <v>59</v>
      </c>
      <c r="D3" s="14" t="s">
        <v>132</v>
      </c>
      <c r="E3" s="14" t="s">
        <v>133</v>
      </c>
    </row>
    <row r="4" spans="2:5" x14ac:dyDescent="0.2">
      <c r="B4" s="24"/>
      <c r="C4" t="s">
        <v>7</v>
      </c>
      <c r="D4">
        <v>0.69636819482355683</v>
      </c>
      <c r="E4">
        <v>3.2934626180511328</v>
      </c>
    </row>
    <row r="5" spans="2:5" x14ac:dyDescent="0.2">
      <c r="B5" s="24"/>
      <c r="C5" t="s">
        <v>15</v>
      </c>
      <c r="D5">
        <v>0.79122174032072212</v>
      </c>
      <c r="E5" s="2">
        <v>4.7897707430658034</v>
      </c>
    </row>
    <row r="6" spans="2:5" x14ac:dyDescent="0.2">
      <c r="B6" s="24"/>
      <c r="C6" t="s">
        <v>128</v>
      </c>
      <c r="D6">
        <v>0.6418212969273176</v>
      </c>
      <c r="E6">
        <v>2.7919024537789947</v>
      </c>
    </row>
    <row r="7" spans="2:5" x14ac:dyDescent="0.2">
      <c r="B7" s="24"/>
    </row>
    <row r="9" spans="2:5" x14ac:dyDescent="0.2">
      <c r="B9" s="24" t="s">
        <v>1</v>
      </c>
      <c r="C9" s="14" t="s">
        <v>59</v>
      </c>
      <c r="D9" s="14" t="s">
        <v>132</v>
      </c>
      <c r="E9" s="14" t="s">
        <v>133</v>
      </c>
    </row>
    <row r="10" spans="2:5" x14ac:dyDescent="0.2">
      <c r="C10" t="s">
        <v>25</v>
      </c>
      <c r="D10">
        <v>0.22127520982525695</v>
      </c>
      <c r="E10">
        <v>1.2841507200195894</v>
      </c>
    </row>
    <row r="11" spans="2:5" x14ac:dyDescent="0.2">
      <c r="C11" t="s">
        <v>147</v>
      </c>
      <c r="D11">
        <v>2.4522282842459019E-2</v>
      </c>
      <c r="E11" s="8">
        <v>1.0251387421887144</v>
      </c>
    </row>
    <row r="12" spans="2:5" x14ac:dyDescent="0.2">
      <c r="C12" t="s">
        <v>148</v>
      </c>
      <c r="D12">
        <v>0.21107913027972208</v>
      </c>
      <c r="E12">
        <v>1.2675542483171511</v>
      </c>
    </row>
    <row r="15" spans="2:5" x14ac:dyDescent="0.2">
      <c r="B15" s="24" t="s">
        <v>158</v>
      </c>
      <c r="C15" s="14" t="s">
        <v>150</v>
      </c>
      <c r="D15" s="14" t="s">
        <v>132</v>
      </c>
      <c r="E15" s="23" t="s">
        <v>133</v>
      </c>
    </row>
    <row r="16" spans="2:5" x14ac:dyDescent="0.2">
      <c r="C16" t="s">
        <v>10</v>
      </c>
      <c r="D16">
        <v>0.34946273789031013</v>
      </c>
      <c r="E16" s="2">
        <v>1.5371909623700937</v>
      </c>
    </row>
    <row r="17" spans="2:5" x14ac:dyDescent="0.2">
      <c r="C17" t="s">
        <v>12</v>
      </c>
      <c r="D17">
        <v>0.35016790996736091</v>
      </c>
      <c r="E17" s="2">
        <v>1.5388590611919042</v>
      </c>
    </row>
    <row r="20" spans="2:5" x14ac:dyDescent="0.2">
      <c r="B20" s="24" t="s">
        <v>3</v>
      </c>
      <c r="C20" s="14" t="s">
        <v>150</v>
      </c>
      <c r="D20" s="14" t="s">
        <v>132</v>
      </c>
      <c r="E20" s="23" t="s">
        <v>133</v>
      </c>
    </row>
    <row r="21" spans="2:5" x14ac:dyDescent="0.2">
      <c r="C21" t="s">
        <v>29</v>
      </c>
      <c r="D21">
        <v>9.1420222637859511E-2</v>
      </c>
      <c r="E21">
        <v>1.1006188173186926</v>
      </c>
    </row>
    <row r="22" spans="2:5" x14ac:dyDescent="0.2">
      <c r="C22" t="s">
        <v>13</v>
      </c>
      <c r="D22">
        <v>0.12563651555396804</v>
      </c>
      <c r="E22">
        <v>1.1436891153266393</v>
      </c>
    </row>
    <row r="23" spans="2:5" x14ac:dyDescent="0.2">
      <c r="C23" t="s">
        <v>153</v>
      </c>
      <c r="D23">
        <v>2.4900212441923836E-2</v>
      </c>
      <c r="E23">
        <v>1.0255360659079631</v>
      </c>
    </row>
    <row r="24" spans="2:5" x14ac:dyDescent="0.2">
      <c r="C24" t="s">
        <v>154</v>
      </c>
      <c r="D24">
        <v>0.14358925060812547</v>
      </c>
      <c r="E24">
        <v>1.1676639985078261</v>
      </c>
    </row>
    <row r="27" spans="2:5" x14ac:dyDescent="0.2">
      <c r="B27" s="24" t="s">
        <v>4</v>
      </c>
      <c r="C27" s="14" t="s">
        <v>59</v>
      </c>
      <c r="D27" s="14" t="s">
        <v>132</v>
      </c>
      <c r="E27" s="14" t="s">
        <v>133</v>
      </c>
    </row>
    <row r="28" spans="2:5" x14ac:dyDescent="0.2">
      <c r="C28" t="s">
        <v>16</v>
      </c>
      <c r="D28">
        <v>7.0013671969512067E-2</v>
      </c>
      <c r="E28">
        <v>1.075284625009258</v>
      </c>
    </row>
    <row r="29" spans="2:5" x14ac:dyDescent="0.2">
      <c r="C29" t="s">
        <v>157</v>
      </c>
      <c r="D29">
        <v>0.72829004283822196</v>
      </c>
      <c r="E29" s="8">
        <v>3.6803951185513339</v>
      </c>
    </row>
    <row r="30" spans="2:5" x14ac:dyDescent="0.2">
      <c r="C30" t="s">
        <v>17</v>
      </c>
      <c r="D30">
        <v>0.73634074669229077</v>
      </c>
      <c r="E30">
        <v>3.7927741486581863</v>
      </c>
    </row>
  </sheetData>
  <phoneticPr fontId="8" type="noConversion"/>
  <pageMargins left="0.7" right="0.7" top="0.75" bottom="0.75" header="0.3" footer="0.3"/>
  <pageSetup orientation="portrait"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61A41-8513-954A-B648-FD2422FD5BDE}">
  <sheetPr>
    <tabColor theme="0"/>
  </sheetPr>
  <dimension ref="A1:CV123"/>
  <sheetViews>
    <sheetView showGridLines="0" zoomScaleNormal="99" workbookViewId="0">
      <selection activeCell="G7" sqref="G7"/>
    </sheetView>
  </sheetViews>
  <sheetFormatPr baseColWidth="10" defaultColWidth="10.83203125" defaultRowHeight="15" x14ac:dyDescent="0.2"/>
  <cols>
    <col min="1" max="6" width="11" bestFit="1" customWidth="1"/>
    <col min="7" max="7" width="19.6640625" bestFit="1" customWidth="1"/>
    <col min="8" max="11" width="19.6640625" customWidth="1"/>
    <col min="13" max="13" width="11" bestFit="1" customWidth="1"/>
    <col min="14" max="14" width="15.6640625" bestFit="1" customWidth="1"/>
    <col min="15" max="19" width="18.83203125" bestFit="1" customWidth="1"/>
    <col min="23" max="23" width="13.1640625" customWidth="1"/>
    <col min="24" max="24" width="13.6640625" customWidth="1"/>
    <col min="25" max="26" width="12.83203125" customWidth="1"/>
    <col min="27" max="28" width="10.5"/>
    <col min="29" max="32" width="12.6640625" customWidth="1"/>
    <col min="33" max="45" width="10.5"/>
    <col min="46" max="46" width="13" customWidth="1"/>
    <col min="47" max="47" width="13.6640625" customWidth="1"/>
    <col min="48" max="59" width="10.5"/>
    <col min="60" max="60" width="10.6640625" bestFit="1" customWidth="1"/>
    <col min="61" max="61" width="12.6640625" bestFit="1" customWidth="1"/>
    <col min="62" max="67" width="10.6640625" bestFit="1" customWidth="1"/>
    <col min="68" max="69" width="10.5"/>
    <col min="70" max="75" width="10.6640625" bestFit="1" customWidth="1"/>
    <col min="76" max="76" width="10.5"/>
    <col min="77" max="78" width="13" customWidth="1"/>
    <col min="79" max="81" width="13.6640625" customWidth="1"/>
    <col min="82" max="82" width="10.6640625" bestFit="1" customWidth="1"/>
  </cols>
  <sheetData>
    <row r="1" spans="1:97" x14ac:dyDescent="0.2">
      <c r="W1" t="s">
        <v>178</v>
      </c>
      <c r="AM1" t="s">
        <v>179</v>
      </c>
      <c r="BC1" t="s">
        <v>180</v>
      </c>
      <c r="BR1" t="s">
        <v>181</v>
      </c>
      <c r="CI1" t="s">
        <v>182</v>
      </c>
    </row>
    <row r="2" spans="1:97" x14ac:dyDescent="0.2">
      <c r="A2" s="41" t="s">
        <v>166</v>
      </c>
      <c r="B2" s="42">
        <v>0.2</v>
      </c>
      <c r="C2" s="42">
        <v>0.2</v>
      </c>
      <c r="D2" s="42">
        <v>0.2</v>
      </c>
      <c r="E2" s="42">
        <v>0.2</v>
      </c>
      <c r="F2" s="42">
        <v>0.2</v>
      </c>
      <c r="N2" s="50" t="s">
        <v>167</v>
      </c>
      <c r="W2">
        <f>AC20</f>
        <v>0.59460301199999999</v>
      </c>
      <c r="X2">
        <f>AC21</f>
        <v>5.2414433000000003E-2</v>
      </c>
      <c r="Y2">
        <f>AC22</f>
        <v>-6.9793960000000002E-2</v>
      </c>
      <c r="Z2">
        <v>1</v>
      </c>
      <c r="AM2">
        <f>AS20</f>
        <v>1.1011339728542899</v>
      </c>
      <c r="AN2">
        <f>AS21</f>
        <v>0.45214916703304903</v>
      </c>
      <c r="AO2">
        <f>AS22</f>
        <v>0.17417432645952199</v>
      </c>
      <c r="AP2">
        <v>1</v>
      </c>
      <c r="BC2">
        <f>BH20</f>
        <v>0.68741538657185397</v>
      </c>
      <c r="BD2">
        <f>BH21</f>
        <v>1.33989407424533</v>
      </c>
      <c r="BE2">
        <v>1</v>
      </c>
      <c r="BR2">
        <f>BY20</f>
        <v>8.8277652570716306E-2</v>
      </c>
      <c r="BS2">
        <f>BY21</f>
        <v>0.31472457422392902</v>
      </c>
      <c r="BT2">
        <f>BY22</f>
        <v>0.75331524631995705</v>
      </c>
      <c r="BU2">
        <f>BY23</f>
        <v>3.6420311862406698E-2</v>
      </c>
      <c r="BV2">
        <v>1</v>
      </c>
      <c r="CI2">
        <f>CO20</f>
        <v>0.90932564086687995</v>
      </c>
      <c r="CJ2">
        <f>CO21</f>
        <v>-0.122780401193907</v>
      </c>
      <c r="CK2">
        <f>CO22</f>
        <v>0.15794486020787299</v>
      </c>
      <c r="CL2">
        <v>1</v>
      </c>
    </row>
    <row r="3" spans="1:97" x14ac:dyDescent="0.2">
      <c r="A3" s="24" t="s">
        <v>164</v>
      </c>
      <c r="B3" s="24" t="s">
        <v>0</v>
      </c>
      <c r="C3" s="24" t="s">
        <v>1</v>
      </c>
      <c r="D3" s="24" t="s">
        <v>158</v>
      </c>
      <c r="E3" s="24" t="s">
        <v>3</v>
      </c>
      <c r="F3" s="24" t="s">
        <v>4</v>
      </c>
      <c r="G3" s="24" t="s">
        <v>186</v>
      </c>
      <c r="H3" s="24"/>
      <c r="I3" s="24" t="s">
        <v>187</v>
      </c>
      <c r="K3" s="24"/>
      <c r="N3" s="45"/>
      <c r="O3" s="45" t="s">
        <v>0</v>
      </c>
      <c r="P3" s="45" t="s">
        <v>1</v>
      </c>
      <c r="Q3" s="45" t="s">
        <v>158</v>
      </c>
      <c r="R3" s="45" t="s">
        <v>3</v>
      </c>
      <c r="S3" s="45" t="s">
        <v>4</v>
      </c>
      <c r="W3" s="57" t="s">
        <v>7</v>
      </c>
      <c r="X3" s="57" t="s">
        <v>15</v>
      </c>
      <c r="Y3" s="57" t="s">
        <v>128</v>
      </c>
      <c r="Z3" s="58" t="s">
        <v>175</v>
      </c>
      <c r="AB3" t="s">
        <v>104</v>
      </c>
      <c r="AM3" s="57" t="s">
        <v>25</v>
      </c>
      <c r="AN3" s="57" t="s">
        <v>145</v>
      </c>
      <c r="AO3" s="57" t="s">
        <v>146</v>
      </c>
      <c r="AP3" s="58" t="s">
        <v>175</v>
      </c>
      <c r="AR3" t="s">
        <v>104</v>
      </c>
      <c r="BC3" s="57" t="s">
        <v>10</v>
      </c>
      <c r="BD3" s="57" t="s">
        <v>12</v>
      </c>
      <c r="BE3" s="58" t="s">
        <v>175</v>
      </c>
      <c r="BG3" t="s">
        <v>104</v>
      </c>
      <c r="BR3" s="57" t="s">
        <v>29</v>
      </c>
      <c r="BS3" s="57" t="s">
        <v>13</v>
      </c>
      <c r="BT3" s="59" t="s">
        <v>153</v>
      </c>
      <c r="BU3" s="57" t="s">
        <v>154</v>
      </c>
      <c r="BV3" s="58" t="s">
        <v>175</v>
      </c>
      <c r="BX3" t="s">
        <v>104</v>
      </c>
      <c r="CI3" s="57" t="s">
        <v>16</v>
      </c>
      <c r="CJ3" s="57" t="s">
        <v>14</v>
      </c>
      <c r="CK3" s="57" t="s">
        <v>17</v>
      </c>
      <c r="CL3" s="58" t="s">
        <v>175</v>
      </c>
      <c r="CN3" t="s">
        <v>104</v>
      </c>
    </row>
    <row r="4" spans="1:97" ht="16" thickBot="1" x14ac:dyDescent="0.25">
      <c r="A4" s="1">
        <v>38016</v>
      </c>
      <c r="B4" s="38">
        <f>Data!B2</f>
        <v>6.2656429682741432E-3</v>
      </c>
      <c r="C4" s="38">
        <f>Data!C2</f>
        <v>3.4770514603616132E-2</v>
      </c>
      <c r="D4" s="38">
        <f>Data!D2</f>
        <v>3.260982376995325E-2</v>
      </c>
      <c r="E4" s="38">
        <f>Data!E2</f>
        <v>6.4599982985540372E-3</v>
      </c>
      <c r="F4" s="38">
        <f>Data!F2</f>
        <v>1.1827396930966794E-2</v>
      </c>
      <c r="G4" s="38">
        <f>SUMPRODUCT($B$2:$F$2,B4:F4)</f>
        <v>1.8386675314272873E-2</v>
      </c>
      <c r="H4" s="38"/>
      <c r="I4" s="44" cm="1">
        <f t="array" ref="I4">(GEOMEAN(1+G4:G123)^12)-1</f>
        <v>6.2135223855345645E-2</v>
      </c>
      <c r="K4" s="38"/>
      <c r="M4" cm="1">
        <f t="array" ref="M4:M8">TRANSPOSE(B2:F2)</f>
        <v>0.2</v>
      </c>
      <c r="N4" s="46" t="s">
        <v>0</v>
      </c>
      <c r="O4" s="46">
        <f>VARP($B$4:$B$123)</f>
        <v>5.8133493533547113E-5</v>
      </c>
      <c r="P4" s="46">
        <f>_xlfn.COVARIANCE.S($B$4:$B$123,$C$4:$C$123)</f>
        <v>-5.8006583278946301E-5</v>
      </c>
      <c r="Q4" s="46">
        <f>_xlfn.COVARIANCE.S($B$4:$B$123,$D$4:$D$123)</f>
        <v>-3.8632080960862531E-5</v>
      </c>
      <c r="R4" s="46">
        <f>_xlfn.COVARIANCE.S($B$4:$B$123,$E$4:$E$123)</f>
        <v>3.4944769914511711E-6</v>
      </c>
      <c r="S4" s="46">
        <f>_xlfn.COVARIANCE.S($B$4:$B$123,$F$4:$F$123)</f>
        <v>1.0501967419679609E-4</v>
      </c>
      <c r="W4" s="60">
        <v>8.0453023030972997E-3</v>
      </c>
      <c r="X4" s="60">
        <v>5.1267545875612903E-3</v>
      </c>
      <c r="Y4" s="60">
        <v>8.1077053274645206E-3</v>
      </c>
      <c r="Z4" s="56">
        <f t="shared" ref="Z4:Z35" si="0">B4-SUMPRODUCT(W4:Y4, W$2:Y$2)</f>
        <v>1.7790349128816241E-3</v>
      </c>
      <c r="AM4">
        <v>2.0422331878443101E-2</v>
      </c>
      <c r="AN4">
        <v>2.83860797974E-3</v>
      </c>
      <c r="AO4">
        <v>2.5090926774071799E-2</v>
      </c>
      <c r="AP4" s="56">
        <f t="shared" ref="AP4:AP35" si="1">C4-SUMPRODUCT(AM4:AO4, AM$2:AO$2)</f>
        <v>6.6291216626653167E-3</v>
      </c>
      <c r="BC4">
        <v>1.8131402072775402E-2</v>
      </c>
      <c r="BD4">
        <v>2.79899981743594E-2</v>
      </c>
      <c r="BE4" s="56">
        <f t="shared" ref="BE4:BE35" si="2">D4-SUMPRODUCT(BC4:BD4, BC$2:BD$2)</f>
        <v>-1.7357613686955133E-2</v>
      </c>
      <c r="BR4">
        <v>-3.1291370802744002E-2</v>
      </c>
      <c r="BS4">
        <v>1.53800197665672E-2</v>
      </c>
      <c r="BT4">
        <v>3.2700205686655398E-3</v>
      </c>
      <c r="BU4">
        <v>1.14502969767982E-3</v>
      </c>
      <c r="BV4" s="56">
        <f t="shared" ref="BV4:BV35" si="3">E4-SUMPRODUCT(BR4:BU4, BR$2:BU$2)</f>
        <v>1.876798197314831E-3</v>
      </c>
      <c r="CI4">
        <v>1.23260816077084E-2</v>
      </c>
      <c r="CJ4">
        <v>1.21099991979017E-2</v>
      </c>
      <c r="CK4">
        <v>1.6153007630561801E-2</v>
      </c>
      <c r="CL4" s="56">
        <f t="shared" ref="CL4:CL35" si="4">F4-SUMPRODUCT(CI4:CK4, CI$2:CK$2)</f>
        <v>-4.4543909850963681E-4</v>
      </c>
    </row>
    <row r="5" spans="1:97" x14ac:dyDescent="0.2">
      <c r="A5" s="1">
        <v>38044</v>
      </c>
      <c r="B5" s="38">
        <f>Data!B3</f>
        <v>8.4282173017939943E-3</v>
      </c>
      <c r="C5" s="38">
        <f>Data!C3</f>
        <v>-3.2526881720430167E-2</v>
      </c>
      <c r="D5" s="38">
        <f>Data!D3</f>
        <v>8.396542481908309E-2</v>
      </c>
      <c r="E5" s="38">
        <f>Data!E3</f>
        <v>1.998999592325168E-2</v>
      </c>
      <c r="F5" s="38">
        <f>Data!F3</f>
        <v>2.3758424341297602E-2</v>
      </c>
      <c r="G5" s="38">
        <f t="shared" ref="G5:G68" si="5">SUMPRODUCT($B$2:$F$2,B5:F5)</f>
        <v>2.0723036132999244E-2</v>
      </c>
      <c r="H5" s="38"/>
      <c r="I5" s="38"/>
      <c r="J5" s="38"/>
      <c r="K5" s="38"/>
      <c r="M5">
        <v>0.2</v>
      </c>
      <c r="N5" s="46" t="s">
        <v>1</v>
      </c>
      <c r="O5" s="46">
        <f>_xlfn.COVARIANCE.S($B$4:$B$123,$C$4:$C$123)</f>
        <v>-5.8006583278946301E-5</v>
      </c>
      <c r="P5" s="46">
        <f>VARP($C$4:$C$123)</f>
        <v>2.867204937460884E-3</v>
      </c>
      <c r="Q5" s="46">
        <f>_xlfn.COVARIANCE.S($C$4:$C$123,$D$4:$D$123)</f>
        <v>1.8845083567208716E-3</v>
      </c>
      <c r="R5" s="46">
        <f>_xlfn.COVARIANCE.S($C$4:$C$123,$E$4:$E$123)</f>
        <v>1.7045495436719126E-4</v>
      </c>
      <c r="S5" s="46">
        <f>_xlfn.COVARIANCE.S($C$4:$C$123,$F$4:$F$123)</f>
        <v>1.3861373969440544E-4</v>
      </c>
      <c r="W5" s="60">
        <v>1.08241419469755E-2</v>
      </c>
      <c r="X5" s="60">
        <v>3.4824820599408399E-3</v>
      </c>
      <c r="Y5" s="60">
        <v>-1.19207329792014E-2</v>
      </c>
      <c r="Z5" s="56">
        <f t="shared" si="0"/>
        <v>9.7762241448128354E-4</v>
      </c>
      <c r="AB5" s="149" t="s">
        <v>105</v>
      </c>
      <c r="AC5" s="149"/>
      <c r="AM5">
        <v>6.3532895335756097E-3</v>
      </c>
      <c r="AN5">
        <v>-1.50785101937152E-2</v>
      </c>
      <c r="AO5">
        <v>-4.93511228116206E-3</v>
      </c>
      <c r="AP5" s="56">
        <f t="shared" si="1"/>
        <v>-3.1845398983468672E-2</v>
      </c>
      <c r="AR5" s="149" t="s">
        <v>105</v>
      </c>
      <c r="AS5" s="149"/>
      <c r="BC5">
        <v>6.4882009642222696E-2</v>
      </c>
      <c r="BD5">
        <v>1.20200028346211E-2</v>
      </c>
      <c r="BE5" s="56">
        <f t="shared" si="2"/>
        <v>2.3259002508794938E-2</v>
      </c>
      <c r="BG5" s="149" t="s">
        <v>105</v>
      </c>
      <c r="BH5" s="149"/>
      <c r="BR5">
        <v>-1.5654118524040299E-2</v>
      </c>
      <c r="BS5">
        <v>1.09099828824282E-2</v>
      </c>
      <c r="BT5">
        <v>5.4099751638561101E-3</v>
      </c>
      <c r="BU5">
        <v>-2.7994449585027098E-3</v>
      </c>
      <c r="BV5" s="56">
        <f t="shared" si="3"/>
        <v>1.3964804927440349E-2</v>
      </c>
      <c r="BX5" s="149" t="s">
        <v>105</v>
      </c>
      <c r="BY5" s="149"/>
      <c r="CI5">
        <v>2.4775375158765999E-2</v>
      </c>
      <c r="CJ5">
        <v>5.5000077185720598E-3</v>
      </c>
      <c r="CK5">
        <v>-1.0965910322259199E-3</v>
      </c>
      <c r="CL5" s="56">
        <f t="shared" si="4"/>
        <v>2.0780345188813262E-3</v>
      </c>
      <c r="CN5" s="149" t="s">
        <v>105</v>
      </c>
      <c r="CO5" s="149"/>
    </row>
    <row r="6" spans="1:97" x14ac:dyDescent="0.2">
      <c r="A6" s="1">
        <v>38077</v>
      </c>
      <c r="B6" s="38">
        <f>Data!B4</f>
        <v>4.3830411305911809E-3</v>
      </c>
      <c r="C6" s="38">
        <f>Data!C4</f>
        <v>-2.6674076132259028E-2</v>
      </c>
      <c r="D6" s="38">
        <f>Data!D4</f>
        <v>-3.5853150441054193E-3</v>
      </c>
      <c r="E6" s="38">
        <f>Data!E4</f>
        <v>1.122999962763771E-2</v>
      </c>
      <c r="F6" s="38">
        <f>Data!F4</f>
        <v>1.6515691841171076E-2</v>
      </c>
      <c r="G6" s="38">
        <f t="shared" si="5"/>
        <v>3.738682846071038E-4</v>
      </c>
      <c r="H6" s="38"/>
      <c r="I6" s="38"/>
      <c r="J6" s="38"/>
      <c r="K6" s="38"/>
      <c r="M6">
        <v>0.2</v>
      </c>
      <c r="N6" s="46" t="s">
        <v>158</v>
      </c>
      <c r="O6" s="46">
        <f>_xlfn.COVARIANCE.S($B$4:$B$123,$D$4:$D$123)</f>
        <v>-3.8632080960862531E-5</v>
      </c>
      <c r="P6" s="46">
        <f>_xlfn.COVARIANCE.S($C$4:$C$123,$D$4:$D$123)</f>
        <v>1.8845083567208716E-3</v>
      </c>
      <c r="Q6" s="46">
        <f>VARP($D$4:$D$123)</f>
        <v>5.1488146432223684E-3</v>
      </c>
      <c r="R6" s="46">
        <f>_xlfn.COVARIANCE.S($D$4:$D$123,$E$4:$E$123)</f>
        <v>3.8588805059906208E-4</v>
      </c>
      <c r="S6" s="46">
        <f>_xlfn.COVARIANCE.S($D$4:$D$123,$F$4:$F$123)</f>
        <v>3.3336314783809971E-4</v>
      </c>
      <c r="W6" s="60">
        <v>7.4889867841410104E-3</v>
      </c>
      <c r="X6" s="60">
        <v>2.4958810951028799E-2</v>
      </c>
      <c r="Y6" s="60">
        <v>-8.1760495112725995E-4</v>
      </c>
      <c r="Z6" s="56">
        <f t="shared" si="0"/>
        <v>-1.4351987796944014E-3</v>
      </c>
      <c r="AB6" t="s">
        <v>106</v>
      </c>
      <c r="AC6">
        <v>0.90414418100000005</v>
      </c>
      <c r="AM6">
        <v>-1.8550190416387401E-2</v>
      </c>
      <c r="AN6">
        <v>-9.7981116101799604E-3</v>
      </c>
      <c r="AO6">
        <v>2.44058978901215E-2</v>
      </c>
      <c r="AP6" s="56">
        <f t="shared" si="1"/>
        <v>-6.0685040854708584E-3</v>
      </c>
      <c r="AR6" t="s">
        <v>106</v>
      </c>
      <c r="AS6">
        <v>0.94872254538697998</v>
      </c>
      <c r="BC6">
        <v>3.0877435445310301E-2</v>
      </c>
      <c r="BD6">
        <v>5.7999971080802105E-4</v>
      </c>
      <c r="BE6" s="56">
        <f t="shared" si="2"/>
        <v>-2.558807744266654E-2</v>
      </c>
      <c r="BG6" t="s">
        <v>106</v>
      </c>
      <c r="BH6">
        <v>0.76428934007916705</v>
      </c>
      <c r="BR6">
        <v>7.6486179477470703E-2</v>
      </c>
      <c r="BS6">
        <v>4.44002185836667E-3</v>
      </c>
      <c r="BT6">
        <v>1.1003247716878701E-4</v>
      </c>
      <c r="BU6">
        <v>1.8676230293140601E-2</v>
      </c>
      <c r="BV6" s="56">
        <f t="shared" si="3"/>
        <v>2.3175119860128039E-3</v>
      </c>
      <c r="BX6" t="s">
        <v>106</v>
      </c>
      <c r="BY6">
        <v>0.79179941340513704</v>
      </c>
      <c r="CI6">
        <v>1.7390173366180799E-2</v>
      </c>
      <c r="CJ6">
        <v>4.3299893811978903E-3</v>
      </c>
      <c r="CK6">
        <v>6.6713818330137497E-3</v>
      </c>
      <c r="CL6" s="56">
        <f t="shared" si="4"/>
        <v>1.8028866256270676E-4</v>
      </c>
      <c r="CN6" t="s">
        <v>106</v>
      </c>
      <c r="CO6">
        <v>0.98179387625544701</v>
      </c>
    </row>
    <row r="7" spans="1:97" x14ac:dyDescent="0.2">
      <c r="A7" s="1">
        <v>38107</v>
      </c>
      <c r="B7" s="38">
        <f>Data!B5</f>
        <v>-1.7804105065790443E-2</v>
      </c>
      <c r="C7" s="38">
        <f>Data!C5</f>
        <v>-4.6674279189266255E-2</v>
      </c>
      <c r="D7" s="38">
        <f>Data!D5</f>
        <v>-8.5476236266292749E-2</v>
      </c>
      <c r="E7" s="38">
        <f>Data!E5</f>
        <v>-2.839999836017304E-2</v>
      </c>
      <c r="F7" s="38">
        <f>Data!F5</f>
        <v>-4.3864054913778761E-2</v>
      </c>
      <c r="G7" s="38">
        <f t="shared" si="5"/>
        <v>-4.4443734759060251E-2</v>
      </c>
      <c r="H7" s="38"/>
      <c r="I7" s="38"/>
      <c r="J7" s="38"/>
      <c r="K7" s="38"/>
      <c r="M7">
        <v>0.2</v>
      </c>
      <c r="N7" s="46" t="s">
        <v>3</v>
      </c>
      <c r="O7" s="46">
        <f>_xlfn.COVARIANCE.S($B$4:$B$123,$E$4:$E$123)</f>
        <v>3.4944769914511711E-6</v>
      </c>
      <c r="P7" s="46">
        <f>_xlfn.COVARIANCE.S($C$4:$C$123,$E$4:$E$123)</f>
        <v>1.7045495436719126E-4</v>
      </c>
      <c r="Q7" s="46">
        <f>_xlfn.COVARIANCE.S($D$4:$D$123,$E$4:$E$123)</f>
        <v>3.8588805059906208E-4</v>
      </c>
      <c r="R7" s="46">
        <f>VARP($E$4:$E$123)</f>
        <v>1.9495627852423255E-4</v>
      </c>
      <c r="S7" s="46">
        <f>_xlfn.COVARIANCE.S($E$4:$E$123,$F$4:$F$123)</f>
        <v>4.3873145911932566E-5</v>
      </c>
      <c r="W7" s="60">
        <v>-2.60166156536948E-2</v>
      </c>
      <c r="X7" s="60">
        <v>-5.4311022948801198E-2</v>
      </c>
      <c r="Y7" s="60">
        <v>1.9415308323291001E-2</v>
      </c>
      <c r="Z7" s="56">
        <f t="shared" si="0"/>
        <v>1.8672056899576746E-3</v>
      </c>
      <c r="AB7" t="s">
        <v>107</v>
      </c>
      <c r="AC7">
        <v>0.81747669999999995</v>
      </c>
      <c r="AM7">
        <v>-1.1625293421694501E-2</v>
      </c>
      <c r="AN7">
        <v>1.28143130781325E-2</v>
      </c>
      <c r="AO7">
        <v>-3.5285975512780197E-2</v>
      </c>
      <c r="AP7" s="56">
        <f t="shared" si="1"/>
        <v>-3.3521343624211587E-2</v>
      </c>
      <c r="AR7" t="s">
        <v>107</v>
      </c>
      <c r="AS7">
        <v>0.90007446812555003</v>
      </c>
      <c r="BC7">
        <v>-1.77365483074385E-2</v>
      </c>
      <c r="BD7">
        <v>-5.61999095638632E-3</v>
      </c>
      <c r="BE7" s="56">
        <f t="shared" si="2"/>
        <v>-6.5753667475310168E-2</v>
      </c>
      <c r="BG7" t="s">
        <v>107</v>
      </c>
      <c r="BH7">
        <v>0.58413819535864797</v>
      </c>
      <c r="BR7">
        <v>-9.3094149372728294E-2</v>
      </c>
      <c r="BS7">
        <v>-7.0900013461940902E-3</v>
      </c>
      <c r="BT7">
        <v>-2.0300025951655002E-3</v>
      </c>
      <c r="BU7">
        <v>-5.0815691786906302E-3</v>
      </c>
      <c r="BV7" s="56">
        <f t="shared" si="3"/>
        <v>-1.6236163491307389E-2</v>
      </c>
      <c r="BX7" t="s">
        <v>107</v>
      </c>
      <c r="BY7">
        <v>0.62694631106871801</v>
      </c>
      <c r="CI7">
        <v>-4.6496063288188498E-2</v>
      </c>
      <c r="CJ7">
        <v>-5.0599987510285801E-3</v>
      </c>
      <c r="CK7">
        <v>-6.6013073304038699E-3</v>
      </c>
      <c r="CL7" s="56">
        <f t="shared" si="4"/>
        <v>-1.1626184796618561E-3</v>
      </c>
      <c r="CN7" t="s">
        <v>107</v>
      </c>
      <c r="CO7">
        <v>0.96391921545269599</v>
      </c>
    </row>
    <row r="8" spans="1:97" x14ac:dyDescent="0.2">
      <c r="A8" s="1">
        <v>38138</v>
      </c>
      <c r="B8" s="38">
        <f>Data!B6</f>
        <v>-2.1877217285536377E-3</v>
      </c>
      <c r="C8" s="38">
        <f>Data!C6</f>
        <v>4.9558317113340244E-2</v>
      </c>
      <c r="D8" s="38">
        <f>Data!D6</f>
        <v>4.3707135734297298E-2</v>
      </c>
      <c r="E8" s="38">
        <f>Data!E6</f>
        <v>-6.9499961933691123E-3</v>
      </c>
      <c r="F8" s="38">
        <f>Data!F6</f>
        <v>1.5257636777510797E-2</v>
      </c>
      <c r="G8" s="38">
        <f t="shared" si="5"/>
        <v>1.9877074340645121E-2</v>
      </c>
      <c r="H8" s="38"/>
      <c r="I8" s="38"/>
      <c r="J8" s="38"/>
      <c r="K8" s="38"/>
      <c r="M8">
        <v>0.2</v>
      </c>
      <c r="N8" s="46" t="s">
        <v>4</v>
      </c>
      <c r="O8" s="46">
        <f>_xlfn.COVARIANCE.S($B$4:$B$123,$F$4:$F$123)</f>
        <v>1.0501967419679609E-4</v>
      </c>
      <c r="P8" s="46">
        <f>_xlfn.COVARIANCE.S($C$4:$C$123,$F$4:$F$123)</f>
        <v>1.3861373969440544E-4</v>
      </c>
      <c r="Q8" s="46">
        <f>_xlfn.COVARIANCE.S($D$4:$D$123,$F$4:$F$123)</f>
        <v>3.3336314783809971E-4</v>
      </c>
      <c r="R8" s="46">
        <f>_xlfn.COVARIANCE.S($E$4:$E$123,$F$4:$F$123)</f>
        <v>4.3873145911932566E-5</v>
      </c>
      <c r="S8" s="46">
        <f>VARP($F$4:$F$123)</f>
        <v>4.2050090874737561E-4</v>
      </c>
      <c r="W8" s="60">
        <v>-4.0058706725372203E-3</v>
      </c>
      <c r="X8" s="60">
        <v>-1.48276735018624E-2</v>
      </c>
      <c r="Y8" s="60">
        <v>-1.1705638083559001E-2</v>
      </c>
      <c r="Z8" s="56">
        <f t="shared" si="0"/>
        <v>1.5438230215030716E-4</v>
      </c>
      <c r="AB8" t="s">
        <v>108</v>
      </c>
      <c r="AC8">
        <v>0.81275626899999998</v>
      </c>
      <c r="AM8">
        <v>1.8638848184841902E-2</v>
      </c>
      <c r="AN8">
        <v>8.4405039616415305E-3</v>
      </c>
      <c r="AO8">
        <v>2.19338696117744E-3</v>
      </c>
      <c r="AP8" s="56">
        <f t="shared" si="1"/>
        <v>2.4836049629913766E-2</v>
      </c>
      <c r="AR8" t="s">
        <v>108</v>
      </c>
      <c r="AS8">
        <v>0.89749018712879702</v>
      </c>
      <c r="BC8">
        <v>1.6954736383852299E-2</v>
      </c>
      <c r="BD8">
        <v>-3.1200008209378901E-3</v>
      </c>
      <c r="BE8" s="56">
        <f t="shared" si="2"/>
        <v>3.6232659680382834E-2</v>
      </c>
      <c r="BG8" t="s">
        <v>108</v>
      </c>
      <c r="BH8">
        <v>0.57702944656136002</v>
      </c>
      <c r="BR8">
        <v>2.2753716871363901E-2</v>
      </c>
      <c r="BS8">
        <v>-8.7800170451353098E-3</v>
      </c>
      <c r="BT8">
        <v>-5.3300232453854504E-3</v>
      </c>
      <c r="BU8">
        <v>-1.5632895689677399E-2</v>
      </c>
      <c r="BV8" s="56">
        <f t="shared" si="3"/>
        <v>-1.6108110695036079E-3</v>
      </c>
      <c r="BX8" t="s">
        <v>108</v>
      </c>
      <c r="BY8">
        <v>0.61397053058415196</v>
      </c>
      <c r="CI8">
        <v>1.64437363954699E-2</v>
      </c>
      <c r="CJ8">
        <v>-3.4499937997498598E-3</v>
      </c>
      <c r="CK8">
        <v>-1.5711508756096199E-2</v>
      </c>
      <c r="CL8" s="56">
        <f t="shared" si="4"/>
        <v>2.362886072740697E-3</v>
      </c>
      <c r="CN8" t="s">
        <v>108</v>
      </c>
      <c r="CO8">
        <v>0.96298609171440397</v>
      </c>
    </row>
    <row r="9" spans="1:97" x14ac:dyDescent="0.2">
      <c r="A9" s="1">
        <v>38168</v>
      </c>
      <c r="B9" s="38">
        <f>Data!B7</f>
        <v>8.8462612906230476E-3</v>
      </c>
      <c r="C9" s="38">
        <f>Data!C7</f>
        <v>2.7674750356633471E-2</v>
      </c>
      <c r="D9" s="38">
        <f>Data!D7</f>
        <v>-3.4057820299501218E-3</v>
      </c>
      <c r="E9" s="38">
        <f>Data!E7</f>
        <v>-1.1000051204472783E-3</v>
      </c>
      <c r="F9" s="38">
        <f>Data!F7</f>
        <v>-1.4189512304110252E-3</v>
      </c>
      <c r="G9" s="38">
        <f t="shared" si="5"/>
        <v>6.1192546532896196E-3</v>
      </c>
      <c r="H9" s="38"/>
      <c r="I9" s="38"/>
      <c r="J9" s="38"/>
      <c r="K9" s="38"/>
      <c r="W9" s="60">
        <v>5.6515784546573604E-3</v>
      </c>
      <c r="X9" s="60">
        <v>1.46837487610587E-2</v>
      </c>
      <c r="Y9" s="60">
        <v>8.8758342949051307E-3</v>
      </c>
      <c r="Z9" s="56">
        <f t="shared" si="0"/>
        <v>5.3356549770493681E-3</v>
      </c>
      <c r="AB9" t="s">
        <v>109</v>
      </c>
      <c r="AC9">
        <v>3.322406E-3</v>
      </c>
      <c r="AM9">
        <v>1.24957505186376E-2</v>
      </c>
      <c r="AN9">
        <v>-1.11324474738006E-2</v>
      </c>
      <c r="AO9">
        <v>2.2668462092829501E-2</v>
      </c>
      <c r="AP9" s="56">
        <f t="shared" si="1"/>
        <v>1.5000517679676324E-2</v>
      </c>
      <c r="AR9" t="s">
        <v>109</v>
      </c>
      <c r="AS9">
        <v>1.7268148957778898E-2</v>
      </c>
      <c r="BC9">
        <v>-4.1462267061582202E-2</v>
      </c>
      <c r="BD9">
        <v>1.7579991357553799E-2</v>
      </c>
      <c r="BE9" s="56">
        <f t="shared" si="2"/>
        <v>1.5406920650624031E-3</v>
      </c>
      <c r="BG9" t="s">
        <v>109</v>
      </c>
      <c r="BH9">
        <v>4.6755562907556399E-2</v>
      </c>
      <c r="BR9">
        <v>-3.2865630135254799E-3</v>
      </c>
      <c r="BS9">
        <v>3.6000125969946101E-3</v>
      </c>
      <c r="BT9">
        <v>1.9900115237942999E-3</v>
      </c>
      <c r="BU9">
        <v>-8.7949415806041192E-3</v>
      </c>
      <c r="BV9" s="56">
        <f t="shared" si="3"/>
        <v>-3.1216789904268249E-3</v>
      </c>
      <c r="BX9" t="s">
        <v>109</v>
      </c>
      <c r="BY9">
        <v>8.6184020545678301E-3</v>
      </c>
      <c r="CI9">
        <v>-2.61481521713824E-3</v>
      </c>
      <c r="CJ9">
        <v>1.61000107320031E-3</v>
      </c>
      <c r="CK9">
        <v>1.4527412749562501E-2</v>
      </c>
      <c r="CL9" s="56">
        <f t="shared" si="4"/>
        <v>-1.1380863055598912E-3</v>
      </c>
      <c r="CN9" t="s">
        <v>109</v>
      </c>
      <c r="CO9">
        <v>3.97251875126081E-3</v>
      </c>
    </row>
    <row r="10" spans="1:97" ht="16" thickBot="1" x14ac:dyDescent="0.25">
      <c r="A10" s="1">
        <v>38198</v>
      </c>
      <c r="B10" s="38">
        <f>Data!B8</f>
        <v>8.9616862738517433E-3</v>
      </c>
      <c r="C10" s="38">
        <f>Data!C8</f>
        <v>-7.5513603553581499E-2</v>
      </c>
      <c r="D10" s="38">
        <f>Data!D8</f>
        <v>1.9774084992043583E-2</v>
      </c>
      <c r="E10" s="38">
        <f>Data!E8</f>
        <v>-3.289996510301485E-3</v>
      </c>
      <c r="F10" s="38">
        <f>Data!F8</f>
        <v>1.474351928904527E-2</v>
      </c>
      <c r="G10" s="38">
        <f t="shared" si="5"/>
        <v>-7.0648619017884768E-3</v>
      </c>
      <c r="H10" s="38"/>
      <c r="I10" s="38"/>
      <c r="J10" s="38"/>
      <c r="K10" s="38"/>
      <c r="W10" s="60">
        <v>9.9122549949146599E-3</v>
      </c>
      <c r="X10" s="60">
        <v>2.97022538981946E-2</v>
      </c>
      <c r="Y10" s="60">
        <v>3.5641780845903099E-3</v>
      </c>
      <c r="Z10" s="56">
        <f t="shared" si="0"/>
        <v>1.7597609039363051E-3</v>
      </c>
      <c r="AB10" s="4" t="s">
        <v>110</v>
      </c>
      <c r="AC10" s="4">
        <v>120</v>
      </c>
      <c r="AM10">
        <v>-5.6532161459125103E-2</v>
      </c>
      <c r="AN10">
        <v>-4.2445488955042299E-2</v>
      </c>
      <c r="AO10">
        <v>-3.4236249490822698E-2</v>
      </c>
      <c r="AP10" s="56">
        <f t="shared" si="1"/>
        <v>1.1890648158842151E-2</v>
      </c>
      <c r="AR10" s="4" t="s">
        <v>110</v>
      </c>
      <c r="AS10" s="4">
        <v>120</v>
      </c>
      <c r="BC10">
        <v>1.7666820897624301E-2</v>
      </c>
      <c r="BD10">
        <v>-9.3100039320574996E-3</v>
      </c>
      <c r="BE10" s="56">
        <f t="shared" si="2"/>
        <v>2.0104059574972032E-2</v>
      </c>
      <c r="BG10" s="4" t="s">
        <v>110</v>
      </c>
      <c r="BH10" s="4">
        <v>120</v>
      </c>
      <c r="BR10">
        <v>-8.1166772352567803E-3</v>
      </c>
      <c r="BS10">
        <v>-5.6499985801872201E-3</v>
      </c>
      <c r="BT10">
        <v>-1.21699851169794E-2</v>
      </c>
      <c r="BU10">
        <v>1.4276937793218199E-2</v>
      </c>
      <c r="BV10" s="56">
        <f t="shared" si="3"/>
        <v>7.8525829094547427E-3</v>
      </c>
      <c r="BX10" s="4" t="s">
        <v>110</v>
      </c>
      <c r="BY10" s="4">
        <v>120</v>
      </c>
      <c r="CI10">
        <v>1.6134553149116201E-2</v>
      </c>
      <c r="CJ10">
        <v>6.5199865367922003E-3</v>
      </c>
      <c r="CK10">
        <v>1.3476433079504999E-2</v>
      </c>
      <c r="CL10" s="56">
        <f t="shared" si="4"/>
        <v>-1.2560503694525119E-3</v>
      </c>
      <c r="CN10" s="4" t="s">
        <v>110</v>
      </c>
      <c r="CO10" s="4">
        <v>120</v>
      </c>
    </row>
    <row r="11" spans="1:97" x14ac:dyDescent="0.2">
      <c r="A11" s="1">
        <v>38230</v>
      </c>
      <c r="B11" s="38">
        <f>Data!B9</f>
        <v>1.5418905207830846E-2</v>
      </c>
      <c r="C11" s="38">
        <f>Data!C9</f>
        <v>-5.330330330330324E-2</v>
      </c>
      <c r="D11" s="38">
        <f>Data!D9</f>
        <v>-2.4231920390882955E-2</v>
      </c>
      <c r="E11" s="38">
        <f>Data!E9</f>
        <v>-2.3300046663617957E-3</v>
      </c>
      <c r="F11" s="38">
        <f>Data!F9</f>
        <v>2.357337376988311E-2</v>
      </c>
      <c r="G11" s="38">
        <f t="shared" si="5"/>
        <v>-8.1745898765668082E-3</v>
      </c>
      <c r="H11" s="38"/>
      <c r="I11" s="38"/>
      <c r="J11" s="38"/>
      <c r="K11" s="38"/>
      <c r="W11" s="60">
        <v>1.9075174108971599E-2</v>
      </c>
      <c r="X11" s="60">
        <v>4.1283114327875799E-2</v>
      </c>
      <c r="Y11" s="60">
        <v>-9.0321684533356495E-4</v>
      </c>
      <c r="Z11" s="56">
        <f t="shared" si="0"/>
        <v>1.8498791178675929E-3</v>
      </c>
      <c r="AM11">
        <v>-4.9383484064629002E-3</v>
      </c>
      <c r="AN11">
        <v>-1.91597287817948E-2</v>
      </c>
      <c r="AO11">
        <v>-9.1842866424752794E-3</v>
      </c>
      <c r="AP11" s="56">
        <f t="shared" si="1"/>
        <v>-3.7602797753924125E-2</v>
      </c>
      <c r="BC11">
        <v>-1.8225954391624801E-2</v>
      </c>
      <c r="BD11">
        <v>4.9100023455581603E-3</v>
      </c>
      <c r="BE11" s="56">
        <f t="shared" si="2"/>
        <v>-1.8282001954467265E-2</v>
      </c>
      <c r="BR11">
        <v>4.8075693645313902E-2</v>
      </c>
      <c r="BS11">
        <v>-9.0006462964087306E-5</v>
      </c>
      <c r="BT11">
        <v>-8.3400215477897905E-3</v>
      </c>
      <c r="BU11">
        <v>-7.71494203265621E-3</v>
      </c>
      <c r="BV11" s="56">
        <f t="shared" si="3"/>
        <v>1.7959180071508603E-5</v>
      </c>
      <c r="CI11">
        <v>2.5976511659955102E-2</v>
      </c>
      <c r="CJ11">
        <v>8.2500150848256997E-3</v>
      </c>
      <c r="CK11">
        <v>1.81719572636381E-2</v>
      </c>
      <c r="CL11" s="56">
        <f t="shared" si="4"/>
        <v>-1.9049614305296191E-3</v>
      </c>
    </row>
    <row r="12" spans="1:97" ht="16" thickBot="1" x14ac:dyDescent="0.25">
      <c r="A12" s="1">
        <v>38260</v>
      </c>
      <c r="B12" s="38">
        <f>Data!B10</f>
        <v>1.5233914296945983E-3</v>
      </c>
      <c r="C12" s="38">
        <f>Data!C10</f>
        <v>2.9183187946074662E-2</v>
      </c>
      <c r="D12" s="38">
        <f>Data!D10</f>
        <v>0.12160576765525155</v>
      </c>
      <c r="E12" s="38">
        <f>Data!E10</f>
        <v>8.3500020813711551E-3</v>
      </c>
      <c r="F12" s="38">
        <f>Data!F10</f>
        <v>2.2524054632169221E-3</v>
      </c>
      <c r="G12" s="38">
        <f t="shared" si="5"/>
        <v>3.2582950915121776E-2</v>
      </c>
      <c r="H12" s="38"/>
      <c r="I12" s="38"/>
      <c r="J12" s="38"/>
      <c r="K12" s="38"/>
      <c r="N12" s="51" t="s">
        <v>168</v>
      </c>
      <c r="O12" s="52" cm="1">
        <f t="array" ref="O12">MMULT(MMULT(B2:F2,O4:S8),_xlfn.ANCHORARRAY(M4))</f>
        <v>5.8507056102593646E-4</v>
      </c>
      <c r="W12" s="60">
        <v>2.7134996608124701E-3</v>
      </c>
      <c r="X12" s="60">
        <v>1.6634612140230098E-2</v>
      </c>
      <c r="Y12" s="60">
        <v>1.1218053190450199E-2</v>
      </c>
      <c r="Z12" s="56">
        <f t="shared" si="0"/>
        <v>-1.7900504953839843E-4</v>
      </c>
      <c r="AB12" t="s">
        <v>111</v>
      </c>
      <c r="AM12">
        <v>9.5108982621412395E-3</v>
      </c>
      <c r="AN12">
        <v>-5.9905211856052798E-3</v>
      </c>
      <c r="AO12">
        <v>3.6114968230201598E-2</v>
      </c>
      <c r="AP12" s="56">
        <f t="shared" si="1"/>
        <v>1.512872365483298E-2</v>
      </c>
      <c r="AR12" t="s">
        <v>111</v>
      </c>
      <c r="BC12">
        <v>6.84664513582951E-2</v>
      </c>
      <c r="BD12">
        <v>1.36499987987653E-2</v>
      </c>
      <c r="BE12" s="56">
        <f t="shared" si="2"/>
        <v>5.625132302366459E-2</v>
      </c>
      <c r="BG12" t="s">
        <v>111</v>
      </c>
      <c r="BR12">
        <v>2.0495303159692599E-2</v>
      </c>
      <c r="BS12">
        <v>8.2399999444353594E-3</v>
      </c>
      <c r="BT12">
        <v>4.68001390959971E-3</v>
      </c>
      <c r="BU12">
        <v>9.0394150116599493E-3</v>
      </c>
      <c r="BV12" s="56">
        <f t="shared" si="3"/>
        <v>9.2650210721384463E-5</v>
      </c>
      <c r="BX12" t="s">
        <v>111</v>
      </c>
      <c r="CI12">
        <v>1.5744976158673699E-3</v>
      </c>
      <c r="CJ12">
        <v>3.5599860348356502E-3</v>
      </c>
      <c r="CK12">
        <v>1.3931552851262701E-2</v>
      </c>
      <c r="CL12" s="56">
        <f t="shared" si="4"/>
        <v>-9.4264624434450307E-4</v>
      </c>
      <c r="CN12" t="s">
        <v>111</v>
      </c>
    </row>
    <row r="13" spans="1:97" x14ac:dyDescent="0.2">
      <c r="A13" s="1">
        <v>38289</v>
      </c>
      <c r="B13" s="38">
        <f>Data!B11</f>
        <v>8.0551512078639309E-3</v>
      </c>
      <c r="C13" s="38">
        <f>Data!C11</f>
        <v>5.2396363075974728E-2</v>
      </c>
      <c r="D13" s="38">
        <f>Data!D11</f>
        <v>-4.2067679937357161E-2</v>
      </c>
      <c r="E13" s="38">
        <f>Data!E11</f>
        <v>8.3800005220826534E-3</v>
      </c>
      <c r="F13" s="38">
        <f>Data!F11</f>
        <v>1.4042126379137265E-2</v>
      </c>
      <c r="G13" s="38">
        <f t="shared" si="5"/>
        <v>8.1611922495402854E-3</v>
      </c>
      <c r="H13" s="38"/>
      <c r="I13" s="38"/>
      <c r="J13" s="38"/>
      <c r="K13" s="38"/>
      <c r="N13" s="51" t="s">
        <v>169</v>
      </c>
      <c r="O13" s="53">
        <f>SQRT(O12)</f>
        <v>2.4188231870600554E-2</v>
      </c>
      <c r="W13" s="60">
        <v>8.3857442348007592E-3</v>
      </c>
      <c r="X13" s="60">
        <v>1.6096913375373199E-2</v>
      </c>
      <c r="Y13" s="60">
        <v>1.08944614207263E-2</v>
      </c>
      <c r="Z13" s="56">
        <f t="shared" si="0"/>
        <v>2.9856194449891758E-3</v>
      </c>
      <c r="AB13" s="61"/>
      <c r="AC13" s="61" t="s">
        <v>112</v>
      </c>
      <c r="AD13" s="61" t="s">
        <v>113</v>
      </c>
      <c r="AE13" s="61" t="s">
        <v>114</v>
      </c>
      <c r="AF13" s="61" t="s">
        <v>115</v>
      </c>
      <c r="AG13" s="61" t="s">
        <v>116</v>
      </c>
      <c r="AM13">
        <v>1.55963369293051E-2</v>
      </c>
      <c r="AN13">
        <v>-1.02746078586913E-3</v>
      </c>
      <c r="AO13">
        <v>4.40672037474776E-3</v>
      </c>
      <c r="AP13" s="56">
        <f t="shared" si="1"/>
        <v>3.4919734616357632E-2</v>
      </c>
      <c r="AR13" s="61"/>
      <c r="AS13" s="61" t="s">
        <v>112</v>
      </c>
      <c r="AT13" s="61" t="s">
        <v>113</v>
      </c>
      <c r="AU13" s="61" t="s">
        <v>114</v>
      </c>
      <c r="AV13" s="61" t="s">
        <v>115</v>
      </c>
      <c r="AW13" s="61" t="s">
        <v>116</v>
      </c>
      <c r="BC13">
        <v>1.6922450702526699E-2</v>
      </c>
      <c r="BD13">
        <v>1.4890002029396301E-2</v>
      </c>
      <c r="BE13" s="56">
        <f t="shared" si="2"/>
        <v>-7.3651458413466736E-2</v>
      </c>
      <c r="BG13" s="61"/>
      <c r="BH13" s="61" t="s">
        <v>112</v>
      </c>
      <c r="BI13" s="61" t="s">
        <v>113</v>
      </c>
      <c r="BJ13" s="61" t="s">
        <v>114</v>
      </c>
      <c r="BK13" s="61" t="s">
        <v>115</v>
      </c>
      <c r="BL13" s="61" t="s">
        <v>116</v>
      </c>
      <c r="BR13">
        <v>2.4626419605499099E-2</v>
      </c>
      <c r="BS13">
        <v>7.7799953911141797E-3</v>
      </c>
      <c r="BT13">
        <v>4.6699963296139603E-3</v>
      </c>
      <c r="BU13">
        <v>-1.0527279307751601E-2</v>
      </c>
      <c r="BV13" s="56">
        <f t="shared" si="3"/>
        <v>6.2290963124972658E-4</v>
      </c>
      <c r="BX13" s="61"/>
      <c r="BY13" s="61" t="s">
        <v>112</v>
      </c>
      <c r="BZ13" s="61" t="s">
        <v>113</v>
      </c>
      <c r="CA13" s="61" t="s">
        <v>114</v>
      </c>
      <c r="CB13" s="61" t="s">
        <v>115</v>
      </c>
      <c r="CC13" s="61" t="s">
        <v>116</v>
      </c>
      <c r="CI13">
        <v>1.42003546363485E-2</v>
      </c>
      <c r="CJ13">
        <v>3.1099990615002199E-3</v>
      </c>
      <c r="CK13">
        <v>1.9280205655526999E-2</v>
      </c>
      <c r="CL13" s="56">
        <f t="shared" si="4"/>
        <v>-1.5339826556548877E-3</v>
      </c>
      <c r="CN13" s="61"/>
      <c r="CO13" s="61" t="s">
        <v>112</v>
      </c>
      <c r="CP13" s="61" t="s">
        <v>113</v>
      </c>
      <c r="CQ13" s="61" t="s">
        <v>114</v>
      </c>
      <c r="CR13" s="61" t="s">
        <v>115</v>
      </c>
      <c r="CS13" s="61" t="s">
        <v>116</v>
      </c>
    </row>
    <row r="14" spans="1:97" x14ac:dyDescent="0.2">
      <c r="A14" s="1">
        <v>38321</v>
      </c>
      <c r="B14" s="38">
        <f>Data!B12</f>
        <v>-2.4905286897548562E-3</v>
      </c>
      <c r="C14" s="38">
        <f>Data!C12</f>
        <v>4.8616195636256965E-2</v>
      </c>
      <c r="D14" s="38">
        <f>Data!D12</f>
        <v>5.0911974623314871E-2</v>
      </c>
      <c r="E14" s="38">
        <f>Data!E12</f>
        <v>2.8050001880210784E-2</v>
      </c>
      <c r="F14" s="38">
        <f>Data!F12</f>
        <v>-4.573748912340081E-3</v>
      </c>
      <c r="G14" s="38">
        <f t="shared" si="5"/>
        <v>2.4102778907537536E-2</v>
      </c>
      <c r="H14" s="38"/>
      <c r="I14" s="38"/>
      <c r="J14" s="38"/>
      <c r="K14" s="38"/>
      <c r="W14" s="60">
        <v>-7.9764103668484906E-3</v>
      </c>
      <c r="X14" s="60">
        <v>6.9900375632860898E-3</v>
      </c>
      <c r="Y14" s="60">
        <v>1.838045056511E-2</v>
      </c>
      <c r="Z14" s="56">
        <f t="shared" si="0"/>
        <v>3.1687345153162041E-3</v>
      </c>
      <c r="AB14" t="s">
        <v>117</v>
      </c>
      <c r="AC14">
        <v>3</v>
      </c>
      <c r="AD14">
        <v>5.7348299999999998E-3</v>
      </c>
      <c r="AE14">
        <v>1.91161E-3</v>
      </c>
      <c r="AF14">
        <v>173.17843250000001</v>
      </c>
      <c r="AG14">
        <v>1.12326E-42</v>
      </c>
      <c r="AM14">
        <v>3.4398423802710597E-2</v>
      </c>
      <c r="AN14">
        <v>-1.6159537314374101E-2</v>
      </c>
      <c r="AO14">
        <v>4.6276912821102703E-2</v>
      </c>
      <c r="AP14" s="56">
        <f t="shared" si="1"/>
        <v>9.9851937895448148E-3</v>
      </c>
      <c r="AR14" t="s">
        <v>117</v>
      </c>
      <c r="AS14">
        <v>3</v>
      </c>
      <c r="AT14">
        <v>0.31156705965333398</v>
      </c>
      <c r="AU14">
        <v>0.10385568655111101</v>
      </c>
      <c r="AV14">
        <v>348.28815800465799</v>
      </c>
      <c r="AW14">
        <v>7.8658089113677994E-58</v>
      </c>
      <c r="BC14">
        <v>-1.19784447294101E-2</v>
      </c>
      <c r="BD14">
        <v>4.0329999084645102E-2</v>
      </c>
      <c r="BE14" s="56">
        <f t="shared" si="2"/>
        <v>5.1082150496763457E-3</v>
      </c>
      <c r="BG14" t="s">
        <v>117</v>
      </c>
      <c r="BH14">
        <v>2</v>
      </c>
      <c r="BI14">
        <v>0.35926839390960402</v>
      </c>
      <c r="BJ14">
        <v>0.17963419695480201</v>
      </c>
      <c r="BK14">
        <v>82.171731202752895</v>
      </c>
      <c r="BL14">
        <v>5.1111482872662798E-23</v>
      </c>
      <c r="BR14">
        <v>5.2269280130673203E-2</v>
      </c>
      <c r="BS14">
        <v>2.6389990525552499E-2</v>
      </c>
      <c r="BT14">
        <v>1.5719983907416E-2</v>
      </c>
      <c r="BU14">
        <v>-6.7615630409612101E-3</v>
      </c>
      <c r="BV14" s="56">
        <f t="shared" si="3"/>
        <v>3.5343686820540239E-3</v>
      </c>
      <c r="BX14" t="s">
        <v>117</v>
      </c>
      <c r="BY14">
        <v>4</v>
      </c>
      <c r="BZ14">
        <v>1.43552365585376E-2</v>
      </c>
      <c r="CA14">
        <v>3.58880913963441E-3</v>
      </c>
      <c r="CB14">
        <v>48.316655157230997</v>
      </c>
      <c r="CC14">
        <v>8.8233460889631707E-24</v>
      </c>
      <c r="CI14">
        <v>-7.0595322049834498E-3</v>
      </c>
      <c r="CJ14">
        <v>1.0670006618136401E-2</v>
      </c>
      <c r="CK14">
        <v>1.0404040198261501E-2</v>
      </c>
      <c r="CL14" s="56">
        <f t="shared" si="4"/>
        <v>1.5124677527817987E-3</v>
      </c>
      <c r="CN14" t="s">
        <v>117</v>
      </c>
      <c r="CO14">
        <v>3</v>
      </c>
      <c r="CP14">
        <v>4.8905146756066303E-2</v>
      </c>
      <c r="CQ14">
        <v>1.6301715585355401E-2</v>
      </c>
      <c r="CR14">
        <v>1033.00256535827</v>
      </c>
      <c r="CS14">
        <v>1.7828933945598999E-83</v>
      </c>
    </row>
    <row r="15" spans="1:97" x14ac:dyDescent="0.2">
      <c r="A15" s="1">
        <v>38352</v>
      </c>
      <c r="B15" s="38">
        <f>Data!B13</f>
        <v>7.0429407937542265E-3</v>
      </c>
      <c r="C15" s="38">
        <f>Data!C13</f>
        <v>2.8487641390867235E-2</v>
      </c>
      <c r="D15" s="38">
        <f>Data!D13</f>
        <v>5.0918293900485301E-2</v>
      </c>
      <c r="E15" s="38">
        <f>Data!E13</f>
        <v>6.0599974547017599E-3</v>
      </c>
      <c r="F15" s="38">
        <f>Data!F13</f>
        <v>1.2207877592492977E-2</v>
      </c>
      <c r="G15" s="38">
        <f t="shared" si="5"/>
        <v>2.0943350226460301E-2</v>
      </c>
      <c r="H15" s="38"/>
      <c r="I15" s="38"/>
      <c r="J15" s="38"/>
      <c r="K15" s="38"/>
      <c r="W15" s="60">
        <v>9.2011221695278405E-3</v>
      </c>
      <c r="X15" s="60">
        <v>2.50413571637094E-2</v>
      </c>
      <c r="Y15" s="60">
        <v>5.8803135508929101E-3</v>
      </c>
      <c r="Z15" s="56">
        <f t="shared" si="0"/>
        <v>6.6980766944515959E-4</v>
      </c>
      <c r="AB15" t="s">
        <v>118</v>
      </c>
      <c r="AC15">
        <v>116</v>
      </c>
      <c r="AD15">
        <v>1.2804520000000001E-3</v>
      </c>
      <c r="AE15">
        <v>1.1038399999999999E-5</v>
      </c>
      <c r="AM15">
        <v>3.9208485422053803E-2</v>
      </c>
      <c r="AN15">
        <v>5.7219740771994303E-3</v>
      </c>
      <c r="AO15">
        <v>-4.4289796701506602E-3</v>
      </c>
      <c r="AP15" s="56">
        <f t="shared" si="1"/>
        <v>-1.6501925193357393E-2</v>
      </c>
      <c r="AR15" t="s">
        <v>118</v>
      </c>
      <c r="AS15">
        <v>116</v>
      </c>
      <c r="AT15">
        <v>3.4589920337652701E-2</v>
      </c>
      <c r="AU15">
        <v>2.98188968428041E-4</v>
      </c>
      <c r="BC15">
        <v>-4.9106104596640603E-2</v>
      </c>
      <c r="BD15">
        <v>2.7990000567262901E-2</v>
      </c>
      <c r="BE15" s="56">
        <f t="shared" si="2"/>
        <v>4.7170949876623909E-2</v>
      </c>
      <c r="BG15" t="s">
        <v>118</v>
      </c>
      <c r="BH15">
        <v>117</v>
      </c>
      <c r="BI15">
        <v>0.25577167154788799</v>
      </c>
      <c r="BJ15">
        <v>2.1860826628024598E-3</v>
      </c>
      <c r="BR15">
        <v>-2.7719259341390402E-2</v>
      </c>
      <c r="BS15">
        <v>1.5049999769568599E-2</v>
      </c>
      <c r="BT15">
        <v>7.58999357697898E-3</v>
      </c>
      <c r="BU15">
        <v>-1.6418659500056401E-2</v>
      </c>
      <c r="BV15" s="56">
        <f t="shared" si="3"/>
        <v>-1.3493013508431937E-3</v>
      </c>
      <c r="BX15" t="s">
        <v>118</v>
      </c>
      <c r="BY15">
        <v>115</v>
      </c>
      <c r="BZ15">
        <v>8.5418382070305797E-3</v>
      </c>
      <c r="CA15">
        <v>7.4276853974179001E-5</v>
      </c>
      <c r="CI15">
        <v>1.37681534694119E-2</v>
      </c>
      <c r="CJ15">
        <v>7.4600061925895701E-3</v>
      </c>
      <c r="CK15">
        <v>1.50814357204208E-2</v>
      </c>
      <c r="CL15" s="56">
        <f t="shared" si="4"/>
        <v>-1.7779500879942615E-3</v>
      </c>
      <c r="CN15" t="s">
        <v>118</v>
      </c>
      <c r="CO15">
        <v>116</v>
      </c>
      <c r="CP15">
        <v>1.83058500657777E-3</v>
      </c>
      <c r="CQ15">
        <v>1.5780905229118699E-5</v>
      </c>
    </row>
    <row r="16" spans="1:97" ht="16" thickBot="1" x14ac:dyDescent="0.25">
      <c r="A16" s="1">
        <v>38383</v>
      </c>
      <c r="B16" s="38">
        <f>Data!B14</f>
        <v>5.3219840744269664E-3</v>
      </c>
      <c r="C16" s="38">
        <f>Data!C14</f>
        <v>-5.2410047522063796E-2</v>
      </c>
      <c r="D16" s="38">
        <f>Data!D14</f>
        <v>-2.6241659670363737E-2</v>
      </c>
      <c r="E16" s="38">
        <f>Data!E14</f>
        <v>-5.7600019640531297E-3</v>
      </c>
      <c r="F16" s="38">
        <f>Data!F14</f>
        <v>2.3324131618960298E-3</v>
      </c>
      <c r="G16" s="38">
        <f t="shared" si="5"/>
        <v>-1.5351462384031535E-2</v>
      </c>
      <c r="H16" s="38"/>
      <c r="I16" s="38"/>
      <c r="J16" s="38"/>
      <c r="K16" s="38"/>
      <c r="W16" s="60">
        <v>6.2794738148424E-3</v>
      </c>
      <c r="X16" s="60">
        <v>6.2656245055536797E-3</v>
      </c>
      <c r="Y16" s="60">
        <v>-7.2984348321349897E-3</v>
      </c>
      <c r="Z16" s="56">
        <f t="shared" si="0"/>
        <v>7.5039420576040756E-4</v>
      </c>
      <c r="AB16" s="4" t="s">
        <v>119</v>
      </c>
      <c r="AC16" s="4">
        <v>119</v>
      </c>
      <c r="AD16" s="4">
        <v>7.0152820000000003E-3</v>
      </c>
      <c r="AE16" s="4"/>
      <c r="AF16" s="4"/>
      <c r="AG16" s="4"/>
      <c r="AM16">
        <v>-3.3348502855081098E-2</v>
      </c>
      <c r="AN16">
        <v>-1.5597855042587899E-2</v>
      </c>
      <c r="AO16">
        <v>-1.73483823651784E-2</v>
      </c>
      <c r="AP16" s="56">
        <f t="shared" si="1"/>
        <v>-5.6146781058801568E-3</v>
      </c>
      <c r="AR16" s="4" t="s">
        <v>119</v>
      </c>
      <c r="AS16" s="4">
        <v>119</v>
      </c>
      <c r="AT16" s="4">
        <v>0.34615697999098699</v>
      </c>
      <c r="AU16" s="4"/>
      <c r="AV16" s="4"/>
      <c r="AW16" s="4"/>
      <c r="BC16">
        <v>1.0434130850706999E-2</v>
      </c>
      <c r="BD16">
        <v>-1.4799960669028599E-3</v>
      </c>
      <c r="BE16" s="56">
        <f t="shared" si="2"/>
        <v>-3.1431203802694263E-2</v>
      </c>
      <c r="BG16" s="4" t="s">
        <v>119</v>
      </c>
      <c r="BH16" s="4">
        <v>119</v>
      </c>
      <c r="BI16" s="4">
        <v>0.61504006545749201</v>
      </c>
      <c r="BJ16" s="4"/>
      <c r="BK16" s="4"/>
      <c r="BL16" s="4"/>
      <c r="BR16">
        <v>-3.6150074124757597E-2</v>
      </c>
      <c r="BS16">
        <v>1.70011860413766E-4</v>
      </c>
      <c r="BT16">
        <v>-2.8399794031672698E-3</v>
      </c>
      <c r="BU16">
        <v>1.85550084221352E-2</v>
      </c>
      <c r="BV16" s="56">
        <f t="shared" si="3"/>
        <v>-1.1586446001470678E-3</v>
      </c>
      <c r="BX16" s="4" t="s">
        <v>119</v>
      </c>
      <c r="BY16" s="4">
        <v>119</v>
      </c>
      <c r="BZ16" s="4">
        <v>2.2897074765568199E-2</v>
      </c>
      <c r="CA16" s="4"/>
      <c r="CB16" s="4"/>
      <c r="CC16" s="4"/>
      <c r="CI16">
        <v>5.4076539101497499E-3</v>
      </c>
      <c r="CJ16">
        <v>3.0099912635810399E-3</v>
      </c>
      <c r="CK16">
        <v>-1.0189610172925999E-3</v>
      </c>
      <c r="CL16" s="56">
        <f t="shared" si="4"/>
        <v>-2.0543976051709944E-3</v>
      </c>
      <c r="CN16" s="4" t="s">
        <v>119</v>
      </c>
      <c r="CO16" s="4">
        <v>119</v>
      </c>
      <c r="CP16" s="4">
        <v>5.07357317626441E-2</v>
      </c>
      <c r="CQ16" s="4"/>
      <c r="CR16" s="4"/>
      <c r="CS16" s="4"/>
    </row>
    <row r="17" spans="1:100" ht="16" thickBot="1" x14ac:dyDescent="0.25">
      <c r="A17" s="1">
        <v>38411</v>
      </c>
      <c r="B17" s="38">
        <f>Data!B15</f>
        <v>-4.6350965979836678E-3</v>
      </c>
      <c r="C17" s="38">
        <f>Data!C15</f>
        <v>4.298610116060253E-4</v>
      </c>
      <c r="D17" s="38">
        <f>Data!D15</f>
        <v>5.9643669489554574E-2</v>
      </c>
      <c r="E17" s="38">
        <f>Data!E15</f>
        <v>1.8060007063214423E-2</v>
      </c>
      <c r="F17" s="38">
        <f>Data!F15</f>
        <v>-5.8469196895389874E-3</v>
      </c>
      <c r="G17" s="38">
        <f t="shared" si="5"/>
        <v>1.3530304255370475E-2</v>
      </c>
      <c r="H17" s="38"/>
      <c r="I17" s="38"/>
      <c r="J17" s="38"/>
      <c r="K17" s="38"/>
      <c r="N17" s="13" t="s">
        <v>170</v>
      </c>
      <c r="W17" s="60">
        <v>-5.9031974282449697E-3</v>
      </c>
      <c r="X17" s="60">
        <v>6.6668763168653599E-3</v>
      </c>
      <c r="Y17" s="60">
        <v>2.01871790483555E-2</v>
      </c>
      <c r="Z17" s="56">
        <f t="shared" si="0"/>
        <v>-6.5535001734420145E-5</v>
      </c>
      <c r="AM17">
        <v>1.06425047805494E-2</v>
      </c>
      <c r="AN17">
        <v>-2.2499515418030299E-2</v>
      </c>
      <c r="AO17">
        <v>-4.1057787242657602E-3</v>
      </c>
      <c r="AP17" s="56">
        <f t="shared" si="1"/>
        <v>-4.0070415972064198E-4</v>
      </c>
      <c r="BC17">
        <v>7.0644959787616202E-2</v>
      </c>
      <c r="BD17">
        <v>1.38499941464674E-2</v>
      </c>
      <c r="BE17" s="56">
        <f t="shared" si="2"/>
        <v>-7.4762879373868746E-3</v>
      </c>
      <c r="BR17">
        <v>3.08802650260291E-2</v>
      </c>
      <c r="BS17">
        <v>1.41900086230009E-2</v>
      </c>
      <c r="BT17">
        <v>6.3600110545871703E-3</v>
      </c>
      <c r="BU17">
        <v>2.3578104194732499E-4</v>
      </c>
      <c r="BV17" s="56">
        <f t="shared" si="3"/>
        <v>6.0683448205841959E-3</v>
      </c>
      <c r="CI17">
        <v>-7.1714246310853299E-3</v>
      </c>
      <c r="CJ17">
        <v>7.8299975684137397E-3</v>
      </c>
      <c r="CK17">
        <v>1.4283981620110599E-2</v>
      </c>
      <c r="CL17" s="56">
        <f t="shared" si="4"/>
        <v>-6.2047062835183207E-4</v>
      </c>
    </row>
    <row r="18" spans="1:100" x14ac:dyDescent="0.2">
      <c r="A18" s="1">
        <v>38442</v>
      </c>
      <c r="B18" s="38">
        <f>Data!B16</f>
        <v>-1.8562159021209279E-3</v>
      </c>
      <c r="C18" s="38">
        <f>Data!C16</f>
        <v>-2.2916069894013069E-2</v>
      </c>
      <c r="D18" s="38">
        <f>Data!D16</f>
        <v>1.204954713829931E-2</v>
      </c>
      <c r="E18" s="38">
        <f>Data!E16</f>
        <v>-6.0100030506643476E-3</v>
      </c>
      <c r="F18" s="38">
        <f>Data!F16</f>
        <v>-2.8739889188467149E-3</v>
      </c>
      <c r="G18" s="38">
        <f t="shared" si="5"/>
        <v>-4.3213461254691492E-3</v>
      </c>
      <c r="H18" s="38"/>
      <c r="I18" s="38"/>
      <c r="J18" s="38"/>
      <c r="K18" s="38"/>
      <c r="N18" s="46"/>
      <c r="O18" s="45" t="s">
        <v>0</v>
      </c>
      <c r="P18" s="45" t="s">
        <v>1</v>
      </c>
      <c r="Q18" s="45" t="s">
        <v>158</v>
      </c>
      <c r="R18" s="45" t="s">
        <v>3</v>
      </c>
      <c r="S18" s="45" t="s">
        <v>4</v>
      </c>
      <c r="W18" s="60">
        <v>-5.1360091306828001E-3</v>
      </c>
      <c r="X18" s="60">
        <v>-2.5459998125644399E-2</v>
      </c>
      <c r="Y18" s="60">
        <v>-2.2176904370909901E-2</v>
      </c>
      <c r="Z18" s="56">
        <f t="shared" si="0"/>
        <v>9.8432798599216911E-4</v>
      </c>
      <c r="AB18" s="61"/>
      <c r="AC18" s="61" t="s">
        <v>120</v>
      </c>
      <c r="AD18" s="61" t="s">
        <v>109</v>
      </c>
      <c r="AE18" s="61" t="s">
        <v>121</v>
      </c>
      <c r="AF18" s="61" t="s">
        <v>122</v>
      </c>
      <c r="AG18" s="61" t="s">
        <v>123</v>
      </c>
      <c r="AH18" s="61" t="s">
        <v>124</v>
      </c>
      <c r="AI18" s="61" t="s">
        <v>125</v>
      </c>
      <c r="AJ18" s="61" t="s">
        <v>126</v>
      </c>
      <c r="AM18">
        <v>-1.8219344079550202E-2</v>
      </c>
      <c r="AN18">
        <v>-4.4976356246436699E-3</v>
      </c>
      <c r="AO18">
        <v>-1.0918705421757E-2</v>
      </c>
      <c r="AP18" s="56">
        <f t="shared" si="1"/>
        <v>1.0812291990465878E-3</v>
      </c>
      <c r="AR18" s="61"/>
      <c r="AS18" s="61" t="s">
        <v>120</v>
      </c>
      <c r="AT18" s="61" t="s">
        <v>109</v>
      </c>
      <c r="AU18" s="61" t="s">
        <v>121</v>
      </c>
      <c r="AV18" s="61" t="s">
        <v>122</v>
      </c>
      <c r="AW18" s="61" t="s">
        <v>123</v>
      </c>
      <c r="AX18" s="61" t="s">
        <v>124</v>
      </c>
      <c r="AY18" s="61" t="s">
        <v>125</v>
      </c>
      <c r="AZ18" s="61" t="s">
        <v>126</v>
      </c>
      <c r="BC18">
        <v>3.5651904388571701E-2</v>
      </c>
      <c r="BD18">
        <v>-1.9799979756719402E-3</v>
      </c>
      <c r="BE18" s="56">
        <f t="shared" si="2"/>
        <v>-9.8051329443729004E-3</v>
      </c>
      <c r="BG18" s="61"/>
      <c r="BH18" s="61" t="s">
        <v>120</v>
      </c>
      <c r="BI18" s="61" t="s">
        <v>109</v>
      </c>
      <c r="BJ18" s="61" t="s">
        <v>121</v>
      </c>
      <c r="BK18" s="61" t="s">
        <v>122</v>
      </c>
      <c r="BL18" s="61" t="s">
        <v>123</v>
      </c>
      <c r="BM18" s="61" t="s">
        <v>124</v>
      </c>
      <c r="BN18" s="61" t="s">
        <v>125</v>
      </c>
      <c r="BO18" s="61" t="s">
        <v>126</v>
      </c>
      <c r="BR18">
        <v>-1.675657064157E-2</v>
      </c>
      <c r="BS18">
        <v>-5.1600136702056902E-3</v>
      </c>
      <c r="BT18">
        <v>-1.66002098953921E-3</v>
      </c>
      <c r="BU18">
        <v>7.1780439117846697E-3</v>
      </c>
      <c r="BV18" s="56">
        <f t="shared" si="3"/>
        <v>-1.9176967011442459E-3</v>
      </c>
      <c r="BX18" s="61"/>
      <c r="BY18" s="61" t="s">
        <v>120</v>
      </c>
      <c r="BZ18" s="61" t="s">
        <v>109</v>
      </c>
      <c r="CA18" s="61" t="s">
        <v>121</v>
      </c>
      <c r="CB18" s="61" t="s">
        <v>122</v>
      </c>
      <c r="CC18" s="61" t="s">
        <v>123</v>
      </c>
      <c r="CD18" s="61" t="s">
        <v>124</v>
      </c>
      <c r="CE18" s="61" t="s">
        <v>125</v>
      </c>
      <c r="CF18" s="61" t="s">
        <v>126</v>
      </c>
      <c r="CI18">
        <v>-4.4377508572096599E-3</v>
      </c>
      <c r="CJ18">
        <v>-3.4999926806664802E-3</v>
      </c>
      <c r="CK18">
        <v>-2.7312913501592699E-2</v>
      </c>
      <c r="CL18" s="56">
        <f t="shared" si="4"/>
        <v>5.0455755227638219E-3</v>
      </c>
      <c r="CN18" s="61"/>
      <c r="CO18" s="61" t="s">
        <v>120</v>
      </c>
      <c r="CP18" s="61" t="s">
        <v>109</v>
      </c>
      <c r="CQ18" s="61" t="s">
        <v>121</v>
      </c>
      <c r="CR18" s="61" t="s">
        <v>122</v>
      </c>
      <c r="CS18" s="61" t="s">
        <v>123</v>
      </c>
      <c r="CT18" s="61" t="s">
        <v>124</v>
      </c>
      <c r="CU18" s="61" t="s">
        <v>125</v>
      </c>
      <c r="CV18" s="61" t="s">
        <v>126</v>
      </c>
    </row>
    <row r="19" spans="1:100" x14ac:dyDescent="0.2">
      <c r="A19" s="1">
        <v>38471</v>
      </c>
      <c r="B19" s="38">
        <f>Data!B17</f>
        <v>1.1069066446740772E-2</v>
      </c>
      <c r="C19" s="38">
        <f>Data!C17</f>
        <v>-3.9577836411609502E-2</v>
      </c>
      <c r="D19" s="38">
        <f>Data!D17</f>
        <v>-4.4170461697952579E-2</v>
      </c>
      <c r="E19" s="38">
        <f>Data!E17</f>
        <v>-1.0610002179281874E-2</v>
      </c>
      <c r="F19" s="38">
        <f>Data!F17</f>
        <v>2.1743329173352199E-2</v>
      </c>
      <c r="G19" s="38">
        <f t="shared" si="5"/>
        <v>-1.2309180933750196E-2</v>
      </c>
      <c r="H19" s="38"/>
      <c r="I19" s="38"/>
      <c r="J19" s="38"/>
      <c r="K19" s="38"/>
      <c r="N19" s="48" t="s">
        <v>171</v>
      </c>
      <c r="O19" s="49">
        <f>B2*M4*O4</f>
        <v>2.325339741341885E-6</v>
      </c>
      <c r="P19" s="49">
        <f>C2*M4*P4</f>
        <v>-2.3202633311578523E-6</v>
      </c>
      <c r="Q19" s="49">
        <f>D2*M4*Q4</f>
        <v>-1.5452832384345015E-6</v>
      </c>
      <c r="R19" s="49">
        <f>E2*M4*R4</f>
        <v>1.3977907965804687E-7</v>
      </c>
      <c r="S19" s="49">
        <f>F2*M4*S4</f>
        <v>4.2007869678718446E-6</v>
      </c>
      <c r="W19" s="60">
        <v>1.35339595976389E-2</v>
      </c>
      <c r="X19" s="60">
        <v>1.57712527247083E-2</v>
      </c>
      <c r="Y19" s="60">
        <v>-2.42616617774403E-2</v>
      </c>
      <c r="Z19" s="56">
        <f t="shared" si="0"/>
        <v>5.0177458480488504E-4</v>
      </c>
      <c r="AB19" t="s">
        <v>127</v>
      </c>
      <c r="AC19">
        <v>1.16593E-4</v>
      </c>
      <c r="AD19">
        <v>3.3168500000000002E-4</v>
      </c>
      <c r="AE19">
        <v>0.35151554299999999</v>
      </c>
      <c r="AF19">
        <v>0.72583930600000002</v>
      </c>
      <c r="AG19">
        <v>-5.4035200000000002E-4</v>
      </c>
      <c r="AH19">
        <v>7.7399999999999995E-4</v>
      </c>
      <c r="AI19">
        <v>-5.4000000000000001E-4</v>
      </c>
      <c r="AJ19">
        <v>7.7399999999999995E-4</v>
      </c>
      <c r="AM19">
        <v>-1.9043376817335599E-2</v>
      </c>
      <c r="AN19">
        <v>-1.1328093150875199E-3</v>
      </c>
      <c r="AO19">
        <v>-3.8302915145590498E-2</v>
      </c>
      <c r="AP19" s="56">
        <f t="shared" si="1"/>
        <v>-1.1424944005031919E-2</v>
      </c>
      <c r="AR19" t="s">
        <v>127</v>
      </c>
      <c r="AS19">
        <v>-2.7021658969361901E-3</v>
      </c>
      <c r="AT19">
        <v>1.59869911407063E-3</v>
      </c>
      <c r="AU19">
        <v>-1.6902279316687101</v>
      </c>
      <c r="AV19">
        <v>9.3669972176674998E-2</v>
      </c>
      <c r="AW19">
        <v>-5.86859093237279E-3</v>
      </c>
      <c r="AX19">
        <v>4.6425913850040203E-4</v>
      </c>
      <c r="AY19">
        <v>-5.86859093237279E-3</v>
      </c>
      <c r="AZ19">
        <v>4.6425913850040203E-4</v>
      </c>
      <c r="BC19">
        <v>-5.8346126220019001E-2</v>
      </c>
      <c r="BD19">
        <v>-1.7059994942389901E-2</v>
      </c>
      <c r="BE19" s="56">
        <f t="shared" si="2"/>
        <v>1.87961493425155E-2</v>
      </c>
      <c r="BG19" t="s">
        <v>127</v>
      </c>
      <c r="BH19">
        <v>-2.8003893071181E-3</v>
      </c>
      <c r="BI19">
        <v>4.52594925518204E-3</v>
      </c>
      <c r="BJ19">
        <v>-0.61874076557790902</v>
      </c>
      <c r="BK19">
        <v>0.53728994797496998</v>
      </c>
      <c r="BL19">
        <v>-1.1763794641306301E-2</v>
      </c>
      <c r="BM19">
        <v>6.1630160270701104E-3</v>
      </c>
      <c r="BN19">
        <v>-1.1763794641306301E-2</v>
      </c>
      <c r="BO19">
        <v>6.1630160270701104E-3</v>
      </c>
      <c r="BR19">
        <v>1.41006186529706E-2</v>
      </c>
      <c r="BS19">
        <v>-1.5129993096155901E-2</v>
      </c>
      <c r="BT19">
        <v>-6.6899932505322104E-3</v>
      </c>
      <c r="BU19">
        <v>-3.3539855990342201E-3</v>
      </c>
      <c r="BV19" s="56">
        <f t="shared" si="3"/>
        <v>-1.9311639436599536E-3</v>
      </c>
      <c r="BX19" t="s">
        <v>127</v>
      </c>
      <c r="BY19">
        <v>2.2418120502784599E-3</v>
      </c>
      <c r="BZ19">
        <v>8.7226811548798803E-4</v>
      </c>
      <c r="CA19">
        <v>2.5700951467477302</v>
      </c>
      <c r="CB19">
        <v>1.1444741811640499E-2</v>
      </c>
      <c r="CC19">
        <v>5.1401678925535905E-4</v>
      </c>
      <c r="CD19">
        <v>3.96960731130156E-3</v>
      </c>
      <c r="CE19">
        <v>5.1401678925535905E-4</v>
      </c>
      <c r="CF19">
        <v>3.96960731130156E-3</v>
      </c>
      <c r="CI19">
        <v>2.5283828043532401E-2</v>
      </c>
      <c r="CJ19">
        <v>-8.4399998456237101E-3</v>
      </c>
      <c r="CK19">
        <v>-1.07277021798014E-2</v>
      </c>
      <c r="CL19" s="56">
        <f t="shared" si="4"/>
        <v>-5.8978511188265831E-4</v>
      </c>
      <c r="CN19" t="s">
        <v>127</v>
      </c>
      <c r="CO19">
        <v>-1.37490228537868E-3</v>
      </c>
      <c r="CP19">
        <v>3.95474440244219E-4</v>
      </c>
      <c r="CQ19">
        <v>-3.4765894972368701</v>
      </c>
      <c r="CR19">
        <v>7.1550629534004797E-4</v>
      </c>
      <c r="CS19">
        <v>-2.1581892450343401E-3</v>
      </c>
      <c r="CT19">
        <v>-5.9161532572302698E-4</v>
      </c>
      <c r="CU19">
        <v>-2.1581892450343401E-3</v>
      </c>
      <c r="CV19">
        <v>-5.9161532572302698E-4</v>
      </c>
    </row>
    <row r="20" spans="1:100" x14ac:dyDescent="0.2">
      <c r="A20" s="1">
        <v>38503</v>
      </c>
      <c r="B20" s="38">
        <f>Data!B18</f>
        <v>7.8770382336241784E-3</v>
      </c>
      <c r="C20" s="38">
        <f>Data!C18</f>
        <v>7.7838827838828006E-2</v>
      </c>
      <c r="D20" s="38">
        <f>Data!D18</f>
        <v>-1.1698171676479574E-2</v>
      </c>
      <c r="E20" s="38">
        <f>Data!E18</f>
        <v>3.4500029695099244E-3</v>
      </c>
      <c r="F20" s="38">
        <f>Data!F18</f>
        <v>5.6782242644120018E-3</v>
      </c>
      <c r="G20" s="38">
        <f t="shared" si="5"/>
        <v>1.6629184325978909E-2</v>
      </c>
      <c r="H20" s="38"/>
      <c r="I20" s="38"/>
      <c r="J20" s="38"/>
      <c r="K20" s="38"/>
      <c r="N20" s="48" t="s">
        <v>172</v>
      </c>
      <c r="O20" s="49">
        <f>B2*M5*O5</f>
        <v>-2.3202633311578523E-6</v>
      </c>
      <c r="P20" s="49">
        <f>C2*M5*P5</f>
        <v>1.1468819749843538E-4</v>
      </c>
      <c r="Q20" s="49">
        <f>D2*M5*Q5</f>
        <v>7.5380334268834875E-5</v>
      </c>
      <c r="R20" s="49">
        <f>E2*M5*R5</f>
        <v>6.8181981746876516E-6</v>
      </c>
      <c r="S20" s="49">
        <f>F2*M5*S5</f>
        <v>5.5445495877762189E-6</v>
      </c>
      <c r="W20" s="60">
        <v>1.08187470266898E-2</v>
      </c>
      <c r="X20" s="60">
        <v>2.9916687705125102E-2</v>
      </c>
      <c r="Y20" s="60">
        <v>7.0841965285153297E-3</v>
      </c>
      <c r="Z20" s="56">
        <f t="shared" si="0"/>
        <v>3.7054657132951346E-4</v>
      </c>
      <c r="AB20" t="s">
        <v>7</v>
      </c>
      <c r="AC20">
        <v>0.59460301199999999</v>
      </c>
      <c r="AD20">
        <v>5.6770538000000002E-2</v>
      </c>
      <c r="AE20">
        <v>10.47379566</v>
      </c>
      <c r="AF20">
        <v>1.80018E-18</v>
      </c>
      <c r="AG20">
        <v>0.482161809</v>
      </c>
      <c r="AH20">
        <v>0.70704400000000001</v>
      </c>
      <c r="AI20">
        <v>0.48216199999999998</v>
      </c>
      <c r="AJ20">
        <v>0.70704400000000001</v>
      </c>
      <c r="AM20">
        <v>4.8382484297934999E-2</v>
      </c>
      <c r="AN20">
        <v>2.4309576317880902E-2</v>
      </c>
      <c r="AO20">
        <v>3.3632219756530399E-2</v>
      </c>
      <c r="AP20" s="56">
        <f t="shared" si="1"/>
        <v>7.7138067807940441E-3</v>
      </c>
      <c r="AR20" t="s">
        <v>25</v>
      </c>
      <c r="AS20">
        <v>1.1011339728542899</v>
      </c>
      <c r="AT20">
        <v>4.1448860673993101E-2</v>
      </c>
      <c r="AU20">
        <v>26.566085411008501</v>
      </c>
      <c r="AV20">
        <v>3.8429527616046201E-51</v>
      </c>
      <c r="AW20">
        <v>1.01903928163108</v>
      </c>
      <c r="AX20">
        <v>1.18322866407751</v>
      </c>
      <c r="AY20">
        <v>1.01903928163108</v>
      </c>
      <c r="AZ20">
        <v>1.18322866407751</v>
      </c>
      <c r="BC20">
        <v>-7.76245975747913E-3</v>
      </c>
      <c r="BD20">
        <v>1.2000003710082899E-2</v>
      </c>
      <c r="BE20" s="56">
        <f t="shared" si="2"/>
        <v>-2.2440871263605649E-2</v>
      </c>
      <c r="BG20" t="s">
        <v>151</v>
      </c>
      <c r="BH20">
        <v>0.68741538657185397</v>
      </c>
      <c r="BI20">
        <v>0.102037968739414</v>
      </c>
      <c r="BJ20">
        <v>6.7368587895686503</v>
      </c>
      <c r="BK20">
        <v>6.4073240789053197E-10</v>
      </c>
      <c r="BL20">
        <v>0.48533453640734903</v>
      </c>
      <c r="BM20">
        <v>0.88949623673635902</v>
      </c>
      <c r="BN20">
        <v>0.48533453640734903</v>
      </c>
      <c r="BO20">
        <v>0.88949623673635902</v>
      </c>
      <c r="BR20">
        <v>-3.9457630240106699E-2</v>
      </c>
      <c r="BS20">
        <v>2.1699911997266098E-3</v>
      </c>
      <c r="BT20">
        <v>3.20999521962151E-3</v>
      </c>
      <c r="BU20">
        <v>-1.6298994743119799E-2</v>
      </c>
      <c r="BV20" s="56">
        <f t="shared" si="3"/>
        <v>4.4257565187393105E-3</v>
      </c>
      <c r="BX20" t="s">
        <v>29</v>
      </c>
      <c r="BY20">
        <v>8.8277652570716306E-2</v>
      </c>
      <c r="BZ20">
        <v>1.4965432288189799E-2</v>
      </c>
      <c r="CA20">
        <v>5.8987706382783198</v>
      </c>
      <c r="CB20">
        <v>3.7589544983225298E-8</v>
      </c>
      <c r="CC20">
        <v>5.8634011438389998E-2</v>
      </c>
      <c r="CD20">
        <v>0.117921293703043</v>
      </c>
      <c r="CE20">
        <v>5.8634011438389998E-2</v>
      </c>
      <c r="CF20">
        <v>0.117921293703043</v>
      </c>
      <c r="CI20">
        <v>6.9189282107480201E-3</v>
      </c>
      <c r="CJ20">
        <v>-1.0400040198948999E-3</v>
      </c>
      <c r="CK20">
        <v>1.7902943555205199E-2</v>
      </c>
      <c r="CL20" s="56">
        <f t="shared" si="4"/>
        <v>-3.568704592880674E-3</v>
      </c>
      <c r="CN20" t="s">
        <v>16</v>
      </c>
      <c r="CO20">
        <v>0.90932564086687995</v>
      </c>
      <c r="CP20">
        <v>1.79456563381988E-2</v>
      </c>
      <c r="CQ20">
        <v>50.671071803114103</v>
      </c>
      <c r="CR20">
        <v>5.6433247448885004E-81</v>
      </c>
      <c r="CS20">
        <v>0.87378200729224897</v>
      </c>
      <c r="CT20">
        <v>0.94486927444151103</v>
      </c>
      <c r="CU20">
        <v>0.87378200729224897</v>
      </c>
      <c r="CV20">
        <v>0.94486927444151103</v>
      </c>
    </row>
    <row r="21" spans="1:100" ht="16" thickBot="1" x14ac:dyDescent="0.25">
      <c r="A21" s="1">
        <v>38533</v>
      </c>
      <c r="B21" s="38">
        <f>Data!B19</f>
        <v>3.6260632220390665E-3</v>
      </c>
      <c r="C21" s="38">
        <f>Data!C19</f>
        <v>-1.7417162276975429E-2</v>
      </c>
      <c r="D21" s="38">
        <f>Data!D19</f>
        <v>-4.1377842976965118E-3</v>
      </c>
      <c r="E21" s="38">
        <f>Data!E19</f>
        <v>1.0550001702261502E-2</v>
      </c>
      <c r="F21" s="38">
        <f>Data!F19</f>
        <v>3.1158728781699452E-3</v>
      </c>
      <c r="G21" s="38">
        <f t="shared" si="5"/>
        <v>-8.5260175444028556E-4</v>
      </c>
      <c r="H21" s="38"/>
      <c r="I21" s="38"/>
      <c r="J21" s="38"/>
      <c r="K21" s="38"/>
      <c r="N21" s="48" t="s">
        <v>172</v>
      </c>
      <c r="O21" s="49">
        <f>B2*M6*O6</f>
        <v>-1.5452832384345015E-6</v>
      </c>
      <c r="P21" s="49">
        <f>C2*M6*P6</f>
        <v>7.5380334268834875E-5</v>
      </c>
      <c r="Q21" s="49">
        <f>D2*M6*Q6</f>
        <v>2.0595258572889477E-4</v>
      </c>
      <c r="R21" s="49">
        <f>E2*M6*R6</f>
        <v>1.5435522023962486E-5</v>
      </c>
      <c r="S21" s="49">
        <f>F2*M6*S6</f>
        <v>1.3334525913523991E-5</v>
      </c>
      <c r="W21" s="60">
        <v>5.4529078117773197E-3</v>
      </c>
      <c r="X21" s="60">
        <v>1.77717857580586E-2</v>
      </c>
      <c r="Y21" s="60">
        <v>1.3578147492161199E-2</v>
      </c>
      <c r="Z21" s="56">
        <f t="shared" si="0"/>
        <v>3.9992242203382503E-4</v>
      </c>
      <c r="AB21" t="s">
        <v>15</v>
      </c>
      <c r="AC21">
        <v>5.2414433000000003E-2</v>
      </c>
      <c r="AD21">
        <v>2.5722588000000001E-2</v>
      </c>
      <c r="AE21">
        <v>2.0376811639999999</v>
      </c>
      <c r="AF21">
        <v>4.3856832999999998E-2</v>
      </c>
      <c r="AG21">
        <v>1.467606E-3</v>
      </c>
      <c r="AH21">
        <v>0.10336099999999999</v>
      </c>
      <c r="AI21">
        <v>1.4679999999999999E-3</v>
      </c>
      <c r="AJ21">
        <v>0.10336099999999999</v>
      </c>
      <c r="AM21">
        <v>-3.6864905444146099E-3</v>
      </c>
      <c r="AN21">
        <v>-1.46348315915533E-2</v>
      </c>
      <c r="AO21">
        <v>3.7151268662191997E-2</v>
      </c>
      <c r="AP21" s="56">
        <f t="shared" si="1"/>
        <v>-1.3211512580478656E-2</v>
      </c>
      <c r="AR21" t="s">
        <v>145</v>
      </c>
      <c r="AS21">
        <v>0.45214916703304903</v>
      </c>
      <c r="AT21">
        <v>9.1052421465137395E-2</v>
      </c>
      <c r="AU21">
        <v>4.9658115595110299</v>
      </c>
      <c r="AV21">
        <v>2.3756776891114101E-6</v>
      </c>
      <c r="AW21">
        <v>0.271808373492334</v>
      </c>
      <c r="AX21">
        <v>0.63248996057376405</v>
      </c>
      <c r="AY21">
        <v>0.271808373492334</v>
      </c>
      <c r="AZ21">
        <v>0.63248996057376405</v>
      </c>
      <c r="BC21">
        <v>1.6833418122208999E-2</v>
      </c>
      <c r="BD21">
        <v>1.32499943114504E-2</v>
      </c>
      <c r="BE21" s="56">
        <f t="shared" si="2"/>
        <v>-3.3462923785197184E-2</v>
      </c>
      <c r="BG21" s="4" t="s">
        <v>12</v>
      </c>
      <c r="BH21" s="4">
        <v>1.33989407424533</v>
      </c>
      <c r="BI21" s="4">
        <v>0.278306544559558</v>
      </c>
      <c r="BJ21" s="4">
        <v>4.8144540631116604</v>
      </c>
      <c r="BK21" s="4">
        <v>4.4548038594861002E-6</v>
      </c>
      <c r="BL21" s="4">
        <v>0.78872254637448003</v>
      </c>
      <c r="BM21" s="4">
        <v>1.89106560211619</v>
      </c>
      <c r="BN21" s="4">
        <v>0.78872254637448003</v>
      </c>
      <c r="BO21" s="4">
        <v>1.89106560211619</v>
      </c>
      <c r="BR21">
        <v>4.3738765727980897E-2</v>
      </c>
      <c r="BS21">
        <v>1.30400010497622E-2</v>
      </c>
      <c r="BT21">
        <v>3.4499910457253002E-3</v>
      </c>
      <c r="BU21">
        <v>1.8180603069193099E-2</v>
      </c>
      <c r="BV21" s="56">
        <f t="shared" si="3"/>
        <v>-6.7623672884998577E-4</v>
      </c>
      <c r="BX21" t="s">
        <v>13</v>
      </c>
      <c r="BY21">
        <v>0.31472457422392902</v>
      </c>
      <c r="BZ21">
        <v>6.0837686281572899E-2</v>
      </c>
      <c r="CA21">
        <v>5.1731844759397996</v>
      </c>
      <c r="CB21">
        <v>9.8495087261299497E-7</v>
      </c>
      <c r="CC21">
        <v>0.19421682645407501</v>
      </c>
      <c r="CD21">
        <v>0.43523232199378198</v>
      </c>
      <c r="CE21">
        <v>0.19421682645407501</v>
      </c>
      <c r="CF21">
        <v>0.43523232199378198</v>
      </c>
      <c r="CI21">
        <v>3.6562030971028E-3</v>
      </c>
      <c r="CJ21">
        <v>9.5900100040369196E-3</v>
      </c>
      <c r="CK21">
        <v>1.9031055303938602E-2</v>
      </c>
      <c r="CL21" s="56">
        <f t="shared" si="4"/>
        <v>-2.0371984400821778E-3</v>
      </c>
      <c r="CN21" t="s">
        <v>14</v>
      </c>
      <c r="CO21">
        <v>-0.122780401193907</v>
      </c>
      <c r="CP21">
        <v>4.8781905292294002E-2</v>
      </c>
      <c r="CQ21">
        <v>-2.5169250864275399</v>
      </c>
      <c r="CR21">
        <v>1.3203982314726701E-2</v>
      </c>
      <c r="CS21">
        <v>-0.21939911126532199</v>
      </c>
      <c r="CT21">
        <v>-2.6161691122492899E-2</v>
      </c>
      <c r="CU21">
        <v>-0.21939911126532199</v>
      </c>
      <c r="CV21">
        <v>-2.6161691122492899E-2</v>
      </c>
    </row>
    <row r="22" spans="1:100" ht="16" thickBot="1" x14ac:dyDescent="0.25">
      <c r="A22" s="1">
        <v>38562</v>
      </c>
      <c r="B22" s="38">
        <f>Data!B20</f>
        <v>-5.0122935591238038E-3</v>
      </c>
      <c r="C22" s="38">
        <f>Data!C20</f>
        <v>5.8509871739443664E-2</v>
      </c>
      <c r="D22" s="38">
        <f>Data!D20</f>
        <v>6.2487700931636914E-2</v>
      </c>
      <c r="E22" s="38">
        <f>Data!E20</f>
        <v>7.4099945559380487E-3</v>
      </c>
      <c r="F22" s="38">
        <f>Data!F20</f>
        <v>-1.6957947461352818E-2</v>
      </c>
      <c r="G22" s="38">
        <f t="shared" si="5"/>
        <v>2.1287465241308402E-2</v>
      </c>
      <c r="H22" s="38"/>
      <c r="I22" s="38"/>
      <c r="J22" s="38"/>
      <c r="K22" s="38"/>
      <c r="N22" s="48" t="s">
        <v>172</v>
      </c>
      <c r="O22" s="49">
        <f>B2*M7*O7</f>
        <v>1.3977907965804687E-7</v>
      </c>
      <c r="P22" s="49">
        <f>C2*M7*P7</f>
        <v>6.8181981746876516E-6</v>
      </c>
      <c r="Q22" s="49">
        <f>D2*M7*Q7</f>
        <v>1.5435522023962486E-5</v>
      </c>
      <c r="R22" s="49">
        <f>E2*M7*R7</f>
        <v>7.7982511409693036E-6</v>
      </c>
      <c r="S22" s="49">
        <f>F2*M7*S7</f>
        <v>1.7549258364773029E-6</v>
      </c>
      <c r="W22" s="60">
        <v>-9.0953845160560692E-3</v>
      </c>
      <c r="X22" s="60">
        <v>-2.4686897880541502E-3</v>
      </c>
      <c r="Y22" s="60">
        <v>2.4795568738883101E-2</v>
      </c>
      <c r="Z22" s="56">
        <f t="shared" si="0"/>
        <v>2.2558253776539042E-3</v>
      </c>
      <c r="AB22" s="4" t="s">
        <v>128</v>
      </c>
      <c r="AC22" s="4">
        <v>-6.9793960000000002E-2</v>
      </c>
      <c r="AD22" s="4">
        <v>1.7599310999999999E-2</v>
      </c>
      <c r="AE22" s="4">
        <v>-3.965720991</v>
      </c>
      <c r="AF22" s="4">
        <v>1.2701300000000001E-4</v>
      </c>
      <c r="AG22" s="4">
        <v>-0.10465161100000001</v>
      </c>
      <c r="AH22" s="4">
        <v>-3.4939999999999999E-2</v>
      </c>
      <c r="AI22" s="4">
        <v>-0.10465000000000001</v>
      </c>
      <c r="AJ22" s="4">
        <v>-3.4939999999999999E-2</v>
      </c>
      <c r="AM22">
        <v>4.8875218404193399E-2</v>
      </c>
      <c r="AN22">
        <v>1.9943220107235999E-2</v>
      </c>
      <c r="AO22">
        <v>2.6166996830751601E-2</v>
      </c>
      <c r="AP22" s="56">
        <f t="shared" si="1"/>
        <v>-8.8832210839950437E-3</v>
      </c>
      <c r="AR22" s="4" t="s">
        <v>146</v>
      </c>
      <c r="AS22" s="4">
        <v>0.17417432645952199</v>
      </c>
      <c r="AT22" s="4">
        <v>7.4656959588164595E-2</v>
      </c>
      <c r="AU22" s="4">
        <v>2.3329951744664101</v>
      </c>
      <c r="AV22" s="4">
        <v>2.1371477772040001E-2</v>
      </c>
      <c r="AW22" s="4">
        <v>2.6306811034665499E-2</v>
      </c>
      <c r="AX22" s="4">
        <v>0.32204184188437801</v>
      </c>
      <c r="AY22" s="4">
        <v>2.6306811034665499E-2</v>
      </c>
      <c r="AZ22" s="4">
        <v>0.32204184188437801</v>
      </c>
      <c r="BC22">
        <v>4.4831598920809901E-2</v>
      </c>
      <c r="BD22">
        <v>2.35099993288332E-2</v>
      </c>
      <c r="BE22" s="56">
        <f t="shared" si="2"/>
        <v>1.6886124263877644E-4</v>
      </c>
      <c r="BR22">
        <v>-1.3088404133180199E-2</v>
      </c>
      <c r="BS22">
        <v>1.8030012270868499E-2</v>
      </c>
      <c r="BT22">
        <v>4.6300243355219496E-3</v>
      </c>
      <c r="BU22">
        <v>-7.6985043331008196E-3</v>
      </c>
      <c r="BV22" s="56">
        <f t="shared" si="3"/>
        <v>-3.1656578058473876E-4</v>
      </c>
      <c r="BX22" t="s">
        <v>153</v>
      </c>
      <c r="BY22">
        <v>0.75331524631995705</v>
      </c>
      <c r="BZ22">
        <v>0.115220918484844</v>
      </c>
      <c r="CA22">
        <v>6.5380076484900203</v>
      </c>
      <c r="CB22">
        <v>1.7877033843850601E-9</v>
      </c>
      <c r="CC22">
        <v>0.52508478209225795</v>
      </c>
      <c r="CD22">
        <v>0.98154571054765505</v>
      </c>
      <c r="CE22">
        <v>0.52508478209225795</v>
      </c>
      <c r="CF22">
        <v>0.98154571054765505</v>
      </c>
      <c r="CI22">
        <v>-1.8193157898467101E-2</v>
      </c>
      <c r="CJ22">
        <v>1.3399987935346599E-2</v>
      </c>
      <c r="CK22">
        <v>1.5700184222826999E-2</v>
      </c>
      <c r="CL22" s="56">
        <f t="shared" si="4"/>
        <v>-1.2489500035537775E-3</v>
      </c>
      <c r="CN22" s="4" t="s">
        <v>17</v>
      </c>
      <c r="CO22" s="4">
        <v>0.15794486020787299</v>
      </c>
      <c r="CP22" s="4">
        <v>2.3757199100005299E-2</v>
      </c>
      <c r="CQ22" s="4">
        <v>6.6482946724067897</v>
      </c>
      <c r="CR22" s="4">
        <v>1.0171385517805601E-9</v>
      </c>
      <c r="CS22" s="4">
        <v>0.110890733924804</v>
      </c>
      <c r="CT22" s="4">
        <v>0.204998986490941</v>
      </c>
      <c r="CU22" s="4">
        <v>0.110890733924804</v>
      </c>
      <c r="CV22" s="4">
        <v>0.204998986490941</v>
      </c>
    </row>
    <row r="23" spans="1:100" ht="16" thickBot="1" x14ac:dyDescent="0.25">
      <c r="A23" s="1">
        <v>38595</v>
      </c>
      <c r="B23" s="38">
        <f>Data!B21</f>
        <v>8.8594016924239405E-3</v>
      </c>
      <c r="C23" s="38">
        <f>Data!C21</f>
        <v>-2.3144996596323741E-3</v>
      </c>
      <c r="D23" s="38">
        <f>Data!D21</f>
        <v>2.1669762347001909E-2</v>
      </c>
      <c r="E23" s="38">
        <f>Data!E21</f>
        <v>7.2499982455480616E-3</v>
      </c>
      <c r="F23" s="38">
        <f>Data!F21</f>
        <v>2.2609639154851147E-2</v>
      </c>
      <c r="G23" s="38">
        <f t="shared" si="5"/>
        <v>1.1614860356038537E-2</v>
      </c>
      <c r="H23" s="38"/>
      <c r="I23" s="38"/>
      <c r="J23" s="38"/>
      <c r="K23" s="38"/>
      <c r="N23" s="48" t="s">
        <v>172</v>
      </c>
      <c r="O23" s="49">
        <f>B2*M8*O8</f>
        <v>4.2007869678718446E-6</v>
      </c>
      <c r="P23" s="49">
        <f>C2*M8*P8</f>
        <v>5.5445495877762189E-6</v>
      </c>
      <c r="Q23" s="49">
        <f>D2*M8*Q8</f>
        <v>1.3334525913523991E-5</v>
      </c>
      <c r="R23" s="49">
        <f>E2*M8*R8</f>
        <v>1.7549258364773029E-6</v>
      </c>
      <c r="S23" s="49">
        <f>F2*M8*S8</f>
        <v>1.6820036349895026E-5</v>
      </c>
      <c r="T23" s="54">
        <f>SUM(O19:S23)</f>
        <v>5.8507056102593657E-4</v>
      </c>
      <c r="U23" s="54"/>
      <c r="V23" s="54"/>
      <c r="W23" s="60">
        <v>1.28113241354597E-2</v>
      </c>
      <c r="X23" s="60">
        <v>1.94060481680449E-2</v>
      </c>
      <c r="Y23" s="60">
        <v>-9.1915546250565007E-3</v>
      </c>
      <c r="Z23" s="56">
        <f t="shared" si="0"/>
        <v>-4.1692223356646317E-4</v>
      </c>
      <c r="AM23">
        <v>-1.2878843090505901E-2</v>
      </c>
      <c r="AN23">
        <v>-8.5300653654503105E-3</v>
      </c>
      <c r="AO23">
        <v>-9.4164056039929295E-3</v>
      </c>
      <c r="AP23" s="56">
        <f t="shared" si="1"/>
        <v>1.7363790051854368E-2</v>
      </c>
      <c r="BC23">
        <v>7.5479996736767196E-2</v>
      </c>
      <c r="BD23">
        <v>8.8700061158561994E-3</v>
      </c>
      <c r="BE23" s="56">
        <f t="shared" si="2"/>
        <v>-4.2101217421400744E-2</v>
      </c>
      <c r="BR23">
        <v>1.2563983248022201E-2</v>
      </c>
      <c r="BS23">
        <v>8.4599893882217891E-3</v>
      </c>
      <c r="BT23">
        <v>1.54999077652418E-3</v>
      </c>
      <c r="BU23">
        <v>1.65340635397969E-2</v>
      </c>
      <c r="BV23" s="56">
        <f t="shared" si="3"/>
        <v>1.7085053052445726E-3</v>
      </c>
      <c r="BX23" s="4" t="s">
        <v>154</v>
      </c>
      <c r="BY23" s="4">
        <v>3.6420311862406698E-2</v>
      </c>
      <c r="BZ23" s="4">
        <v>3.4908986180566003E-2</v>
      </c>
      <c r="CA23" s="4">
        <v>1.0432933134758899</v>
      </c>
      <c r="CB23" s="4">
        <v>0.29900066712902301</v>
      </c>
      <c r="CC23" s="4">
        <v>-3.2727671216350701E-2</v>
      </c>
      <c r="CD23" s="4">
        <v>0.105568294941164</v>
      </c>
      <c r="CE23" s="4">
        <v>-3.2727671216350701E-2</v>
      </c>
      <c r="CF23" s="4">
        <v>0.105568294941164</v>
      </c>
      <c r="CI23">
        <v>2.4976539377752099E-2</v>
      </c>
      <c r="CJ23">
        <v>6.9099986116976098E-3</v>
      </c>
      <c r="CK23">
        <v>3.6197695104032198E-3</v>
      </c>
      <c r="CL23" s="56">
        <f t="shared" si="4"/>
        <v>1.7451989102807222E-4</v>
      </c>
    </row>
    <row r="24" spans="1:100" x14ac:dyDescent="0.2">
      <c r="A24" s="1">
        <v>38625</v>
      </c>
      <c r="B24" s="38">
        <f>Data!B22</f>
        <v>-5.2610852957392096E-3</v>
      </c>
      <c r="C24" s="38">
        <f>Data!C22</f>
        <v>2.8657205240174566E-3</v>
      </c>
      <c r="D24" s="38">
        <f>Data!D22</f>
        <v>1.8200841154411895E-2</v>
      </c>
      <c r="E24" s="38">
        <f>Data!E22</f>
        <v>2.1080005550678793E-2</v>
      </c>
      <c r="F24" s="38">
        <f>Data!F22</f>
        <v>-3.3695137863297697E-3</v>
      </c>
      <c r="G24" s="38">
        <f t="shared" si="5"/>
        <v>6.7031936294078328E-3</v>
      </c>
      <c r="H24" s="38"/>
      <c r="I24" s="38"/>
      <c r="J24" s="38"/>
      <c r="K24" s="38"/>
      <c r="W24" s="60">
        <v>-1.03011539544047E-2</v>
      </c>
      <c r="X24" s="60">
        <v>1.6904994522900299E-2</v>
      </c>
      <c r="Y24" s="60">
        <v>2.8635717886849E-4</v>
      </c>
      <c r="Z24" s="56">
        <f t="shared" si="0"/>
        <v>-2.0678286727290884E-6</v>
      </c>
      <c r="AM24">
        <v>4.6048521083328397E-3</v>
      </c>
      <c r="AN24">
        <v>-9.4355618191159802E-3</v>
      </c>
      <c r="AO24">
        <v>-4.9627077149831901E-3</v>
      </c>
      <c r="AP24" s="56">
        <f t="shared" si="1"/>
        <v>2.9258191182372651E-3</v>
      </c>
      <c r="BC24">
        <v>4.6525663816047599E-2</v>
      </c>
      <c r="BD24">
        <v>9.9799919184655507E-3</v>
      </c>
      <c r="BE24" s="56">
        <f t="shared" si="2"/>
        <v>-2.7153748055776861E-2</v>
      </c>
      <c r="BH24" t="s">
        <v>151</v>
      </c>
      <c r="BI24" t="s">
        <v>12</v>
      </c>
      <c r="BJ24" t="s">
        <v>175</v>
      </c>
      <c r="BR24">
        <v>7.8354779411764705E-2</v>
      </c>
      <c r="BS24">
        <v>1.52599973717178E-2</v>
      </c>
      <c r="BT24">
        <v>3.50998328242036E-3</v>
      </c>
      <c r="BU24">
        <v>1.44306862444805E-2</v>
      </c>
      <c r="BV24" s="56">
        <f t="shared" si="3"/>
        <v>6.1906393666518074E-3</v>
      </c>
      <c r="CI24">
        <v>-5.2538911190929101E-3</v>
      </c>
      <c r="CJ24">
        <v>1.1750014089297401E-2</v>
      </c>
      <c r="CK24">
        <v>-1.0014796775536201E-2</v>
      </c>
      <c r="CL24" s="56">
        <f t="shared" si="4"/>
        <v>4.4324412432245174E-3</v>
      </c>
    </row>
    <row r="25" spans="1:100" x14ac:dyDescent="0.2">
      <c r="A25" s="1">
        <v>38656</v>
      </c>
      <c r="B25" s="38">
        <f>Data!B23</f>
        <v>-6.967427277477789E-3</v>
      </c>
      <c r="C25" s="38">
        <f>Data!C23</f>
        <v>-2.1907742550006826E-2</v>
      </c>
      <c r="D25" s="38">
        <f>Data!D23</f>
        <v>4.7735804905840951E-2</v>
      </c>
      <c r="E25" s="38">
        <f>Data!E23</f>
        <v>-6.3400048991615332E-3</v>
      </c>
      <c r="F25" s="38">
        <f>Data!F23</f>
        <v>-1.2013005697185886E-2</v>
      </c>
      <c r="G25" s="38">
        <f t="shared" si="5"/>
        <v>1.015248964017835E-4</v>
      </c>
      <c r="H25" s="38"/>
      <c r="I25" s="38"/>
      <c r="J25" s="38"/>
      <c r="K25" s="38"/>
      <c r="N25" s="15" t="s">
        <v>173</v>
      </c>
      <c r="O25" s="47">
        <f>SUM(O19:O23)</f>
        <v>2.8003592192794225E-6</v>
      </c>
      <c r="P25" s="47">
        <f>SUM(P19:P23)</f>
        <v>2.0011101619857625E-4</v>
      </c>
      <c r="Q25" s="47">
        <f>SUM(Q19:Q23)</f>
        <v>3.0855768469678158E-4</v>
      </c>
      <c r="R25" s="47">
        <f>SUM(R19:R23)</f>
        <v>3.1946676255754793E-5</v>
      </c>
      <c r="S25" s="47">
        <f>SUM(S19:S23)</f>
        <v>4.1654824655544384E-5</v>
      </c>
      <c r="W25" s="60">
        <v>-7.9139379560264605E-3</v>
      </c>
      <c r="X25" s="60">
        <v>-1.47897985326658E-2</v>
      </c>
      <c r="Y25" s="60">
        <v>6.1975345286024996E-4</v>
      </c>
      <c r="Z25" s="56">
        <f t="shared" si="0"/>
        <v>-1.4433219800706323E-3</v>
      </c>
      <c r="AC25" t="s">
        <v>7</v>
      </c>
      <c r="AD25" t="s">
        <v>15</v>
      </c>
      <c r="AE25" t="s">
        <v>128</v>
      </c>
      <c r="AF25" t="s">
        <v>175</v>
      </c>
      <c r="AM25">
        <v>-9.7199283778962604E-3</v>
      </c>
      <c r="AN25">
        <v>1.56776103553284E-2</v>
      </c>
      <c r="AO25">
        <v>-1.43784942743904E-2</v>
      </c>
      <c r="AP25" s="56">
        <f t="shared" si="1"/>
        <v>-1.5789053106881161E-2</v>
      </c>
      <c r="AS25" t="s">
        <v>25</v>
      </c>
      <c r="AT25" t="s">
        <v>145</v>
      </c>
      <c r="AU25" t="s">
        <v>146</v>
      </c>
      <c r="AV25" t="s">
        <v>175</v>
      </c>
      <c r="BC25">
        <v>-6.2839566867097796E-2</v>
      </c>
      <c r="BD25">
        <v>-1.7979998465396801E-2</v>
      </c>
      <c r="BE25" s="56">
        <f t="shared" si="2"/>
        <v>0.11502398345452015</v>
      </c>
      <c r="BF25">
        <f>BC2</f>
        <v>0.68741538657185397</v>
      </c>
      <c r="BG25" t="s">
        <v>151</v>
      </c>
      <c r="BH25">
        <f>_xlfn.VAR.S(BC4:BC123)</f>
        <v>2.7122132413887621E-3</v>
      </c>
      <c r="BI25">
        <f>_xlfn.COVARIANCE.S(BC4:BC123,BD4:BD123)</f>
        <v>5.8784476483935116E-4</v>
      </c>
      <c r="BJ25">
        <f>_xlfn.COVARIANCE.S(BC4:BC123,BE4:BE123)</f>
        <v>3.4841828037972609E-6</v>
      </c>
      <c r="BR25">
        <v>-8.7577242701897297E-3</v>
      </c>
      <c r="BS25">
        <v>-1.51000034412222E-2</v>
      </c>
      <c r="BT25">
        <v>-1.15500014348816E-2</v>
      </c>
      <c r="BU25">
        <v>-2.0591313627064101E-3</v>
      </c>
      <c r="BV25" s="56">
        <f t="shared" si="3"/>
        <v>7.9612349774000474E-3</v>
      </c>
      <c r="CI25">
        <v>-1.2573985443629501E-2</v>
      </c>
      <c r="CJ25">
        <v>-3.55000200634059E-3</v>
      </c>
      <c r="CK25">
        <v>-7.2941845031662097E-3</v>
      </c>
      <c r="CL25" s="56">
        <f t="shared" si="4"/>
        <v>1.3704995569867665E-4</v>
      </c>
      <c r="CO25" t="s">
        <v>16</v>
      </c>
      <c r="CP25" t="s">
        <v>14</v>
      </c>
      <c r="CQ25" t="s">
        <v>17</v>
      </c>
      <c r="CR25" t="s">
        <v>175</v>
      </c>
    </row>
    <row r="26" spans="1:100" x14ac:dyDescent="0.2">
      <c r="A26" s="1">
        <v>38686</v>
      </c>
      <c r="B26" s="38">
        <f>Data!B24</f>
        <v>3.2530178118670428E-3</v>
      </c>
      <c r="C26" s="38">
        <f>Data!C24</f>
        <v>6.3995548135781899E-2</v>
      </c>
      <c r="D26" s="38">
        <f>Data!D24</f>
        <v>9.2947379664604757E-2</v>
      </c>
      <c r="E26" s="38">
        <f>Data!E24</f>
        <v>1.4620007114644507E-2</v>
      </c>
      <c r="F26" s="38">
        <f>Data!F24</f>
        <v>1.4634572539424795E-3</v>
      </c>
      <c r="G26" s="38">
        <f t="shared" si="5"/>
        <v>3.5255881996168137E-2</v>
      </c>
      <c r="H26" s="38"/>
      <c r="I26" s="38"/>
      <c r="J26" s="38"/>
      <c r="K26" s="38"/>
      <c r="N26" s="15" t="s">
        <v>174</v>
      </c>
      <c r="O26" s="44">
        <f>O25/$T$23</f>
        <v>4.7863615191455185E-3</v>
      </c>
      <c r="P26" s="44">
        <f>P25/$T$23</f>
        <v>0.34202885861779875</v>
      </c>
      <c r="Q26" s="44">
        <f>Q25/$T$23</f>
        <v>0.52738542194930738</v>
      </c>
      <c r="R26" s="44">
        <f>R25/$T$23</f>
        <v>5.4603116929581037E-2</v>
      </c>
      <c r="S26" s="44">
        <f>S25/$T$23</f>
        <v>7.1196240984167034E-2</v>
      </c>
      <c r="T26" s="55">
        <f>SUM(O26:S26)</f>
        <v>0.99999999999999967</v>
      </c>
      <c r="U26" s="55"/>
      <c r="V26" s="55"/>
      <c r="W26" s="60">
        <v>4.42260442260456E-3</v>
      </c>
      <c r="X26" s="60">
        <v>1.5277777777777699E-2</v>
      </c>
      <c r="Y26" s="60">
        <v>4.02072200553105E-4</v>
      </c>
      <c r="Z26" s="56">
        <f t="shared" si="0"/>
        <v>-1.4938994733785203E-4</v>
      </c>
      <c r="AA26">
        <f>AC20</f>
        <v>0.59460301199999999</v>
      </c>
      <c r="AB26" t="s">
        <v>7</v>
      </c>
      <c r="AC26">
        <f>_xlfn.VAR.S(W4:W123)</f>
        <v>9.4790591143548654E-5</v>
      </c>
      <c r="AD26">
        <f>_xlfn.COVARIANCE.S(W4:W123,X4:X123)</f>
        <v>1.6350774550107804E-4</v>
      </c>
      <c r="AE26">
        <f>_xlfn.COVARIANCE.S(W4:W123,Y4:Y123)</f>
        <v>-1.9878478924989346E-5</v>
      </c>
      <c r="AF26">
        <f>_xlfn.COVARIANCE.S(Z4:Z123,W4:W123)</f>
        <v>2.059980179790718E-7</v>
      </c>
      <c r="AM26">
        <v>4.3145157320720003E-2</v>
      </c>
      <c r="AN26">
        <v>1.04450967590386E-2</v>
      </c>
      <c r="AO26">
        <v>1.07236794810146E-2</v>
      </c>
      <c r="AP26" s="56">
        <f t="shared" si="1"/>
        <v>9.8964181958417149E-3</v>
      </c>
      <c r="AQ26">
        <f>AM2</f>
        <v>1.1011339728542899</v>
      </c>
      <c r="AR26" t="s">
        <v>25</v>
      </c>
      <c r="AS26">
        <f>_xlfn.VAR.S(AM4:AM123)</f>
        <v>1.8729898162653984E-3</v>
      </c>
      <c r="AT26">
        <f>_xlfn.COVARIANCE.S(AM4:AM123,AN4:AN123)</f>
        <v>9.0952622032217895E-5</v>
      </c>
      <c r="AU26">
        <f>_xlfn.COVARIANCE.S(AM4:AM123,AO4:AO123)</f>
        <v>4.6522194306655934E-4</v>
      </c>
      <c r="AV26">
        <f>_xlfn.COVARIANCE.S(AM4:AM123,AP4:AP123)</f>
        <v>-6.7123315220213129E-6</v>
      </c>
      <c r="BC26">
        <v>2.58258904551822E-3</v>
      </c>
      <c r="BD26">
        <v>1.29000046763252E-2</v>
      </c>
      <c r="BE26" s="56">
        <f t="shared" si="2"/>
        <v>7.3887428393978438E-2</v>
      </c>
      <c r="BF26">
        <f>BD2</f>
        <v>1.33989407424533</v>
      </c>
      <c r="BG26" t="s">
        <v>12</v>
      </c>
      <c r="BH26">
        <f>_xlfn.COVARIANCE.S(BC4:BC123,BD4:BD123)</f>
        <v>5.8784476483935116E-4</v>
      </c>
      <c r="BI26">
        <f>_xlfn.VAR.S(BD4:BD123)</f>
        <v>3.6458651616064956E-4</v>
      </c>
      <c r="BJ26">
        <f>_xlfn.COVARIANCE.S(BD4:BD123,BE4:BE123)</f>
        <v>-9.6680321827933498E-7</v>
      </c>
      <c r="BR26">
        <v>5.9953997291429403E-2</v>
      </c>
      <c r="BS26">
        <v>1.70200220336192E-2</v>
      </c>
      <c r="BT26">
        <v>8.7800296204909607E-3</v>
      </c>
      <c r="BU26">
        <v>-1.64722980932193E-2</v>
      </c>
      <c r="BV26" s="56">
        <f t="shared" si="3"/>
        <v>-2.0434141588977495E-3</v>
      </c>
      <c r="BY26" t="s">
        <v>29</v>
      </c>
      <c r="BZ26" t="s">
        <v>13</v>
      </c>
      <c r="CA26" t="s">
        <v>153</v>
      </c>
      <c r="CB26" t="s">
        <v>154</v>
      </c>
      <c r="CC26" t="s">
        <v>175</v>
      </c>
      <c r="CI26">
        <v>1.9717784724810898E-3</v>
      </c>
      <c r="CJ26">
        <v>8.2399924131282293E-3</v>
      </c>
      <c r="CK26">
        <v>4.82467662315766E-3</v>
      </c>
      <c r="CL26" s="56">
        <f t="shared" si="4"/>
        <v>-7.98547696681006E-5</v>
      </c>
      <c r="CM26">
        <f>CI2</f>
        <v>0.90932564086687995</v>
      </c>
      <c r="CN26" t="s">
        <v>16</v>
      </c>
      <c r="CO26">
        <f>_xlfn.VAR.S(CI4:CI123)</f>
        <v>4.4278173024128601E-4</v>
      </c>
      <c r="CP26">
        <f>_xlfn.COVARIANCE.S(CI4:CI123,CJ4:CJ123)</f>
        <v>5.9895428933853539E-5</v>
      </c>
      <c r="CQ26">
        <f>_xlfn.COVARIANCE.S(CI4:CI123,CK4:CK123)</f>
        <v>1.6375940033836776E-4</v>
      </c>
      <c r="CR26">
        <f>_xlfn.COVARIANCE.S(CI4:CI123,CL4:CL123)</f>
        <v>3.2955124120871896E-7</v>
      </c>
    </row>
    <row r="27" spans="1:100" x14ac:dyDescent="0.2">
      <c r="A27" s="1">
        <v>38716</v>
      </c>
      <c r="B27" s="38">
        <f>Data!B25</f>
        <v>9.7830406103471823E-3</v>
      </c>
      <c r="C27" s="38">
        <f>Data!C25</f>
        <v>-2.9288702928870425E-2</v>
      </c>
      <c r="D27" s="38">
        <f>Data!D25</f>
        <v>7.3452978543822933E-2</v>
      </c>
      <c r="E27" s="38">
        <f>Data!E25</f>
        <v>1.2749997693833448E-2</v>
      </c>
      <c r="F27" s="38">
        <f>Data!F25</f>
        <v>7.7500781551034237E-3</v>
      </c>
      <c r="G27" s="38">
        <f t="shared" si="5"/>
        <v>1.4889478414847314E-2</v>
      </c>
      <c r="H27" s="38"/>
      <c r="I27" s="38"/>
      <c r="J27" s="38"/>
      <c r="K27" s="38"/>
      <c r="W27" s="60">
        <v>9.50750163078928E-3</v>
      </c>
      <c r="X27" s="60">
        <v>1.84824053322468E-2</v>
      </c>
      <c r="Y27" s="60">
        <v>-3.5321919425168602E-4</v>
      </c>
      <c r="Z27" s="56">
        <f t="shared" si="0"/>
        <v>3.1364541418042371E-3</v>
      </c>
      <c r="AA27">
        <f>AC21</f>
        <v>5.2414433000000003E-2</v>
      </c>
      <c r="AB27" t="s">
        <v>15</v>
      </c>
      <c r="AC27">
        <f>_xlfn.COVARIANCE.S(W4:W123,X4:X123)</f>
        <v>1.6350774550107804E-4</v>
      </c>
      <c r="AD27">
        <f>_xlfn.VAR.S(X4:X123)</f>
        <v>6.7149675328381266E-4</v>
      </c>
      <c r="AE27">
        <f>_xlfn.COVARIANCE.S(Y4:Y123,X4:X123)</f>
        <v>4.2109376842566602E-4</v>
      </c>
      <c r="AF27">
        <f>_xlfn.COVARIANCE.S(X4:X123,Z4:Z123)</f>
        <v>-2.3274697968547044E-6</v>
      </c>
      <c r="AM27">
        <v>-3.1349221617339401E-3</v>
      </c>
      <c r="AN27">
        <v>-9.2760357063009797E-3</v>
      </c>
      <c r="AO27">
        <v>-4.9183165392930901E-3</v>
      </c>
      <c r="AP27" s="56">
        <f t="shared" si="1"/>
        <v>-2.0785937345812463E-2</v>
      </c>
      <c r="AQ27">
        <f>AN2</f>
        <v>0.45214916703304903</v>
      </c>
      <c r="AR27" t="s">
        <v>145</v>
      </c>
      <c r="AS27">
        <f>_xlfn.COVARIANCE.S(AM4:AM123,AN4:AN123)</f>
        <v>9.0952622032217895E-5</v>
      </c>
      <c r="AT27">
        <f>_xlfn.VAR.S(AN4:AN123)</f>
        <v>3.0984483281579781E-4</v>
      </c>
      <c r="AU27">
        <f>_xlfn.COVARIANCE.S(AN4:AN123,AO4:AO123)</f>
        <v>-1.5426569665196682E-5</v>
      </c>
      <c r="AV27">
        <f>_xlfn.COVARIANCE.S(AN4:AN123,AP4:AP123)</f>
        <v>-2.6322735066732256E-6</v>
      </c>
      <c r="BC27">
        <v>3.18839218632605E-2</v>
      </c>
      <c r="BD27">
        <v>1.5669995623428499E-2</v>
      </c>
      <c r="BE27" s="56">
        <f t="shared" si="2"/>
        <v>3.0539345791480828E-2</v>
      </c>
      <c r="BF27">
        <f>BE2</f>
        <v>1</v>
      </c>
      <c r="BG27" t="s">
        <v>175</v>
      </c>
      <c r="BH27">
        <f>_xlfn.COVARIANCE.S(BC4:BC123,BE4:BE123)</f>
        <v>3.4841828037972609E-6</v>
      </c>
      <c r="BI27">
        <f>_xlfn.COVARIANCE.S(BD4:BD123,BE4:BE123)</f>
        <v>-9.6680321827933498E-7</v>
      </c>
      <c r="BJ27">
        <f>_xlfn.VAR.S(BE4:BE123)</f>
        <v>2.1708205255396144E-3</v>
      </c>
      <c r="BR27">
        <v>4.8511397744788E-2</v>
      </c>
      <c r="BS27">
        <v>2.0079989311307101E-2</v>
      </c>
      <c r="BT27">
        <v>5.3299862399158703E-3</v>
      </c>
      <c r="BU27">
        <v>2.2811883108241799E-2</v>
      </c>
      <c r="BV27" s="56">
        <f t="shared" si="3"/>
        <v>-2.6981165025980903E-3</v>
      </c>
      <c r="BW27">
        <f>BR2</f>
        <v>8.8277652570716306E-2</v>
      </c>
      <c r="BX27" t="s">
        <v>29</v>
      </c>
      <c r="BY27">
        <f>_xlfn.VAR.S(BR4:BR123)</f>
        <v>3.0673613462140043E-3</v>
      </c>
      <c r="BZ27">
        <f>_xlfn.COVARIANCE.S(BR4:BR123,BS4:BS123)</f>
        <v>2.0984358482601276E-4</v>
      </c>
      <c r="CA27">
        <f>_xlfn.COVARIANCE.S(BR4:BR123,BT4:BT123)</f>
        <v>3.5502363632248837E-5</v>
      </c>
      <c r="CB27">
        <f>_xlfn.COVARIANCE.S(BR4:BR123,BU4:BU123)</f>
        <v>1.4366107696779995E-4</v>
      </c>
      <c r="CC27">
        <f>_xlfn.COVARIANCE.S(BR4:BR123,BV4:BV123)</f>
        <v>8.1990546821011753E-6</v>
      </c>
      <c r="CI27">
        <v>8.4798523002940201E-3</v>
      </c>
      <c r="CJ27">
        <v>1.47500030713912E-2</v>
      </c>
      <c r="CK27">
        <v>9.1542824365375992E-3</v>
      </c>
      <c r="CL27" s="56">
        <f t="shared" si="4"/>
        <v>4.0427046265653199E-4</v>
      </c>
      <c r="CM27">
        <f>CJ2</f>
        <v>-0.122780401193907</v>
      </c>
      <c r="CN27" t="s">
        <v>14</v>
      </c>
      <c r="CO27">
        <f>_xlfn.COVARIANCE.S(CI4:CI123,CJ4:CJ123)</f>
        <v>5.9895428933853539E-5</v>
      </c>
      <c r="CP27">
        <f>_xlfn.VAR.S(CJ4:CJ123)</f>
        <v>2.0509821418509009E-4</v>
      </c>
      <c r="CQ27">
        <f>_xlfn.COVARIANCE.S(CJ4:CJ123,CK4:CK123)</f>
        <v>3.6469526602740719E-4</v>
      </c>
      <c r="CR27">
        <f>_xlfn.COVARIANCE.S(CJ4:CJ123,CL4:CL123)</f>
        <v>-1.045115819046244E-6</v>
      </c>
    </row>
    <row r="28" spans="1:100" x14ac:dyDescent="0.2">
      <c r="A28" s="1">
        <v>38748</v>
      </c>
      <c r="B28" s="38">
        <f>Data!B26</f>
        <v>3.2189263424655667E-3</v>
      </c>
      <c r="C28" s="38">
        <f>Data!C26</f>
        <v>3.2058189655172598E-2</v>
      </c>
      <c r="D28" s="38">
        <f>Data!D26</f>
        <v>0.11698566078338057</v>
      </c>
      <c r="E28" s="38">
        <f>Data!E26</f>
        <v>2.4009993160515331E-2</v>
      </c>
      <c r="F28" s="38">
        <f>Data!F26</f>
        <v>1.0316492681061717E-3</v>
      </c>
      <c r="G28" s="38">
        <f t="shared" si="5"/>
        <v>3.5460883841928054E-2</v>
      </c>
      <c r="H28" s="38"/>
      <c r="I28" s="38"/>
      <c r="J28" s="38"/>
      <c r="K28" s="38"/>
      <c r="W28" s="60">
        <v>5.6540070755950501E-5</v>
      </c>
      <c r="X28" s="60">
        <v>1.1974165523548101E-2</v>
      </c>
      <c r="Y28" s="60">
        <v>1.5792999503792701E-2</v>
      </c>
      <c r="Z28" s="56">
        <f t="shared" si="0"/>
        <v>3.6599443251781913E-3</v>
      </c>
      <c r="AA28">
        <f>AC22</f>
        <v>-6.9793960000000002E-2</v>
      </c>
      <c r="AB28" t="s">
        <v>128</v>
      </c>
      <c r="AC28">
        <f>_xlfn.COVARIANCE.S(W4:W123,Y4:Y123)</f>
        <v>-1.9878478924989346E-5</v>
      </c>
      <c r="AD28">
        <f>_xlfn.COVARIANCE.S(Y4:Y123,X4:X123)</f>
        <v>4.2109376842566602E-4</v>
      </c>
      <c r="AE28">
        <f>_xlfn.VAR.S(Y4:Y123)</f>
        <v>8.3611769303901771E-4</v>
      </c>
      <c r="AF28">
        <f>_xlfn.COVARIANCE.S(Y4:Y123, Z4:Z123)</f>
        <v>-7.1775970698485389E-6</v>
      </c>
      <c r="AM28">
        <v>1.75559117995185E-2</v>
      </c>
      <c r="AN28">
        <v>-2.1283242067911198E-2</v>
      </c>
      <c r="AO28">
        <v>6.3194492052989701E-2</v>
      </c>
      <c r="AP28" s="56">
        <f t="shared" si="1"/>
        <v>1.1343120831776986E-2</v>
      </c>
      <c r="AQ28">
        <f>AO2</f>
        <v>0.17417432645952199</v>
      </c>
      <c r="AR28" t="s">
        <v>146</v>
      </c>
      <c r="AS28">
        <f>_xlfn.COVARIANCE.S(AM4:AM123,AO4:AO123)</f>
        <v>4.6522194306655934E-4</v>
      </c>
      <c r="AT28">
        <f>_xlfn.COVARIANCE.S(AN4:AN123,AO4:AO123)</f>
        <v>-1.5426569665196682E-5</v>
      </c>
      <c r="AU28">
        <f>_xlfn.VAR.S(AO4:AO123)</f>
        <v>5.6986314141481431E-4</v>
      </c>
      <c r="AV28">
        <f>_xlfn.COVARIANCE.S(AO4:AO123,AP4:AP123)</f>
        <v>-2.8565829177035715E-6</v>
      </c>
      <c r="BC28">
        <v>1.8495043068421899E-2</v>
      </c>
      <c r="BD28">
        <v>3.3220002740831603E-2</v>
      </c>
      <c r="BE28" s="56">
        <f t="shared" si="2"/>
        <v>5.9760598783984362E-2</v>
      </c>
      <c r="BR28">
        <v>0.10038684719535799</v>
      </c>
      <c r="BS28">
        <v>2.8360008065332301E-2</v>
      </c>
      <c r="BT28">
        <v>6.3700025238666597E-3</v>
      </c>
      <c r="BU28">
        <v>1.30424709052157E-2</v>
      </c>
      <c r="BV28" s="56">
        <f t="shared" si="3"/>
        <v>9.4885559963535024E-4</v>
      </c>
      <c r="BW28">
        <f>BS2</f>
        <v>0.31472457422392902</v>
      </c>
      <c r="BX28" t="s">
        <v>13</v>
      </c>
      <c r="BY28">
        <f>_xlfn.COVARIANCE.S(BR4:BR123,BS4:BS123)</f>
        <v>2.0984358482601276E-4</v>
      </c>
      <c r="BZ28">
        <f>_xlfn.VAR.S(BS4:BS123)</f>
        <v>2.3778375757623347E-4</v>
      </c>
      <c r="CA28">
        <f>_xlfn.COVARIANCE.S(BS4:BS123,BT4:BT123)</f>
        <v>4.606475956876853E-5</v>
      </c>
      <c r="CB28">
        <f>_xlfn.COVARIANCE.S(BS4:BS123,BU4:BU123)</f>
        <v>-8.5967102528840058E-5</v>
      </c>
      <c r="CC28">
        <f>_xlfn.COVARIANCE.S(BS4:BS123,BV4:BV123)</f>
        <v>1.1301252812442289E-6</v>
      </c>
      <c r="CI28">
        <v>7.8054041780206695E-4</v>
      </c>
      <c r="CJ28">
        <v>2.1990005541465699E-2</v>
      </c>
      <c r="CK28">
        <v>1.5849539574548599E-2</v>
      </c>
      <c r="CL28" s="56">
        <f t="shared" si="4"/>
        <v>5.1847224264197278E-4</v>
      </c>
      <c r="CM28">
        <f>CK2</f>
        <v>0.15794486020787299</v>
      </c>
      <c r="CN28" t="s">
        <v>17</v>
      </c>
      <c r="CO28">
        <f>_xlfn.COVARIANCE.S(CI4:CI123,CK4:CK123)</f>
        <v>1.6375940033836776E-4</v>
      </c>
      <c r="CP28">
        <f>_xlfn.COVARIANCE.S(CJ4:CJ123,CK4:CK123)</f>
        <v>3.6469526602740719E-4</v>
      </c>
      <c r="CQ28">
        <f>_xlfn.VAR.S(CK4:CK123)</f>
        <v>8.9115132633258809E-4</v>
      </c>
      <c r="CR28">
        <f>_xlfn.COVARIANCE.S(CK4:CK123,CL4:CL123)</f>
        <v>-6.9716010362074369E-6</v>
      </c>
    </row>
    <row r="29" spans="1:100" x14ac:dyDescent="0.2">
      <c r="A29" s="1">
        <v>38776</v>
      </c>
      <c r="B29" s="38">
        <f>Data!B27</f>
        <v>4.6599199811721004E-3</v>
      </c>
      <c r="C29" s="38">
        <f>Data!C27</f>
        <v>-9.1359958235448513E-3</v>
      </c>
      <c r="D29" s="38">
        <f>Data!D27</f>
        <v>-1.78204909711982E-2</v>
      </c>
      <c r="E29" s="38">
        <f>Data!E27</f>
        <v>-4.7199913832056684E-3</v>
      </c>
      <c r="F29" s="38">
        <f>Data!F27</f>
        <v>-2.9115858052984889E-3</v>
      </c>
      <c r="G29" s="38">
        <f t="shared" si="5"/>
        <v>-5.9856288004150205E-3</v>
      </c>
      <c r="H29" s="38"/>
      <c r="I29" s="38"/>
      <c r="J29" s="38"/>
      <c r="K29" s="38"/>
      <c r="W29" s="60">
        <v>3.3195221826463101E-3</v>
      </c>
      <c r="X29" s="60">
        <v>2.22247324277767E-2</v>
      </c>
      <c r="Y29" s="60">
        <v>3.0028342558992001E-3</v>
      </c>
      <c r="Z29" s="56">
        <f t="shared" si="0"/>
        <v>1.7308050381340196E-3</v>
      </c>
      <c r="AA29">
        <v>1</v>
      </c>
      <c r="AB29" t="s">
        <v>175</v>
      </c>
      <c r="AC29">
        <f>_xlfn.COVARIANCE.S(Z4:Z123,W4:W123)</f>
        <v>2.059980179790718E-7</v>
      </c>
      <c r="AD29">
        <f>_xlfn.COVARIANCE.S(X4:X123,Z4:Z123)</f>
        <v>-2.3274697968547044E-6</v>
      </c>
      <c r="AE29">
        <f>_xlfn.COVARIANCE.S(Y4:Y123, Z4:Z123)</f>
        <v>-7.1775970698485389E-6</v>
      </c>
      <c r="AF29">
        <f>_xlfn.VAR.S(Z4:Z123)</f>
        <v>9.427269378640074E-6</v>
      </c>
      <c r="AM29">
        <v>-1.5890373835297799E-3</v>
      </c>
      <c r="AN29">
        <v>-7.6931104759693199E-3</v>
      </c>
      <c r="AO29">
        <v>-5.4668283774368404E-3</v>
      </c>
      <c r="AP29" s="56">
        <f t="shared" si="1"/>
        <v>-2.9556381322921044E-3</v>
      </c>
      <c r="AQ29">
        <f>AP2</f>
        <v>1</v>
      </c>
      <c r="AR29" t="s">
        <v>175</v>
      </c>
      <c r="AS29">
        <f>_xlfn.COVARIANCE.S(AM4:AM123,AP4:AP123)</f>
        <v>-6.7123315220213129E-6</v>
      </c>
      <c r="AT29">
        <f>_xlfn.COVARIANCE.S(AN4:AN123,AP4:AP123)</f>
        <v>-2.6322735066732256E-6</v>
      </c>
      <c r="AU29">
        <f>_xlfn.COVARIANCE.S(AO4:AO123,AP4:AP123)</f>
        <v>-2.8565829177035715E-6</v>
      </c>
      <c r="AV29">
        <f>_xlfn.VAR.S(AP4:AP123)</f>
        <v>2.9124631118722784E-4</v>
      </c>
      <c r="BC29">
        <v>-6.2602923342056499E-2</v>
      </c>
      <c r="BD29">
        <v>9.6500029984780706E-3</v>
      </c>
      <c r="BE29" s="56">
        <f t="shared" si="2"/>
        <v>1.2283739944399276E-2</v>
      </c>
      <c r="BG29" t="s">
        <v>176</v>
      </c>
      <c r="BI29" s="62">
        <f>MMULT(MMULT(BC2:BE2,BH25:BJ27),BF25:BF27)</f>
        <v>5.1920819931654139E-3</v>
      </c>
      <c r="BR29">
        <v>-1.29196695377044E-2</v>
      </c>
      <c r="BS29">
        <v>3.4699830436075701E-3</v>
      </c>
      <c r="BT29">
        <v>-2.7600065209820702E-3</v>
      </c>
      <c r="BU29">
        <v>-2.51371649493093E-3</v>
      </c>
      <c r="BV29" s="56">
        <f t="shared" si="3"/>
        <v>-2.500856889514022E-3</v>
      </c>
      <c r="BW29">
        <f>BT2</f>
        <v>0.75331524631995705</v>
      </c>
      <c r="BX29" t="s">
        <v>153</v>
      </c>
      <c r="BY29">
        <f>_xlfn.COVARIANCE.S(BR4:BR123,BT4:BT123)</f>
        <v>3.5502363632248837E-5</v>
      </c>
      <c r="BZ29">
        <f>_xlfn.COVARIANCE.S(BS4:BS123,BT4:BT123)</f>
        <v>4.606475956876853E-5</v>
      </c>
      <c r="CA29">
        <f>_xlfn.VAR.S(BT4:BT123)</f>
        <v>5.9443975746393887E-5</v>
      </c>
      <c r="CB29">
        <f>_xlfn.COVARIANCE.S(BT4:BT123,BU4:BU123)</f>
        <v>2.6808181092499864E-5</v>
      </c>
      <c r="CC29">
        <f>_xlfn.COVARIANCE.S(BT4:BT123,BV4:BV123)</f>
        <v>2.1752411002902464E-6</v>
      </c>
      <c r="CI29">
        <v>-3.4033381074605202E-3</v>
      </c>
      <c r="CJ29">
        <v>6.2299895645896398E-3</v>
      </c>
      <c r="CK29">
        <v>6.3223564385455101E-3</v>
      </c>
      <c r="CL29" s="56">
        <f t="shared" si="4"/>
        <v>-5.0506285341523488E-5</v>
      </c>
      <c r="CM29">
        <f>CL2</f>
        <v>1</v>
      </c>
      <c r="CN29" t="s">
        <v>175</v>
      </c>
      <c r="CO29">
        <f>_xlfn.COVARIANCE.S(CI4:CI123,CL4:CL123)</f>
        <v>3.2955124120871896E-7</v>
      </c>
      <c r="CP29">
        <f>_xlfn.COVARIANCE.S(CJ4:CJ123,CL4:CL123)</f>
        <v>-1.045115819046244E-6</v>
      </c>
      <c r="CQ29">
        <f>_xlfn.COVARIANCE.S(CK4:CK123,CL4:CL123)</f>
        <v>-6.9716010362074369E-6</v>
      </c>
      <c r="CR29">
        <f>_xlfn.VAR.S(CL4:CL123)</f>
        <v>1.4413188866252609E-5</v>
      </c>
    </row>
    <row r="30" spans="1:100" x14ac:dyDescent="0.2">
      <c r="A30" s="1">
        <v>38807</v>
      </c>
      <c r="B30" s="38">
        <f>Data!B28</f>
        <v>-8.480134932533856E-3</v>
      </c>
      <c r="C30" s="38">
        <f>Data!C28</f>
        <v>1.8177028451000998E-2</v>
      </c>
      <c r="D30" s="38">
        <f>Data!D28</f>
        <v>7.6038083167360826E-2</v>
      </c>
      <c r="E30" s="38">
        <f>Data!E28</f>
        <v>1.1469992218373193E-2</v>
      </c>
      <c r="F30" s="38">
        <f>Data!F28</f>
        <v>-1.6747137735630857E-2</v>
      </c>
      <c r="G30" s="38">
        <f t="shared" si="5"/>
        <v>1.609156623371406E-2</v>
      </c>
      <c r="H30" s="38"/>
      <c r="I30" s="38"/>
      <c r="J30" s="38"/>
      <c r="K30" s="38"/>
      <c r="W30" s="60">
        <v>-9.8129185986605104E-3</v>
      </c>
      <c r="X30" s="60">
        <v>-1.89789491132107E-2</v>
      </c>
      <c r="Y30" s="60">
        <v>1.6063403223981101E-2</v>
      </c>
      <c r="Z30" s="56">
        <f t="shared" si="0"/>
        <v>-5.2944459847629674E-4</v>
      </c>
      <c r="AM30">
        <v>1.4765655520604199E-2</v>
      </c>
      <c r="AN30">
        <v>1.2187249222725999E-3</v>
      </c>
      <c r="AO30">
        <v>3.6069976843303299E-2</v>
      </c>
      <c r="AP30" s="56">
        <f t="shared" si="1"/>
        <v>-4.9154458547406646E-3</v>
      </c>
      <c r="BC30">
        <v>2.2241968650842402E-2</v>
      </c>
      <c r="BD30">
        <v>2.4759997125974199E-2</v>
      </c>
      <c r="BE30" s="56">
        <f t="shared" si="2"/>
        <v>2.7572838261698707E-2</v>
      </c>
      <c r="BG30" t="s">
        <v>177</v>
      </c>
      <c r="BI30">
        <f>SQRT(BI29)</f>
        <v>7.2056103094501403E-2</v>
      </c>
      <c r="BR30">
        <v>3.9355355711868899E-2</v>
      </c>
      <c r="BS30">
        <v>1.66100142039807E-2</v>
      </c>
      <c r="BT30">
        <v>3.2700063212793801E-3</v>
      </c>
      <c r="BU30">
        <v>1.30129253872475E-2</v>
      </c>
      <c r="BV30" s="56">
        <f t="shared" si="3"/>
        <v>-1.6906626638553933E-4</v>
      </c>
      <c r="BW30">
        <f>BU2</f>
        <v>3.6420311862406698E-2</v>
      </c>
      <c r="BX30" t="s">
        <v>154</v>
      </c>
      <c r="BY30">
        <f>_xlfn.COVARIANCE.S(BR4:BR123,BU4:BU123)</f>
        <v>1.4366107696779995E-4</v>
      </c>
      <c r="BZ30">
        <f>_xlfn.COVARIANCE.S(BS4:BS123,BU4:BU123)</f>
        <v>-8.5967102528840058E-5</v>
      </c>
      <c r="CA30">
        <f>_xlfn.COVARIANCE.S(BT4:BT123,BU4:BU123)</f>
        <v>2.6808181092499864E-5</v>
      </c>
      <c r="CB30">
        <f>_xlfn.VAR.S(BU4:BU123)</f>
        <v>5.9806716150103681E-4</v>
      </c>
      <c r="CC30">
        <f>_xlfn.COVARIANCE.S(BU4:BU123,BV4:BV123)</f>
        <v>4.2906245725498724E-6</v>
      </c>
      <c r="CI30">
        <v>-2.0532449238037001E-2</v>
      </c>
      <c r="CJ30">
        <v>1.33400078827013E-2</v>
      </c>
      <c r="CK30">
        <v>6.2504846253206301E-3</v>
      </c>
      <c r="CL30" s="56">
        <f t="shared" si="4"/>
        <v>2.5742044257040381E-3</v>
      </c>
    </row>
    <row r="31" spans="1:100" x14ac:dyDescent="0.2">
      <c r="A31" s="1">
        <v>38835</v>
      </c>
      <c r="B31" s="38">
        <f>Data!B29</f>
        <v>5.5127659909448568E-5</v>
      </c>
      <c r="C31" s="38">
        <f>Data!C29</f>
        <v>-1.1384217335058122E-2</v>
      </c>
      <c r="D31" s="38">
        <f>Data!D29</f>
        <v>0.22182414762569147</v>
      </c>
      <c r="E31" s="38">
        <f>Data!E29</f>
        <v>2.7640000711400159E-2</v>
      </c>
      <c r="F31" s="38">
        <f>Data!F29</f>
        <v>2.5581651780792747E-3</v>
      </c>
      <c r="G31" s="38">
        <f t="shared" si="5"/>
        <v>4.8138644768004446E-2</v>
      </c>
      <c r="H31" s="38"/>
      <c r="I31" s="38"/>
      <c r="J31" s="38"/>
      <c r="K31" s="38"/>
      <c r="W31" s="60">
        <v>-1.8129344335596799E-3</v>
      </c>
      <c r="X31" s="60">
        <v>-8.44808650840578E-4</v>
      </c>
      <c r="Y31" s="60">
        <v>8.2388531200333608E-3</v>
      </c>
      <c r="Z31" s="56">
        <f t="shared" si="0"/>
        <v>1.7524062861953354E-3</v>
      </c>
      <c r="AB31" t="s">
        <v>176</v>
      </c>
      <c r="AD31" s="62">
        <f>MMULT(MMULT(W2:Z2,AC26:AF29),AA26:AA29)</f>
        <v>5.8622010285929886E-5</v>
      </c>
      <c r="AM31">
        <v>-1.3600246009989299E-3</v>
      </c>
      <c r="AN31">
        <v>-2.67715401020675E-2</v>
      </c>
      <c r="AO31">
        <v>-1.3590947316672E-2</v>
      </c>
      <c r="AP31" s="56">
        <f t="shared" si="1"/>
        <v>4.5852756091892821E-3</v>
      </c>
      <c r="AR31" t="s">
        <v>176</v>
      </c>
      <c r="AT31" s="62">
        <f>MMULT(MMULT(AM2:AP2,AS26:AV29),AQ26:AQ29)</f>
        <v>2.8912990965992108E-3</v>
      </c>
      <c r="BC31">
        <v>6.7798585878097603E-2</v>
      </c>
      <c r="BD31">
        <v>1.6289995721916899E-2</v>
      </c>
      <c r="BE31" s="56">
        <f t="shared" si="2"/>
        <v>0.15339148776799574</v>
      </c>
      <c r="BR31">
        <v>0.121254176304292</v>
      </c>
      <c r="BS31">
        <v>1.7169992265817498E-2</v>
      </c>
      <c r="BT31">
        <v>6.0199914344778501E-3</v>
      </c>
      <c r="BU31">
        <v>4.1719547542262703E-3</v>
      </c>
      <c r="BV31" s="56">
        <f t="shared" si="3"/>
        <v>6.8452529340414375E-3</v>
      </c>
      <c r="BW31">
        <f>BV2</f>
        <v>1</v>
      </c>
      <c r="BX31" t="s">
        <v>175</v>
      </c>
      <c r="BY31">
        <f>_xlfn.COVARIANCE.S(BR4:BR123,BV4:BV123)</f>
        <v>8.1990546821011753E-6</v>
      </c>
      <c r="BZ31">
        <f>_xlfn.COVARIANCE.S(BS4:BS123,BV4:BV123)</f>
        <v>1.1301252812442289E-6</v>
      </c>
      <c r="CA31">
        <f>_xlfn.COVARIANCE.S(BT4:BT123,BV4:BV123)</f>
        <v>2.1752411002902464E-6</v>
      </c>
      <c r="CB31">
        <f>_xlfn.COVARIANCE.S(BU4:BU123,BV4:BV123)</f>
        <v>4.2906245725498724E-6</v>
      </c>
      <c r="CC31">
        <f>_xlfn.VAR.S(BV4:BV123)</f>
        <v>7.0213567253584342E-5</v>
      </c>
      <c r="CI31">
        <v>1.0169097565238E-4</v>
      </c>
      <c r="CJ31">
        <v>1.11500008313397E-2</v>
      </c>
      <c r="CK31">
        <v>6.4259186864736896E-3</v>
      </c>
      <c r="CL31" s="56">
        <f t="shared" si="4"/>
        <v>2.8197557132158355E-3</v>
      </c>
      <c r="CN31" t="s">
        <v>176</v>
      </c>
      <c r="CP31" s="62">
        <f>MMULT(MMULT(CI2:CL2,CO26:CR29),CM26:CM29)</f>
        <v>4.2403452982928645E-4</v>
      </c>
    </row>
    <row r="32" spans="1:100" x14ac:dyDescent="0.2">
      <c r="A32" s="1">
        <v>38868</v>
      </c>
      <c r="B32" s="38">
        <f>Data!B30</f>
        <v>-1.897861952198987E-3</v>
      </c>
      <c r="C32" s="38">
        <f>Data!C30</f>
        <v>-7.0923841926197384E-2</v>
      </c>
      <c r="D32" s="38">
        <f>Data!D30</f>
        <v>8.8305502955184467E-2</v>
      </c>
      <c r="E32" s="38">
        <f>Data!E30</f>
        <v>-1.3640000732359936E-2</v>
      </c>
      <c r="F32" s="38">
        <f>Data!F30</f>
        <v>2.2510136893894028E-3</v>
      </c>
      <c r="G32" s="38">
        <f t="shared" si="5"/>
        <v>8.1896240676351427E-4</v>
      </c>
      <c r="H32" s="38"/>
      <c r="I32" s="38"/>
      <c r="J32" s="38"/>
      <c r="K32" s="38"/>
      <c r="W32" s="60">
        <v>-1.0669316349300999E-3</v>
      </c>
      <c r="X32" s="60">
        <v>-2.0489839632479301E-2</v>
      </c>
      <c r="Y32" s="60">
        <v>4.3572578899297998E-4</v>
      </c>
      <c r="Z32" s="56">
        <f t="shared" si="0"/>
        <v>-1.5908683358618978E-4</v>
      </c>
      <c r="AB32" t="s">
        <v>177</v>
      </c>
      <c r="AD32">
        <f>SQRT(AD31)</f>
        <v>7.6565011778180958E-3</v>
      </c>
      <c r="AM32">
        <v>-3.3895547634328602E-2</v>
      </c>
      <c r="AN32">
        <v>-8.6361784064806803E-3</v>
      </c>
      <c r="AO32">
        <v>-2.7378886812217101E-2</v>
      </c>
      <c r="AP32" s="56">
        <f t="shared" si="1"/>
        <v>-2.4926762854968851E-2</v>
      </c>
      <c r="AR32" t="s">
        <v>177</v>
      </c>
      <c r="AT32">
        <f>SQRT(AT31)</f>
        <v>5.3770801524611951E-2</v>
      </c>
      <c r="BC32">
        <v>9.5660201987437504E-3</v>
      </c>
      <c r="BD32">
        <v>-5.4199986073308901E-3</v>
      </c>
      <c r="BE32" s="56">
        <f t="shared" si="2"/>
        <v>8.8991897498691463E-2</v>
      </c>
      <c r="BG32" t="s">
        <v>170</v>
      </c>
      <c r="BR32">
        <v>-1.40888114666421E-2</v>
      </c>
      <c r="BS32">
        <v>-1.9659986305596001E-2</v>
      </c>
      <c r="BT32">
        <v>-2.16999772446127E-2</v>
      </c>
      <c r="BU32">
        <v>5.5513250984435799E-3</v>
      </c>
      <c r="BV32" s="56">
        <f t="shared" si="3"/>
        <v>9.9359500025315538E-3</v>
      </c>
      <c r="CI32">
        <v>2.1352933486338301E-3</v>
      </c>
      <c r="CJ32">
        <v>2.03999093901675E-3</v>
      </c>
      <c r="CK32">
        <v>-6.3120584593712203E-4</v>
      </c>
      <c r="CL32" s="56">
        <f t="shared" si="4"/>
        <v>6.5950332172750171E-4</v>
      </c>
      <c r="CN32" t="s">
        <v>177</v>
      </c>
      <c r="CP32">
        <f>SQRT(CP31)</f>
        <v>2.0592098723279433E-2</v>
      </c>
    </row>
    <row r="33" spans="1:97" x14ac:dyDescent="0.2">
      <c r="A33" s="1">
        <v>38898</v>
      </c>
      <c r="B33" s="38">
        <f>Data!B31</f>
        <v>1.9330303604114807E-3</v>
      </c>
      <c r="C33" s="38">
        <f>Data!C31</f>
        <v>-1.6478873239436642E-2</v>
      </c>
      <c r="D33" s="38">
        <f>Data!D31</f>
        <v>-5.1785045792712148E-2</v>
      </c>
      <c r="E33" s="38">
        <f>Data!E31</f>
        <v>-4.839994333079245E-3</v>
      </c>
      <c r="F33" s="38">
        <f>Data!F31</f>
        <v>4.1114931597046045E-3</v>
      </c>
      <c r="G33" s="38">
        <f t="shared" si="5"/>
        <v>-1.3411877969022391E-2</v>
      </c>
      <c r="H33" s="38"/>
      <c r="I33" s="38"/>
      <c r="J33" s="38"/>
      <c r="K33" s="38"/>
      <c r="W33" s="60">
        <v>2.1198359573098E-3</v>
      </c>
      <c r="X33" s="60">
        <v>-5.75473326812626E-5</v>
      </c>
      <c r="Y33" s="60">
        <v>-5.9113317201404704E-3</v>
      </c>
      <c r="Z33" s="56">
        <f t="shared" si="0"/>
        <v>2.6301057644010587E-4</v>
      </c>
      <c r="AM33">
        <v>-3.9456266437060102E-3</v>
      </c>
      <c r="AN33">
        <v>-1.0341834374350999E-2</v>
      </c>
      <c r="AO33">
        <v>5.0737944709020599E-3</v>
      </c>
      <c r="AP33" s="56">
        <f t="shared" si="1"/>
        <v>-8.3418826344597609E-3</v>
      </c>
      <c r="BC33">
        <v>-1.55369020733376E-2</v>
      </c>
      <c r="BD33">
        <v>-1.1599962117382399E-3</v>
      </c>
      <c r="BE33" s="56">
        <f t="shared" si="2"/>
        <v>-3.9550468197584641E-2</v>
      </c>
      <c r="BH33" t="s">
        <v>151</v>
      </c>
      <c r="BI33" t="s">
        <v>12</v>
      </c>
      <c r="BJ33" t="s">
        <v>175</v>
      </c>
      <c r="BR33">
        <v>-4.5489770613763303E-2</v>
      </c>
      <c r="BS33">
        <v>-6.2600113383721699E-3</v>
      </c>
      <c r="BT33">
        <v>-1.1780019686965499E-2</v>
      </c>
      <c r="BU33">
        <v>-6.7056015019577603E-3</v>
      </c>
      <c r="BV33" s="56">
        <f t="shared" si="3"/>
        <v>1.0264203765856966E-2</v>
      </c>
      <c r="BX33" t="s">
        <v>176</v>
      </c>
      <c r="BZ33" s="62">
        <f>MMULT(MMULT(BR2:BV2,BY27:CC31),BW27:BW31)</f>
        <v>1.9659456657905808E-4</v>
      </c>
      <c r="CI33">
        <v>3.5947238730251701E-3</v>
      </c>
      <c r="CJ33">
        <v>5.5200083485933398E-3</v>
      </c>
      <c r="CK33">
        <v>-3.7914957628306699E-3</v>
      </c>
      <c r="CL33" s="56">
        <f t="shared" si="4"/>
        <v>2.1193146779995582E-3</v>
      </c>
    </row>
    <row r="34" spans="1:97" x14ac:dyDescent="0.2">
      <c r="A34" s="1">
        <v>38929</v>
      </c>
      <c r="B34" s="38">
        <f>Data!B32</f>
        <v>1.4324075313609796E-2</v>
      </c>
      <c r="C34" s="38">
        <f>Data!C32</f>
        <v>-3.7806100529858222E-2</v>
      </c>
      <c r="D34" s="38">
        <f>Data!D32</f>
        <v>6.4177382359074109E-2</v>
      </c>
      <c r="E34" s="38">
        <f>Data!E32</f>
        <v>-2.5999997582957235E-3</v>
      </c>
      <c r="F34" s="38">
        <f>Data!F32</f>
        <v>1.4702882289511221E-2</v>
      </c>
      <c r="G34" s="38">
        <f t="shared" si="5"/>
        <v>1.0559647934808236E-2</v>
      </c>
      <c r="H34" s="38"/>
      <c r="I34" s="38"/>
      <c r="J34" s="38"/>
      <c r="K34" s="38"/>
      <c r="W34" s="60">
        <v>1.3521979318368699E-2</v>
      </c>
      <c r="X34" s="60">
        <v>3.2717541436464E-2</v>
      </c>
      <c r="Y34" s="60">
        <v>-2.8526315591568302E-3</v>
      </c>
      <c r="Z34" s="56">
        <f t="shared" si="0"/>
        <v>4.3698978462252663E-3</v>
      </c>
      <c r="AB34" t="s">
        <v>170</v>
      </c>
      <c r="AM34">
        <v>-1.90462259275948E-2</v>
      </c>
      <c r="AN34">
        <v>-4.3349556362262599E-2</v>
      </c>
      <c r="AO34">
        <v>-3.8707189226529701E-2</v>
      </c>
      <c r="AP34" s="56">
        <f t="shared" si="1"/>
        <v>9.5086103067959504E-3</v>
      </c>
      <c r="AR34" t="s">
        <v>170</v>
      </c>
      <c r="BC34">
        <v>3.2100849829908497E-2</v>
      </c>
      <c r="BD34">
        <v>-4.3700025114713501E-3</v>
      </c>
      <c r="BE34" s="56">
        <f t="shared" si="2"/>
        <v>4.7966104733520198E-2</v>
      </c>
      <c r="BG34" t="s">
        <v>171</v>
      </c>
      <c r="BH34">
        <f>BC2*BF25*BH25</f>
        <v>1.2816290110102657E-3</v>
      </c>
      <c r="BI34">
        <f>BD2*BF25*BI25</f>
        <v>5.4144253468403321E-4</v>
      </c>
      <c r="BJ34">
        <f>BE2*BF25*BJ25</f>
        <v>2.3950808689593002E-6</v>
      </c>
      <c r="BR34">
        <v>3.3936835268328303E-2</v>
      </c>
      <c r="BS34">
        <v>-2.2099992923791901E-3</v>
      </c>
      <c r="BT34">
        <v>-6.3899906906006399E-3</v>
      </c>
      <c r="BU34">
        <v>-1.1588534564024901E-2</v>
      </c>
      <c r="BV34" s="56">
        <f t="shared" si="3"/>
        <v>3.3541262878850368E-4</v>
      </c>
      <c r="BX34" t="s">
        <v>177</v>
      </c>
      <c r="BZ34">
        <f>SQRT(BZ33)</f>
        <v>1.4021218441314509E-2</v>
      </c>
      <c r="CI34">
        <v>1.6696033969785501E-2</v>
      </c>
      <c r="CJ34">
        <v>4.1799913982214498E-3</v>
      </c>
      <c r="CK34">
        <v>1.0669347759211901E-2</v>
      </c>
      <c r="CL34" s="56">
        <f t="shared" si="4"/>
        <v>-1.6511971194763733E-3</v>
      </c>
      <c r="CN34" t="s">
        <v>170</v>
      </c>
    </row>
    <row r="35" spans="1:97" x14ac:dyDescent="0.2">
      <c r="A35" s="1">
        <v>38960</v>
      </c>
      <c r="B35" s="38">
        <f>Data!B33</f>
        <v>1.4533258803800964E-2</v>
      </c>
      <c r="C35" s="38">
        <f>Data!C33</f>
        <v>8.3792230986753813E-2</v>
      </c>
      <c r="D35" s="38">
        <f>Data!D33</f>
        <v>1.4740384263686179E-2</v>
      </c>
      <c r="E35" s="38">
        <f>Data!E33</f>
        <v>2.3199960805679876E-3</v>
      </c>
      <c r="F35" s="38">
        <f>Data!F33</f>
        <v>1.6141308250161579E-2</v>
      </c>
      <c r="G35" s="38">
        <f t="shared" si="5"/>
        <v>2.6305435676994109E-2</v>
      </c>
      <c r="H35" s="38"/>
      <c r="I35" s="38"/>
      <c r="J35" s="38"/>
      <c r="K35" s="38"/>
      <c r="W35" s="60">
        <v>1.5308293129329799E-2</v>
      </c>
      <c r="X35" s="60">
        <v>2.60246872300707E-2</v>
      </c>
      <c r="Y35" s="60">
        <v>8.7198764067197799E-4</v>
      </c>
      <c r="Z35" s="56">
        <f t="shared" si="0"/>
        <v>4.1276918458696167E-3</v>
      </c>
      <c r="AC35" t="s">
        <v>7</v>
      </c>
      <c r="AD35" t="s">
        <v>15</v>
      </c>
      <c r="AE35" t="s">
        <v>128</v>
      </c>
      <c r="AF35" t="s">
        <v>175</v>
      </c>
      <c r="AM35">
        <v>3.1199326197662601E-2</v>
      </c>
      <c r="AN35">
        <v>1.4460504500759501E-2</v>
      </c>
      <c r="AO35">
        <v>5.8143468033713397E-3</v>
      </c>
      <c r="AP35" s="56">
        <f t="shared" si="1"/>
        <v>4.1886577977169326E-2</v>
      </c>
      <c r="AS35" t="s">
        <v>25</v>
      </c>
      <c r="AT35" t="s">
        <v>145</v>
      </c>
      <c r="AU35" t="s">
        <v>146</v>
      </c>
      <c r="AV35" t="s">
        <v>175</v>
      </c>
      <c r="BC35">
        <v>-3.6037350895916601E-2</v>
      </c>
      <c r="BD35">
        <v>1.0550003534475201E-2</v>
      </c>
      <c r="BE35" s="56">
        <f t="shared" si="2"/>
        <v>2.5377126541717629E-2</v>
      </c>
      <c r="BG35" t="s">
        <v>172</v>
      </c>
      <c r="BH35">
        <f>BC2*BF26*BH26</f>
        <v>5.4144253468403321E-4</v>
      </c>
      <c r="BI35">
        <f>BD2*BF26*BI26</f>
        <v>6.5454805331581684E-4</v>
      </c>
      <c r="BJ35">
        <f>BE2*BF26*BJ26</f>
        <v>-1.2954139031337953E-6</v>
      </c>
      <c r="BR35">
        <v>-1.4840989399293399E-2</v>
      </c>
      <c r="BS35">
        <v>8.1299984132738902E-3</v>
      </c>
      <c r="BT35">
        <v>1.0199931029595301E-3</v>
      </c>
      <c r="BU35">
        <v>-1.349298767459E-2</v>
      </c>
      <c r="BV35" s="56">
        <f t="shared" si="3"/>
        <v>7.9445596096921209E-4</v>
      </c>
      <c r="CI35">
        <v>1.8765803903741701E-2</v>
      </c>
      <c r="CJ35">
        <v>7.1100053103143601E-3</v>
      </c>
      <c r="CK35">
        <v>1.61802807700018E-2</v>
      </c>
      <c r="CL35" s="56">
        <f t="shared" si="4"/>
        <v>-2.6055412908414025E-3</v>
      </c>
      <c r="CO35" t="s">
        <v>16</v>
      </c>
      <c r="CP35" t="s">
        <v>14</v>
      </c>
      <c r="CQ35" t="s">
        <v>17</v>
      </c>
      <c r="CR35" t="s">
        <v>175</v>
      </c>
    </row>
    <row r="36" spans="1:97" x14ac:dyDescent="0.2">
      <c r="A36" s="1">
        <v>38989</v>
      </c>
      <c r="B36" s="38">
        <f>Data!B34</f>
        <v>6.9941842669116738E-3</v>
      </c>
      <c r="C36" s="38">
        <f>Data!C34</f>
        <v>4.0098873935731971E-2</v>
      </c>
      <c r="D36" s="38">
        <f>Data!D34</f>
        <v>1.2227085478887734E-2</v>
      </c>
      <c r="E36" s="38">
        <f>Data!E34</f>
        <v>-7.6000033023650992E-3</v>
      </c>
      <c r="F36" s="38">
        <f>Data!F34</f>
        <v>3.1444763210333182E-3</v>
      </c>
      <c r="G36" s="38">
        <f t="shared" si="5"/>
        <v>1.0972923340039922E-2</v>
      </c>
      <c r="H36" s="38"/>
      <c r="I36" s="38"/>
      <c r="J36" s="38"/>
      <c r="K36" s="38"/>
      <c r="W36" s="60">
        <v>8.7839974699557306E-3</v>
      </c>
      <c r="X36" s="60">
        <v>5.5943296309370902E-3</v>
      </c>
      <c r="Y36" s="60">
        <v>4.36981187469154E-3</v>
      </c>
      <c r="Z36" s="56">
        <f t="shared" ref="Z36:Z67" si="6">B36-SUMPRODUCT(W36:Y36, W$2:Y$2)</f>
        <v>1.7829557734446964E-3</v>
      </c>
      <c r="AB36" t="s">
        <v>171</v>
      </c>
      <c r="AC36">
        <f>W2*AA26*AC26</f>
        <v>3.351347340317763E-5</v>
      </c>
      <c r="AD36">
        <f>X2*AA26*AD26</f>
        <v>5.0958463811013322E-6</v>
      </c>
      <c r="AE36">
        <f>Y2*AA26*AE26</f>
        <v>8.2495088869305335E-7</v>
      </c>
      <c r="AF36">
        <f>Z2*AA26*AF26</f>
        <v>1.2248704195638624E-7</v>
      </c>
      <c r="AM36">
        <v>2.74785537256543E-2</v>
      </c>
      <c r="AN36">
        <v>7.5458035242990098E-3</v>
      </c>
      <c r="AO36">
        <v>-1.74447596840548E-2</v>
      </c>
      <c r="AP36" s="56">
        <f t="shared" ref="AP36:AP67" si="7">C36-SUMPRODUCT(AM36:AO36, AM$2:AO$2)</f>
        <v>9.4679053936238232E-3</v>
      </c>
      <c r="AR36" t="s">
        <v>171</v>
      </c>
      <c r="AS36">
        <f>AM2*AQ26*AS26</f>
        <v>2.2709927092859268E-3</v>
      </c>
      <c r="AT36">
        <f>AN2*AQ26*AT26</f>
        <v>4.5283201192827033E-5</v>
      </c>
      <c r="AU36">
        <f>AO2*AQ26*AU26</f>
        <v>8.9224575947858197E-5</v>
      </c>
      <c r="AV36">
        <f>AP2*AQ26*AV26</f>
        <v>-7.3911762759584111E-6</v>
      </c>
      <c r="BC36">
        <v>-6.0212157247444199E-2</v>
      </c>
      <c r="BD36">
        <v>2.3299989251119898E-3</v>
      </c>
      <c r="BE36" s="56">
        <f t="shared" ref="BE36:BE67" si="8">D36-SUMPRODUCT(BC36:BD36, BC$2:BD$2)</f>
        <v>5.0495897076709303E-2</v>
      </c>
      <c r="BG36" t="s">
        <v>172</v>
      </c>
      <c r="BH36">
        <f>BC2*BF27*BH27</f>
        <v>2.3950808689593002E-6</v>
      </c>
      <c r="BI36">
        <f>BD2*BF27*BI27</f>
        <v>-1.2954139031337953E-6</v>
      </c>
      <c r="BJ36">
        <f>BE2*BF27*BJ27</f>
        <v>2.1708205255396144E-3</v>
      </c>
      <c r="BK36" s="62">
        <f>SUM(BH34:BJ36)</f>
        <v>5.1920819931654148E-3</v>
      </c>
      <c r="BR36">
        <v>-4.6229874063446502E-2</v>
      </c>
      <c r="BS36">
        <v>7.4999311595447303E-4</v>
      </c>
      <c r="BT36">
        <v>-2.9499987938994602E-3</v>
      </c>
      <c r="BU36">
        <v>-2.4190310455007601E-2</v>
      </c>
      <c r="BV36" s="56">
        <f t="shared" ref="BV36:BV67" si="9">E36-SUMPRODUCT(BR36:BU36, BR$2:BU$2)</f>
        <v>-6.516820866040874E-4</v>
      </c>
      <c r="BX36" t="s">
        <v>170</v>
      </c>
      <c r="CI36">
        <v>2.5169072021193899E-3</v>
      </c>
      <c r="CJ36">
        <v>3.6999919098539302E-3</v>
      </c>
      <c r="CK36">
        <v>1.3153809344647299E-2</v>
      </c>
      <c r="CL36" s="56">
        <f t="shared" ref="CL36:CL67" si="10">F36-SUMPRODUCT(CI36:CK36, CI$2:CK$2)</f>
        <v>-7.6750202057161709E-4</v>
      </c>
      <c r="CN36" t="s">
        <v>171</v>
      </c>
      <c r="CO36">
        <f>CI2*CM26*CO26</f>
        <v>3.661243112674793E-4</v>
      </c>
      <c r="CP36">
        <f>CJ2*CM26*CP26</f>
        <v>-6.6871669358927305E-6</v>
      </c>
      <c r="CQ36">
        <f>CK2*CM26*CQ26</f>
        <v>2.3519667321660759E-5</v>
      </c>
      <c r="CR36">
        <f>CL2*CM26*CR26</f>
        <v>2.9966939361059408E-7</v>
      </c>
    </row>
    <row r="37" spans="1:97" x14ac:dyDescent="0.2">
      <c r="A37" s="1">
        <v>39021</v>
      </c>
      <c r="B37" s="38">
        <f>Data!B35</f>
        <v>7.249570649117798E-3</v>
      </c>
      <c r="C37" s="38">
        <f>Data!C35</f>
        <v>4.1193556905201989E-2</v>
      </c>
      <c r="D37" s="38">
        <f>Data!D35</f>
        <v>7.9672083612065681E-2</v>
      </c>
      <c r="E37" s="38">
        <f>Data!E35</f>
        <v>1.1370004912351961E-2</v>
      </c>
      <c r="F37" s="38">
        <f>Data!F35</f>
        <v>-2.1977557532595338E-3</v>
      </c>
      <c r="G37" s="38">
        <f t="shared" si="5"/>
        <v>2.7457492065095578E-2</v>
      </c>
      <c r="H37" s="38"/>
      <c r="I37" s="38"/>
      <c r="J37" s="38"/>
      <c r="K37" s="38"/>
      <c r="W37" s="60">
        <v>6.61488662993448E-3</v>
      </c>
      <c r="X37" s="60">
        <v>1.8553026006643599E-2</v>
      </c>
      <c r="Y37" s="60">
        <v>7.98696942821309E-3</v>
      </c>
      <c r="Z37" s="56">
        <f t="shared" si="6"/>
        <v>2.9013350211416758E-3</v>
      </c>
      <c r="AB37" t="s">
        <v>172</v>
      </c>
      <c r="AC37">
        <f>W2*AA27*AC27</f>
        <v>5.0958463811013322E-6</v>
      </c>
      <c r="AD37">
        <f>X2*AA27*AD27</f>
        <v>1.8447847566617374E-6</v>
      </c>
      <c r="AE37">
        <f>Y2*AA27*AE27</f>
        <v>-1.5404497884058326E-6</v>
      </c>
      <c r="AF37">
        <f>Z2*AA27*AF27</f>
        <v>-1.2199300972676452E-7</v>
      </c>
      <c r="AM37">
        <v>3.5153351092670697E-2</v>
      </c>
      <c r="AN37">
        <v>2.42028503565916E-3</v>
      </c>
      <c r="AO37">
        <v>2.4991520918881401E-2</v>
      </c>
      <c r="AP37" s="56">
        <f t="shared" si="7"/>
        <v>-2.9622034287132559E-3</v>
      </c>
      <c r="AR37" t="s">
        <v>172</v>
      </c>
      <c r="AS37">
        <f>AM2*AQ27*AS27</f>
        <v>4.5283201192827033E-5</v>
      </c>
      <c r="AT37">
        <f>AN2*AQ27*AT27</f>
        <v>6.3344327263408019E-5</v>
      </c>
      <c r="AU37">
        <f>AO2*AQ27*AU27</f>
        <v>-1.2148851949674087E-6</v>
      </c>
      <c r="AV37">
        <f>AP2*AQ27*AV27</f>
        <v>-1.190180273445462E-6</v>
      </c>
      <c r="BC37">
        <v>4.7435725313821599E-2</v>
      </c>
      <c r="BD37">
        <v>2.3289996694176401E-2</v>
      </c>
      <c r="BE37" s="56">
        <f t="shared" si="8"/>
        <v>1.585790759842845E-2</v>
      </c>
      <c r="BR37">
        <v>1.38726391442421E-2</v>
      </c>
      <c r="BS37">
        <v>1.62500185245671E-2</v>
      </c>
      <c r="BT37">
        <v>3.9800122674329402E-3</v>
      </c>
      <c r="BU37">
        <v>-1.3955950911594499E-2</v>
      </c>
      <c r="BV37" s="56">
        <f t="shared" si="9"/>
        <v>2.5411568954013114E-3</v>
      </c>
      <c r="BY37" t="s">
        <v>29</v>
      </c>
      <c r="BZ37" t="s">
        <v>13</v>
      </c>
      <c r="CA37" t="s">
        <v>153</v>
      </c>
      <c r="CB37" t="s">
        <v>154</v>
      </c>
      <c r="CC37" t="s">
        <v>175</v>
      </c>
      <c r="CI37">
        <v>-1.5995437822950999E-3</v>
      </c>
      <c r="CJ37">
        <v>1.2270006257134199E-2</v>
      </c>
      <c r="CK37">
        <v>1.4601856058147599E-2</v>
      </c>
      <c r="CL37" s="56">
        <f t="shared" si="10"/>
        <v>-1.5430214013063288E-3</v>
      </c>
      <c r="CN37" t="s">
        <v>172</v>
      </c>
      <c r="CO37">
        <f>CI2*CM27*CO27</f>
        <v>-6.6871669358927305E-6</v>
      </c>
      <c r="CP37">
        <f>CJ2*CM27*CP27</f>
        <v>3.0918610995379329E-6</v>
      </c>
      <c r="CQ37">
        <f>CK2*CM27*CQ27</f>
        <v>-7.0723650918239318E-6</v>
      </c>
      <c r="CR37">
        <f>CL2*CM27*CR27</f>
        <v>1.2831973955659655E-7</v>
      </c>
    </row>
    <row r="38" spans="1:97" x14ac:dyDescent="0.2">
      <c r="A38" s="1">
        <v>39051</v>
      </c>
      <c r="B38" s="38">
        <f>Data!B36</f>
        <v>1.1467543833177496E-2</v>
      </c>
      <c r="C38" s="38">
        <f>Data!C36</f>
        <v>3.2462591935074947E-2</v>
      </c>
      <c r="D38" s="38">
        <f>Data!D36</f>
        <v>6.8673552083529099E-3</v>
      </c>
      <c r="E38" s="38">
        <f>Data!E36</f>
        <v>2.3570003354294711E-2</v>
      </c>
      <c r="F38" s="38">
        <f>Data!F36</f>
        <v>1.1267128364783829E-2</v>
      </c>
      <c r="G38" s="38">
        <f t="shared" si="5"/>
        <v>1.7126924539136779E-2</v>
      </c>
      <c r="H38" s="38"/>
      <c r="I38" s="38"/>
      <c r="J38" s="38"/>
      <c r="K38" s="38"/>
      <c r="W38" s="60">
        <v>1.16011990501033E-2</v>
      </c>
      <c r="X38" s="60">
        <v>1.26736663484992E-2</v>
      </c>
      <c r="Y38" s="60">
        <v>4.3611621853807403E-3</v>
      </c>
      <c r="Z38" s="56">
        <f t="shared" si="6"/>
        <v>4.2095356786067449E-3</v>
      </c>
      <c r="AB38" t="s">
        <v>172</v>
      </c>
      <c r="AC38">
        <f>W2*AA28*AC28</f>
        <v>8.2495088869305335E-7</v>
      </c>
      <c r="AD38">
        <f>X2*AA28*AD28</f>
        <v>-1.5404497884058326E-6</v>
      </c>
      <c r="AE38">
        <f>Y2*AA28*AE28</f>
        <v>4.0728938746358397E-6</v>
      </c>
      <c r="AF38">
        <f>Z2*AA28*AF28</f>
        <v>5.0095292278912613E-7</v>
      </c>
      <c r="AM38">
        <v>1.9844377737549199E-2</v>
      </c>
      <c r="AN38">
        <v>-2.9841881146486201E-3</v>
      </c>
      <c r="AO38">
        <v>7.2892806854385501E-3</v>
      </c>
      <c r="AP38" s="56">
        <f t="shared" si="7"/>
        <v>1.0690966054653809E-2</v>
      </c>
      <c r="AR38" t="s">
        <v>172</v>
      </c>
      <c r="AS38">
        <f>AM2*AQ28*AS28</f>
        <v>8.9224575947858197E-5</v>
      </c>
      <c r="AT38">
        <f>AN2*AQ28*AT28</f>
        <v>-1.2148851949674087E-6</v>
      </c>
      <c r="AU38">
        <f>AO2*AQ28*AU28</f>
        <v>1.7287764881354599E-5</v>
      </c>
      <c r="AV38">
        <f>AP2*AQ28*AV28</f>
        <v>-4.9754340566679568E-7</v>
      </c>
      <c r="BC38">
        <v>5.4689127223438203E-2</v>
      </c>
      <c r="BD38">
        <v>1.86900041516396E-2</v>
      </c>
      <c r="BE38" s="56">
        <f t="shared" si="8"/>
        <v>-5.576941813362668E-2</v>
      </c>
      <c r="BG38" t="s">
        <v>173</v>
      </c>
      <c r="BH38">
        <f>SUM(BH34:BH36)</f>
        <v>1.8254666265632583E-3</v>
      </c>
      <c r="BI38">
        <f>SUM(BI34:BI36)</f>
        <v>1.1946951740967162E-3</v>
      </c>
      <c r="BJ38">
        <f>SUM(BJ34:BJ36)</f>
        <v>2.1719201925054399E-3</v>
      </c>
      <c r="BR38">
        <v>6.82492581602374E-2</v>
      </c>
      <c r="BS38">
        <v>1.7829984452331998E-2</v>
      </c>
      <c r="BT38">
        <v>4.0999812460860204E-3</v>
      </c>
      <c r="BU38">
        <v>9.8412905992528699E-4</v>
      </c>
      <c r="BV38" s="56">
        <f t="shared" si="9"/>
        <v>8.8091641194588555E-3</v>
      </c>
      <c r="BX38" t="s">
        <v>171</v>
      </c>
      <c r="BY38">
        <f>BR2*BW27*BY27</f>
        <v>2.3903775025185716E-5</v>
      </c>
      <c r="BZ38">
        <f>BS2*BW27*BZ27</f>
        <v>5.8301150842370968E-6</v>
      </c>
      <c r="CA38">
        <f>BT2*BW27*CA27</f>
        <v>2.360939190150991E-6</v>
      </c>
      <c r="CB38">
        <f>BU2*BW27*CB27</f>
        <v>4.6188467642552794E-7</v>
      </c>
      <c r="CC38">
        <f>BV2*BW27*CC27</f>
        <v>7.2379330063483235E-7</v>
      </c>
      <c r="CI38">
        <v>1.24128419278216E-2</v>
      </c>
      <c r="CJ38">
        <v>1.3730003206246E-2</v>
      </c>
      <c r="CK38">
        <v>1.5962361235484002E-2</v>
      </c>
      <c r="CL38" s="56">
        <f t="shared" si="10"/>
        <v>-8.5558468808140213E-4</v>
      </c>
      <c r="CN38" t="s">
        <v>172</v>
      </c>
      <c r="CO38">
        <f>CI2*CM28*CO28</f>
        <v>2.3519667321660759E-5</v>
      </c>
      <c r="CP38">
        <f>CJ2*CM28*CP28</f>
        <v>-7.0723650918239318E-6</v>
      </c>
      <c r="CQ38">
        <f>CK2*CM28*CQ28</f>
        <v>2.2231176843971749E-5</v>
      </c>
      <c r="CR38">
        <f>CL2*CM28*CR28</f>
        <v>-1.1011285510888462E-6</v>
      </c>
    </row>
    <row r="39" spans="1:97" x14ac:dyDescent="0.2">
      <c r="A39" s="1">
        <v>39080</v>
      </c>
      <c r="B39" s="38">
        <f>Data!B37</f>
        <v>-2.7523346361548739E-3</v>
      </c>
      <c r="C39" s="38">
        <f>Data!C37</f>
        <v>-1.3387374109555483E-2</v>
      </c>
      <c r="D39" s="38">
        <f>Data!D37</f>
        <v>-2.554359397922723E-2</v>
      </c>
      <c r="E39" s="38">
        <f>Data!E37</f>
        <v>1.2699995671763054E-2</v>
      </c>
      <c r="F39" s="38">
        <f>Data!F37</f>
        <v>-2.2653179473217655E-2</v>
      </c>
      <c r="G39" s="38">
        <f t="shared" si="5"/>
        <v>-1.0327297305278441E-2</v>
      </c>
      <c r="H39" s="38"/>
      <c r="I39" s="38"/>
      <c r="J39" s="38"/>
      <c r="K39" s="38"/>
      <c r="W39" s="60">
        <v>-5.8033480854339202E-3</v>
      </c>
      <c r="X39" s="60">
        <v>6.6502592030162101E-3</v>
      </c>
      <c r="Y39" s="60">
        <v>1.68122881492315E-2</v>
      </c>
      <c r="Z39" s="56">
        <f t="shared" si="6"/>
        <v>1.523180216295379E-3</v>
      </c>
      <c r="AB39" t="s">
        <v>172</v>
      </c>
      <c r="AC39">
        <f>W2*AA29*AC29</f>
        <v>1.2248704195638624E-7</v>
      </c>
      <c r="AD39">
        <f>X2*AA29*AD29</f>
        <v>-1.2199300972676452E-7</v>
      </c>
      <c r="AE39">
        <f>Y2*AA29*AE29</f>
        <v>5.0095292278912613E-7</v>
      </c>
      <c r="AF39">
        <f>Z2*AA29*AF29</f>
        <v>9.427269378640074E-6</v>
      </c>
      <c r="AG39" s="62">
        <f>SUM(AC36:AF39)</f>
        <v>5.8622010285929886E-5</v>
      </c>
      <c r="AM39">
        <v>3.3862167312690402E-3</v>
      </c>
      <c r="AN39">
        <v>-1.9062226737888599E-2</v>
      </c>
      <c r="AO39">
        <v>-1.06790342987142E-2</v>
      </c>
      <c r="AP39" s="56">
        <f t="shared" si="7"/>
        <v>-6.637068844255304E-3</v>
      </c>
      <c r="AR39" t="s">
        <v>172</v>
      </c>
      <c r="AS39">
        <f>AM2*AQ29*AS29</f>
        <v>-7.3911762759584111E-6</v>
      </c>
      <c r="AT39">
        <f>AN2*AQ29*AT29</f>
        <v>-1.190180273445462E-6</v>
      </c>
      <c r="AU39">
        <f>AO2*AQ29*AU29</f>
        <v>-4.9754340566679568E-7</v>
      </c>
      <c r="AV39">
        <f>AP2*AQ29*AV29</f>
        <v>2.9124631118722784E-4</v>
      </c>
      <c r="AW39" s="62">
        <f>SUM(AS36:AV39)</f>
        <v>2.8912990965992112E-3</v>
      </c>
      <c r="BC39">
        <v>-4.5928784104028599E-2</v>
      </c>
      <c r="BD39">
        <v>1.6500000131154199E-2</v>
      </c>
      <c r="BE39" s="56">
        <f t="shared" si="8"/>
        <v>-1.6079693500361869E-2</v>
      </c>
      <c r="BG39" t="s">
        <v>174</v>
      </c>
      <c r="BH39" s="63">
        <f>BH38/$BK$36</f>
        <v>0.35158663306284593</v>
      </c>
      <c r="BI39" s="63">
        <f>BI38/$BK$36</f>
        <v>0.23009944289580758</v>
      </c>
      <c r="BJ39" s="63">
        <f>BJ38/$BK$36</f>
        <v>0.41831392404134643</v>
      </c>
      <c r="BK39" s="39">
        <f>SUM(BH39:BJ39)</f>
        <v>1</v>
      </c>
      <c r="BR39">
        <v>-1.7438271604938198E-2</v>
      </c>
      <c r="BS39">
        <v>1.7860009511927202E-2</v>
      </c>
      <c r="BT39">
        <v>1.7500130235002E-3</v>
      </c>
      <c r="BU39">
        <v>-5.6765241684675295E-4</v>
      </c>
      <c r="BV39" s="56">
        <f t="shared" si="9"/>
        <v>7.3207840508507866E-3</v>
      </c>
      <c r="BX39" t="s">
        <v>172</v>
      </c>
      <c r="BY39">
        <f>BR2*BW28*BY28</f>
        <v>5.8301150842370968E-6</v>
      </c>
      <c r="BZ39">
        <f>BS2*BW28*BZ28</f>
        <v>2.3552851564765461E-5</v>
      </c>
      <c r="CA39">
        <f>BT2*BW28*CA28</f>
        <v>1.0921347367338267E-5</v>
      </c>
      <c r="CB39">
        <f>BU2*BW28*CB28</f>
        <v>-9.8538649149134045E-7</v>
      </c>
      <c r="CC39">
        <f>BV2*BW28*CC28</f>
        <v>3.5567819795928799E-7</v>
      </c>
      <c r="CI39">
        <v>-2.4954762183249098E-2</v>
      </c>
      <c r="CJ39">
        <v>1.6109996488427002E-2</v>
      </c>
      <c r="CK39">
        <v>1.1008940063797599E-2</v>
      </c>
      <c r="CL39" s="56">
        <f t="shared" si="10"/>
        <v>2.780119744140476E-4</v>
      </c>
      <c r="CN39" t="s">
        <v>172</v>
      </c>
      <c r="CO39">
        <f>CI2*CM29*CO29</f>
        <v>2.9966939361059408E-7</v>
      </c>
      <c r="CP39">
        <f>CJ2*CM29*CP29</f>
        <v>1.2831973955659655E-7</v>
      </c>
      <c r="CQ39">
        <f>CK2*CM29*CQ29</f>
        <v>-1.1011285510888462E-6</v>
      </c>
      <c r="CR39">
        <f>CL2*CM29*CR29</f>
        <v>1.4413188866252609E-5</v>
      </c>
      <c r="CS39" s="62">
        <f>SUM(CO36:CR39)</f>
        <v>4.2403452982928645E-4</v>
      </c>
    </row>
    <row r="40" spans="1:97" x14ac:dyDescent="0.2">
      <c r="A40" s="1">
        <v>39113</v>
      </c>
      <c r="B40" s="38">
        <f>Data!B38</f>
        <v>6.4323592547421704E-4</v>
      </c>
      <c r="C40" s="38">
        <f>Data!C38</f>
        <v>1.5809784638366686E-2</v>
      </c>
      <c r="D40" s="38">
        <f>Data!D38</f>
        <v>-4.1957403894638423E-2</v>
      </c>
      <c r="E40" s="38">
        <f>Data!E38</f>
        <v>3.7180278920005971E-3</v>
      </c>
      <c r="F40" s="38">
        <f>Data!F38</f>
        <v>2.6428193882945816E-3</v>
      </c>
      <c r="G40" s="38">
        <f t="shared" si="5"/>
        <v>-3.828707210100468E-3</v>
      </c>
      <c r="H40" s="38"/>
      <c r="I40" s="38"/>
      <c r="J40" s="38"/>
      <c r="K40" s="38"/>
      <c r="W40" s="60">
        <v>-4.1030881544612497E-4</v>
      </c>
      <c r="X40" s="60">
        <v>-3.0430711610487399E-3</v>
      </c>
      <c r="Y40" s="60">
        <v>1.1154069010428799E-2</v>
      </c>
      <c r="Z40" s="56">
        <f t="shared" si="6"/>
        <v>1.8251942788247637E-3</v>
      </c>
      <c r="AM40">
        <v>2.5705948254719502E-2</v>
      </c>
      <c r="AN40">
        <v>1.29181296617631E-2</v>
      </c>
      <c r="AO40">
        <v>1.6108121746425401E-3</v>
      </c>
      <c r="AP40" s="56">
        <f t="shared" si="7"/>
        <v>-1.8617391981101669E-2</v>
      </c>
      <c r="BC40">
        <v>2.1049413577987099E-3</v>
      </c>
      <c r="BD40">
        <v>1.5743450899027098E-2</v>
      </c>
      <c r="BE40" s="56">
        <f t="shared" si="8"/>
        <v>-6.4498929539599431E-2</v>
      </c>
      <c r="BR40">
        <v>2.5914873566828901E-2</v>
      </c>
      <c r="BS40">
        <v>1.29422544488176E-2</v>
      </c>
      <c r="BT40">
        <v>-7.2645542786409201E-4</v>
      </c>
      <c r="BU40">
        <v>-3.5490453753015401E-3</v>
      </c>
      <c r="BV40" s="56">
        <f t="shared" si="9"/>
        <v>-1.9664145450836107E-3</v>
      </c>
      <c r="BX40" t="s">
        <v>172</v>
      </c>
      <c r="BY40">
        <f>BR2*BW29*BY29</f>
        <v>2.360939190150991E-6</v>
      </c>
      <c r="BZ40">
        <f>BS2*BW29*BZ29</f>
        <v>1.0921347367338267E-5</v>
      </c>
      <c r="CA40">
        <f>BT2*BW29*CA29</f>
        <v>3.3733496830407853E-5</v>
      </c>
      <c r="CB40">
        <f>BU2*BW29*CB29</f>
        <v>7.3550861846411531E-7</v>
      </c>
      <c r="CC40">
        <f>BV2*BW29*CC29</f>
        <v>1.6386422852704414E-6</v>
      </c>
      <c r="CI40">
        <v>2.3074317649383102E-3</v>
      </c>
      <c r="CJ40">
        <v>1.3668709876681701E-2</v>
      </c>
      <c r="CK40">
        <v>1.07437601949827E-2</v>
      </c>
      <c r="CL40" s="56">
        <f t="shared" si="10"/>
        <v>5.2594050024410257E-4</v>
      </c>
    </row>
    <row r="41" spans="1:97" x14ac:dyDescent="0.2">
      <c r="A41" s="1">
        <v>39141</v>
      </c>
      <c r="B41" s="38">
        <f>Data!B39</f>
        <v>1.23332212131404E-2</v>
      </c>
      <c r="C41" s="38">
        <f>Data!C39</f>
        <v>-3.0759803921568518E-2</v>
      </c>
      <c r="D41" s="38">
        <f>Data!D39</f>
        <v>5.6456706332895568E-2</v>
      </c>
      <c r="E41" s="38">
        <f>Data!E39</f>
        <v>2.2336360135390976E-3</v>
      </c>
      <c r="F41" s="38">
        <f>Data!F39</f>
        <v>2.0865984669307114E-2</v>
      </c>
      <c r="G41" s="38">
        <f t="shared" si="5"/>
        <v>1.2225948861462733E-2</v>
      </c>
      <c r="H41" s="38"/>
      <c r="I41" s="38"/>
      <c r="J41" s="38"/>
      <c r="K41" s="38"/>
      <c r="W41" s="60">
        <v>1.5420003407735401E-2</v>
      </c>
      <c r="X41" s="60">
        <v>1.71662622942266E-2</v>
      </c>
      <c r="Y41" s="60">
        <v>-1.4908488778080399E-3</v>
      </c>
      <c r="Z41" s="56">
        <f t="shared" si="6"/>
        <v>2.1606285900257205E-3</v>
      </c>
      <c r="AB41" t="s">
        <v>173</v>
      </c>
      <c r="AC41">
        <f>SUM(AC36:AC39)</f>
        <v>3.9556757714928397E-5</v>
      </c>
      <c r="AD41">
        <f>SUM(AD36:AD39)</f>
        <v>5.2781883396304727E-6</v>
      </c>
      <c r="AE41">
        <f>SUM(AE36:AE39)</f>
        <v>3.8583478977121865E-6</v>
      </c>
      <c r="AF41">
        <f>SUM(AF36:AF39)</f>
        <v>9.9287163336588216E-6</v>
      </c>
      <c r="AG41" s="63"/>
      <c r="AM41">
        <v>-1.8796556083841801E-2</v>
      </c>
      <c r="AN41">
        <v>-3.2067182550092901E-3</v>
      </c>
      <c r="AO41">
        <v>1.16239022556989E-2</v>
      </c>
      <c r="AP41" s="56">
        <f t="shared" si="7"/>
        <v>-1.0636947803294872E-2</v>
      </c>
      <c r="AR41" t="s">
        <v>173</v>
      </c>
      <c r="AS41">
        <f>SUM(AS36:AS39)</f>
        <v>2.3981093101506533E-3</v>
      </c>
      <c r="AT41">
        <f>SUM(AT36:AT39)</f>
        <v>1.0622246298782218E-4</v>
      </c>
      <c r="AU41">
        <f>SUM(AU36:AU39)</f>
        <v>1.0479991222857859E-4</v>
      </c>
      <c r="AV41">
        <f>SUM(AV36:AV39)</f>
        <v>2.8216741123215716E-4</v>
      </c>
      <c r="AW41" s="63"/>
      <c r="BC41">
        <v>3.3675051797994002E-2</v>
      </c>
      <c r="BD41">
        <v>1.02389260249252E-2</v>
      </c>
      <c r="BE41" s="56">
        <f t="shared" si="8"/>
        <v>1.958888127591675E-2</v>
      </c>
      <c r="BR41">
        <v>2.4724433557868901E-2</v>
      </c>
      <c r="BS41">
        <v>8.1972118953617095E-3</v>
      </c>
      <c r="BT41">
        <v>6.3454804920937103E-4</v>
      </c>
      <c r="BU41">
        <v>2.5829046521955099E-2</v>
      </c>
      <c r="BV41" s="56">
        <f t="shared" si="9"/>
        <v>-3.9475596151114746E-3</v>
      </c>
      <c r="BX41" t="s">
        <v>172</v>
      </c>
      <c r="BY41">
        <f>BR2*BW30*BY30</f>
        <v>4.6188467642552794E-7</v>
      </c>
      <c r="BZ41">
        <f>BS2*BW30*BZ30</f>
        <v>-9.8538649149134045E-7</v>
      </c>
      <c r="CA41">
        <f>BT2*BW30*CA30</f>
        <v>7.3550861846411531E-7</v>
      </c>
      <c r="CB41">
        <f>BU2*BW30*CB30</f>
        <v>7.9329967710274233E-7</v>
      </c>
      <c r="CC41">
        <f>BV2*BW30*CC30</f>
        <v>1.5626588501677179E-7</v>
      </c>
      <c r="CI41">
        <v>2.27536731834725E-2</v>
      </c>
      <c r="CJ41">
        <v>7.5626638461523399E-3</v>
      </c>
      <c r="CK41">
        <v>1.39291545299274E-2</v>
      </c>
      <c r="CL41" s="56">
        <f t="shared" si="10"/>
        <v>-1.0960052442475603E-3</v>
      </c>
      <c r="CN41" t="s">
        <v>173</v>
      </c>
      <c r="CO41">
        <f>SUM(CO36:CO39)</f>
        <v>3.832564810468579E-4</v>
      </c>
      <c r="CP41">
        <f>SUM(CP36:CP39)</f>
        <v>-1.0539351188622134E-5</v>
      </c>
      <c r="CQ41">
        <f>SUM(CQ36:CQ39)</f>
        <v>3.7577350522719733E-5</v>
      </c>
      <c r="CR41">
        <f>SUM(CR36:CR39)</f>
        <v>1.3740049448330954E-5</v>
      </c>
      <c r="CS41" s="63"/>
    </row>
    <row r="42" spans="1:97" x14ac:dyDescent="0.2">
      <c r="A42" s="1">
        <v>39171</v>
      </c>
      <c r="B42" s="38">
        <f>Data!B40</f>
        <v>2.6359508251192487E-3</v>
      </c>
      <c r="C42" s="38">
        <f>Data!C40</f>
        <v>5.6897205715009669E-3</v>
      </c>
      <c r="D42" s="38">
        <f>Data!D40</f>
        <v>5.7268659761530838E-2</v>
      </c>
      <c r="E42" s="38">
        <f>Data!E40</f>
        <v>-8.9686062517790877E-4</v>
      </c>
      <c r="F42" s="38">
        <f>Data!F40</f>
        <v>4.8289963084695575E-3</v>
      </c>
      <c r="G42" s="38">
        <f t="shared" si="5"/>
        <v>1.3905293368288541E-2</v>
      </c>
      <c r="H42" s="38"/>
      <c r="I42" s="38"/>
      <c r="J42" s="38"/>
      <c r="K42" s="38"/>
      <c r="W42" s="60">
        <v>3.05089658225732E-5</v>
      </c>
      <c r="X42" s="60">
        <v>9.7463387109184597E-3</v>
      </c>
      <c r="Y42" s="60">
        <v>2.2920381391797798E-3</v>
      </c>
      <c r="Z42" s="56">
        <f t="shared" si="6"/>
        <v>2.2669317029937876E-3</v>
      </c>
      <c r="AB42" t="s">
        <v>174</v>
      </c>
      <c r="AC42" s="63">
        <f>AC41/$AG$39</f>
        <v>0.67477654761393568</v>
      </c>
      <c r="AD42" s="63">
        <f>AD41/$AG$39</f>
        <v>9.0037655035813624E-2</v>
      </c>
      <c r="AE42" s="63">
        <f>AE41/$AG$39</f>
        <v>6.5817393141126126E-2</v>
      </c>
      <c r="AF42" s="63">
        <f>AF41/$AG$39</f>
        <v>0.16936840420912441</v>
      </c>
      <c r="AG42" s="63">
        <f>SUM(AC42:AF42)</f>
        <v>0.99999999999999978</v>
      </c>
      <c r="AM42">
        <v>5.4236959811313499E-3</v>
      </c>
      <c r="AN42">
        <v>-1.0037373126347501E-2</v>
      </c>
      <c r="AO42">
        <v>-4.7954754129397902E-4</v>
      </c>
      <c r="AP42" s="56">
        <f t="shared" si="7"/>
        <v>4.3394194365320889E-3</v>
      </c>
      <c r="AR42" t="s">
        <v>174</v>
      </c>
      <c r="AS42" s="63">
        <f>AS41/$AW$39</f>
        <v>0.82942277157397692</v>
      </c>
      <c r="AT42" s="63">
        <f>AT41/$AW$39</f>
        <v>3.6738662946618914E-2</v>
      </c>
      <c r="AU42" s="63">
        <f>AU41/$AW$39</f>
        <v>3.6246652015990248E-2</v>
      </c>
      <c r="AV42" s="63">
        <f>AV41/$AW$39</f>
        <v>9.7591913463413948E-2</v>
      </c>
      <c r="AW42" s="63">
        <f>SUM(AS42:AV42)</f>
        <v>1</v>
      </c>
      <c r="BC42">
        <v>9.7484943787062902E-3</v>
      </c>
      <c r="BD42">
        <v>1.3578598692956001E-2</v>
      </c>
      <c r="BE42" s="56">
        <f t="shared" si="8"/>
        <v>3.2373510804451777E-2</v>
      </c>
      <c r="BR42">
        <v>-8.30656607156211E-3</v>
      </c>
      <c r="BS42">
        <v>1.1549314300771701E-2</v>
      </c>
      <c r="BT42">
        <v>4.01458783040498E-3</v>
      </c>
      <c r="BU42">
        <v>-1.0966703826464899E-3</v>
      </c>
      <c r="BV42" s="56">
        <f t="shared" si="9"/>
        <v>-6.7827386403339369E-3</v>
      </c>
      <c r="BX42" t="s">
        <v>172</v>
      </c>
      <c r="BY42">
        <f>BR2*BW31*BY31</f>
        <v>7.2379330063483235E-7</v>
      </c>
      <c r="BZ42">
        <f>BS2*BW31*BZ31</f>
        <v>3.5567819795928799E-7</v>
      </c>
      <c r="CA42">
        <f>BT2*BW31*CA31</f>
        <v>1.6386422852704414E-6</v>
      </c>
      <c r="CB42">
        <f>BU2*BW31*CB31</f>
        <v>1.5626588501677179E-7</v>
      </c>
      <c r="CC42">
        <f>BV2*BW31*CC31</f>
        <v>7.0213567253584342E-5</v>
      </c>
      <c r="CD42" s="62">
        <f>SUM(BY38:CC42)</f>
        <v>1.9659456657905811E-4</v>
      </c>
      <c r="CI42">
        <v>3.0425055928411399E-3</v>
      </c>
      <c r="CJ42">
        <v>7.5347264703666799E-3</v>
      </c>
      <c r="CK42">
        <v>2.32254710500235E-3</v>
      </c>
      <c r="CL42" s="56">
        <f t="shared" si="10"/>
        <v>2.6206503215103968E-3</v>
      </c>
      <c r="CN42" t="s">
        <v>174</v>
      </c>
      <c r="CO42" s="63">
        <f>CO41/$CS$39</f>
        <v>0.90383318830462811</v>
      </c>
      <c r="CP42" s="63">
        <f>CP41/$CS$39</f>
        <v>-2.4854936207353698E-2</v>
      </c>
      <c r="CQ42" s="63">
        <f>CQ41/$CS$39</f>
        <v>8.8618609757672634E-2</v>
      </c>
      <c r="CR42" s="63">
        <f>CR41/$CS$39</f>
        <v>3.2403138145052975E-2</v>
      </c>
      <c r="CS42" s="63">
        <f>SUM(CO42:CR42)</f>
        <v>1</v>
      </c>
    </row>
    <row r="43" spans="1:97" x14ac:dyDescent="0.2">
      <c r="A43" s="1">
        <v>39202</v>
      </c>
      <c r="B43" s="38">
        <f>Data!B41</f>
        <v>4.9340167314715355E-3</v>
      </c>
      <c r="C43" s="38">
        <f>Data!C41</f>
        <v>5.4060849886849338E-2</v>
      </c>
      <c r="D43" s="38">
        <f>Data!D41</f>
        <v>9.0326301098141659E-2</v>
      </c>
      <c r="E43" s="38">
        <f>Data!E41</f>
        <v>1.6273215586270595E-2</v>
      </c>
      <c r="F43" s="38">
        <f>Data!F41</f>
        <v>7.9101067413001047E-3</v>
      </c>
      <c r="G43" s="38">
        <f t="shared" si="5"/>
        <v>3.4700898008806651E-2</v>
      </c>
      <c r="H43" s="38"/>
      <c r="I43" s="38"/>
      <c r="J43" s="38"/>
      <c r="K43" s="38"/>
      <c r="W43" s="60">
        <v>5.3922951957470202E-3</v>
      </c>
      <c r="X43" s="60">
        <v>8.6616373288628291E-3</v>
      </c>
      <c r="Y43" s="60">
        <v>7.8404704657482095E-3</v>
      </c>
      <c r="Z43" s="56">
        <f t="shared" si="6"/>
        <v>1.8209644391108601E-3</v>
      </c>
      <c r="AM43">
        <v>4.7079872963366999E-2</v>
      </c>
      <c r="AN43">
        <v>1.01274299633343E-2</v>
      </c>
      <c r="AO43">
        <v>-2.6332883781123601E-2</v>
      </c>
      <c r="AP43" s="56">
        <f t="shared" si="7"/>
        <v>2.2270056034286861E-3</v>
      </c>
      <c r="BC43">
        <v>1.15511551155114E-2</v>
      </c>
      <c r="BD43">
        <v>1.9871204607506202E-2</v>
      </c>
      <c r="BE43" s="56">
        <f t="shared" si="8"/>
        <v>5.5760550037346882E-2</v>
      </c>
      <c r="BR43">
        <v>2.20852980611339E-2</v>
      </c>
      <c r="BS43">
        <v>1.67607619123884E-2</v>
      </c>
      <c r="BT43">
        <v>2.5702188138221299E-3</v>
      </c>
      <c r="BU43">
        <v>-2.5716111725691399E-2</v>
      </c>
      <c r="BV43" s="56">
        <f t="shared" si="9"/>
        <v>8.0489574506715841E-3</v>
      </c>
      <c r="CI43">
        <v>7.8096584475386699E-3</v>
      </c>
      <c r="CJ43">
        <v>1.4190543098566301E-2</v>
      </c>
      <c r="CK43">
        <v>1.3232765661495199E-2</v>
      </c>
      <c r="CL43" s="56">
        <f t="shared" si="10"/>
        <v>4.6085732077355817E-4</v>
      </c>
    </row>
    <row r="44" spans="1:97" x14ac:dyDescent="0.2">
      <c r="A44" s="1">
        <v>39233</v>
      </c>
      <c r="B44" s="38">
        <f>Data!B42</f>
        <v>-5.7451891369024732E-3</v>
      </c>
      <c r="C44" s="38">
        <f>Data!C42</f>
        <v>3.9718511450381744E-2</v>
      </c>
      <c r="D44" s="38">
        <f>Data!D42</f>
        <v>-2.9418604411864502E-2</v>
      </c>
      <c r="E44" s="38">
        <f>Data!E42</f>
        <v>1.8107338955327679E-2</v>
      </c>
      <c r="F44" s="38">
        <f>Data!F42</f>
        <v>-1.449714742441377E-2</v>
      </c>
      <c r="G44" s="38">
        <f t="shared" si="5"/>
        <v>1.6329818865057355E-3</v>
      </c>
      <c r="H44" s="38"/>
      <c r="I44" s="38"/>
      <c r="J44" s="38"/>
      <c r="K44" s="38"/>
      <c r="W44" s="60">
        <v>-7.5785161583977701E-3</v>
      </c>
      <c r="X44" s="60">
        <v>-3.85293376983131E-3</v>
      </c>
      <c r="Y44" s="60">
        <v>1.4693511164106599E-2</v>
      </c>
      <c r="Z44" s="56">
        <f t="shared" si="6"/>
        <v>-1.1512933249019711E-5</v>
      </c>
      <c r="AM44">
        <v>3.5975204898190102E-2</v>
      </c>
      <c r="AN44">
        <v>-9.3881959599917395E-5</v>
      </c>
      <c r="AO44">
        <v>6.06042390152251E-3</v>
      </c>
      <c r="AP44" s="56">
        <f t="shared" si="7"/>
        <v>-9.0813044468376902E-4</v>
      </c>
      <c r="BC44">
        <v>1.29422175135296E-3</v>
      </c>
      <c r="BD44">
        <v>2.1749318823270501E-2</v>
      </c>
      <c r="BE44" s="56">
        <f t="shared" si="8"/>
        <v>-5.9450055767553051E-2</v>
      </c>
      <c r="BR44">
        <v>-2.6457366054978299E-2</v>
      </c>
      <c r="BS44">
        <v>2.14653475326003E-2</v>
      </c>
      <c r="BT44">
        <v>6.5919347317506798E-3</v>
      </c>
      <c r="BU44">
        <v>-1.25197713903116E-2</v>
      </c>
      <c r="BV44" s="56">
        <f t="shared" si="9"/>
        <v>9.1774298034063648E-3</v>
      </c>
      <c r="BX44" t="s">
        <v>173</v>
      </c>
      <c r="BY44">
        <f>SUM(BY38:BY42)</f>
        <v>3.3280507276634164E-5</v>
      </c>
      <c r="BZ44">
        <f>SUM(BZ38:BZ42)</f>
        <v>3.9674605722808771E-5</v>
      </c>
      <c r="CA44">
        <f>SUM(CA38:CA42)</f>
        <v>4.9389934291631668E-5</v>
      </c>
      <c r="CB44">
        <f>SUM(CB38:CB42)</f>
        <v>1.1615723655178169E-6</v>
      </c>
      <c r="CC44">
        <f>SUM(CC38:CC42)</f>
        <v>7.3087946922465678E-5</v>
      </c>
      <c r="CI44">
        <v>-1.6758026624902E-2</v>
      </c>
      <c r="CJ44">
        <v>1.4873412800849599E-2</v>
      </c>
      <c r="CK44">
        <v>7.1149950057087796E-3</v>
      </c>
      <c r="CL44" s="56">
        <f t="shared" si="10"/>
        <v>1.4437425751939979E-3</v>
      </c>
    </row>
    <row r="45" spans="1:97" x14ac:dyDescent="0.2">
      <c r="A45" s="1">
        <v>39262</v>
      </c>
      <c r="B45" s="38">
        <f>Data!B43</f>
        <v>-4.2011232476893978E-3</v>
      </c>
      <c r="C45" s="38">
        <f>Data!C43</f>
        <v>6.5389468853962462E-3</v>
      </c>
      <c r="D45" s="38">
        <f>Data!D43</f>
        <v>-4.967749596074833E-2</v>
      </c>
      <c r="E45" s="38">
        <f>Data!E43</f>
        <v>1.5065018810388242E-2</v>
      </c>
      <c r="F45" s="38">
        <f>Data!F43</f>
        <v>-1.6290516542215583E-3</v>
      </c>
      <c r="G45" s="38">
        <f t="shared" si="5"/>
        <v>-6.7807410333749598E-3</v>
      </c>
      <c r="H45" s="38"/>
      <c r="I45" s="38"/>
      <c r="J45" s="38"/>
      <c r="K45" s="38"/>
      <c r="W45" s="60">
        <v>-2.9582406494370601E-3</v>
      </c>
      <c r="X45" s="60">
        <v>-1.8884141871223802E-2</v>
      </c>
      <c r="Y45" s="60">
        <v>-1.3895784645628E-2</v>
      </c>
      <c r="Z45" s="56">
        <f t="shared" si="6"/>
        <v>-2.4221846961671057E-3</v>
      </c>
      <c r="AM45">
        <v>-1.49272645101458E-2</v>
      </c>
      <c r="AN45">
        <v>8.4383637363861803E-3</v>
      </c>
      <c r="AO45">
        <v>1.9844549717619201E-3</v>
      </c>
      <c r="AP45" s="56">
        <f t="shared" si="7"/>
        <v>1.8814824716675158E-2</v>
      </c>
      <c r="BC45">
        <v>-1.3968545972658101E-2</v>
      </c>
      <c r="BD45">
        <v>3.5466971581854502E-5</v>
      </c>
      <c r="BE45" s="56">
        <f t="shared" si="8"/>
        <v>-4.0122824516160803E-2</v>
      </c>
      <c r="BR45">
        <v>-1.64269492808479E-2</v>
      </c>
      <c r="BS45">
        <v>5.2586548845623398E-3</v>
      </c>
      <c r="BT45">
        <v>-3.6297874574997601E-4</v>
      </c>
      <c r="BU45">
        <v>2.5493860280509699E-2</v>
      </c>
      <c r="BV45" s="56">
        <f t="shared" si="9"/>
        <v>1.420506649353601E-2</v>
      </c>
      <c r="BX45" t="s">
        <v>174</v>
      </c>
      <c r="BY45" s="63">
        <f>BY44/$CD$42</f>
        <v>0.16928498002639769</v>
      </c>
      <c r="BZ45" s="63">
        <f>BZ44/$CD$42</f>
        <v>0.20180926875643895</v>
      </c>
      <c r="CA45" s="63">
        <f>CA44/$CD$42</f>
        <v>0.25122736172756893</v>
      </c>
      <c r="CB45" s="63">
        <f>CB44/$CD$42</f>
        <v>5.9084662701026618E-3</v>
      </c>
      <c r="CC45" s="63">
        <f>CC44/$CD$42</f>
        <v>0.3717699232194917</v>
      </c>
      <c r="CD45" s="39">
        <f>SUM(BY45:CC45)</f>
        <v>1</v>
      </c>
      <c r="CI45">
        <v>-2.3823704586062298E-3</v>
      </c>
      <c r="CJ45">
        <v>5.6216336303123197E-3</v>
      </c>
      <c r="CK45">
        <v>-1.6854025295065099E-2</v>
      </c>
      <c r="CL45" s="56">
        <f t="shared" si="10"/>
        <v>3.8895319914967934E-3</v>
      </c>
    </row>
    <row r="46" spans="1:97" x14ac:dyDescent="0.2">
      <c r="A46" s="1">
        <v>39294</v>
      </c>
      <c r="B46" s="38">
        <f>Data!B44</f>
        <v>6.7723598898659088E-3</v>
      </c>
      <c r="C46" s="38">
        <f>Data!C44</f>
        <v>-4.5589240939137854E-3</v>
      </c>
      <c r="D46" s="38">
        <f>Data!D44</f>
        <v>1.5794534943651461E-2</v>
      </c>
      <c r="E46" s="38">
        <f>Data!E44</f>
        <v>7.9307758838031983E-3</v>
      </c>
      <c r="F46" s="38">
        <f>Data!F44</f>
        <v>2.2829931019993754E-2</v>
      </c>
      <c r="G46" s="38">
        <f t="shared" si="5"/>
        <v>9.7537355286801079E-3</v>
      </c>
      <c r="H46" s="38"/>
      <c r="I46" s="38"/>
      <c r="J46" s="38"/>
      <c r="K46" s="38"/>
      <c r="W46" s="60">
        <v>8.3413833816337098E-3</v>
      </c>
      <c r="X46" s="60">
        <v>-9.0182942540581994E-3</v>
      </c>
      <c r="Y46" s="60">
        <v>-3.9741875194543301E-2</v>
      </c>
      <c r="Z46" s="56">
        <f t="shared" si="6"/>
        <v>-4.8850586079956897E-4</v>
      </c>
      <c r="AM46">
        <v>-1.5502960114456701E-2</v>
      </c>
      <c r="AN46">
        <v>3.07410803848778E-2</v>
      </c>
      <c r="AO46">
        <v>-3.73898644879175E-2</v>
      </c>
      <c r="AP46" s="56">
        <f t="shared" si="7"/>
        <v>5.1247125417968505E-3</v>
      </c>
      <c r="BC46">
        <v>2.0751214069487899E-2</v>
      </c>
      <c r="BD46">
        <v>-8.8229959797648805E-3</v>
      </c>
      <c r="BE46" s="56">
        <f t="shared" si="8"/>
        <v>1.3351711132616476E-2</v>
      </c>
      <c r="BR46">
        <v>2.2550604171476901E-2</v>
      </c>
      <c r="BS46">
        <v>1.91283438686418E-3</v>
      </c>
      <c r="BT46">
        <v>7.7167154955903898E-3</v>
      </c>
      <c r="BU46">
        <v>3.2678176144706701E-2</v>
      </c>
      <c r="BV46" s="56">
        <f t="shared" si="9"/>
        <v>-1.665223305099486E-3</v>
      </c>
      <c r="CI46">
        <v>2.3700104130510099E-2</v>
      </c>
      <c r="CJ46">
        <v>-5.8038811087262098E-3</v>
      </c>
      <c r="CK46">
        <v>-3.1400491812909603E-2</v>
      </c>
      <c r="CL46" s="56">
        <f t="shared" si="10"/>
        <v>5.5257620817431956E-3</v>
      </c>
    </row>
    <row r="47" spans="1:97" x14ac:dyDescent="0.2">
      <c r="A47" s="1">
        <v>39325</v>
      </c>
      <c r="B47" s="38">
        <f>Data!B45</f>
        <v>1.1770068297273228E-2</v>
      </c>
      <c r="C47" s="38">
        <f>Data!C45</f>
        <v>2.8394779024501826E-2</v>
      </c>
      <c r="D47" s="38">
        <f>Data!D45</f>
        <v>-7.4911261839076482E-2</v>
      </c>
      <c r="E47" s="38">
        <f>Data!E45</f>
        <v>-2.1109484891792651E-2</v>
      </c>
      <c r="F47" s="38">
        <f>Data!F45</f>
        <v>1.0194789634041967E-2</v>
      </c>
      <c r="G47" s="38">
        <f t="shared" si="5"/>
        <v>-9.1322219550104243E-3</v>
      </c>
      <c r="H47" s="38"/>
      <c r="I47" s="38"/>
      <c r="J47" s="38"/>
      <c r="K47" s="38"/>
      <c r="W47" s="60">
        <v>1.22565046151975E-2</v>
      </c>
      <c r="X47" s="60">
        <v>1.21164846593862E-2</v>
      </c>
      <c r="Y47" s="60">
        <v>-1.1101181794070901E-3</v>
      </c>
      <c r="Z47" s="56">
        <f t="shared" si="6"/>
        <v>3.7697555193011573E-3</v>
      </c>
      <c r="AM47">
        <v>1.59344125063479E-2</v>
      </c>
      <c r="AN47">
        <v>4.7294606771688397E-3</v>
      </c>
      <c r="AO47">
        <v>7.6756891187503796E-3</v>
      </c>
      <c r="AP47" s="56">
        <f t="shared" si="7"/>
        <v>7.3735263882193994E-3</v>
      </c>
      <c r="BC47">
        <v>-3.6310313108506902E-2</v>
      </c>
      <c r="BD47">
        <v>-1.6983800572715101E-2</v>
      </c>
      <c r="BE47" s="56">
        <f t="shared" si="8"/>
        <v>-2.7194500171501747E-2</v>
      </c>
      <c r="BR47">
        <v>1.3548095739876601E-2</v>
      </c>
      <c r="BS47">
        <v>-2.1834293319518801E-2</v>
      </c>
      <c r="BT47">
        <v>-1.49529083640688E-2</v>
      </c>
      <c r="BU47">
        <v>-3.1664313031336197E-2</v>
      </c>
      <c r="BV47" s="56">
        <f t="shared" si="9"/>
        <v>-3.0162123090579779E-3</v>
      </c>
      <c r="CI47">
        <v>1.33456301198935E-2</v>
      </c>
      <c r="CJ47">
        <v>-6.8813849554499899E-3</v>
      </c>
      <c r="CK47">
        <v>1.11463864357904E-2</v>
      </c>
      <c r="CL47" s="56">
        <f t="shared" si="10"/>
        <v>-4.5461476805262364E-3</v>
      </c>
    </row>
    <row r="48" spans="1:97" x14ac:dyDescent="0.2">
      <c r="A48" s="1">
        <v>39353</v>
      </c>
      <c r="B48" s="38">
        <f>Data!B46</f>
        <v>7.6803464512003039E-3</v>
      </c>
      <c r="C48" s="38">
        <f>Data!C46</f>
        <v>3.7853484747272459E-2</v>
      </c>
      <c r="D48" s="38">
        <f>Data!D46</f>
        <v>2.8791429527954548E-2</v>
      </c>
      <c r="E48" s="38">
        <f>Data!E46</f>
        <v>3.2292342383925199E-2</v>
      </c>
      <c r="F48" s="38">
        <f>Data!F46</f>
        <v>1.0064794230873364E-2</v>
      </c>
      <c r="G48" s="38">
        <f t="shared" si="5"/>
        <v>2.3336479468245179E-2</v>
      </c>
      <c r="H48" s="38"/>
      <c r="I48" s="38"/>
      <c r="J48" s="38"/>
      <c r="K48" s="38"/>
      <c r="W48" s="60">
        <v>7.5863415806631798E-3</v>
      </c>
      <c r="X48" s="60">
        <v>2.2709756974772701E-2</v>
      </c>
      <c r="Y48" s="60">
        <v>1.68532278990106E-2</v>
      </c>
      <c r="Z48" s="56">
        <f t="shared" si="6"/>
        <v>3.1554193757310596E-3</v>
      </c>
      <c r="AM48">
        <v>4.1890197461662802E-2</v>
      </c>
      <c r="AN48">
        <v>7.5423621526020702E-3</v>
      </c>
      <c r="AO48">
        <v>-2.0233866446087299E-2</v>
      </c>
      <c r="AP48" s="56">
        <f t="shared" si="7"/>
        <v>-8.1592875121804381E-3</v>
      </c>
      <c r="BC48">
        <v>8.0045742195005598E-2</v>
      </c>
      <c r="BD48">
        <v>1.5478596362732E-2</v>
      </c>
      <c r="BE48" s="56">
        <f t="shared" si="8"/>
        <v>-4.6972924830516113E-2</v>
      </c>
      <c r="BR48">
        <v>0.104411109460864</v>
      </c>
      <c r="BS48">
        <v>1.8790037969382799E-2</v>
      </c>
      <c r="BT48">
        <v>5.2881996361964197E-3</v>
      </c>
      <c r="BU48">
        <v>-5.6349190990199203E-3</v>
      </c>
      <c r="BV48" s="56">
        <f t="shared" si="9"/>
        <v>1.3383032138225878E-2</v>
      </c>
      <c r="CI48">
        <v>8.8736013705232892E-3</v>
      </c>
      <c r="CJ48">
        <v>1.3501838333186401E-2</v>
      </c>
      <c r="CK48">
        <v>2.4439569479673701E-2</v>
      </c>
      <c r="CL48" s="56">
        <f t="shared" si="10"/>
        <v>-2.0654227977871462E-4</v>
      </c>
    </row>
    <row r="49" spans="1:90" x14ac:dyDescent="0.2">
      <c r="A49" s="1">
        <v>39386</v>
      </c>
      <c r="B49" s="38">
        <f>Data!B47</f>
        <v>1.0102321154303651E-2</v>
      </c>
      <c r="C49" s="38">
        <f>Data!C47</f>
        <v>7.1336623042265623E-2</v>
      </c>
      <c r="D49" s="38">
        <f>Data!D47</f>
        <v>-1.8156305317648891E-2</v>
      </c>
      <c r="E49" s="38">
        <f>Data!E47</f>
        <v>3.2576309155573968E-2</v>
      </c>
      <c r="F49" s="38">
        <f>Data!F47</f>
        <v>1.4191868696696641E-2</v>
      </c>
      <c r="G49" s="38">
        <f t="shared" si="5"/>
        <v>2.2010163346238197E-2</v>
      </c>
      <c r="H49" s="38"/>
      <c r="I49" s="38"/>
      <c r="J49" s="38"/>
      <c r="K49" s="38"/>
      <c r="W49" s="60">
        <v>8.9828840648855691E-3</v>
      </c>
      <c r="X49" s="60">
        <v>2.3838231600100498E-2</v>
      </c>
      <c r="Y49" s="60">
        <v>-2.92841222094009E-3</v>
      </c>
      <c r="Z49" s="56">
        <f t="shared" si="6"/>
        <v>3.3072183544221338E-3</v>
      </c>
      <c r="AM49">
        <v>3.4034179353612998E-2</v>
      </c>
      <c r="AN49">
        <v>3.3923203075998602E-2</v>
      </c>
      <c r="AO49">
        <v>1.27838716916484E-2</v>
      </c>
      <c r="AP49" s="56">
        <f t="shared" si="7"/>
        <v>1.6295461662442751E-2</v>
      </c>
      <c r="BC49">
        <v>3.3336489654440103E-2</v>
      </c>
      <c r="BD49">
        <v>2.2589973291420502E-2</v>
      </c>
      <c r="BE49" s="56">
        <f t="shared" si="8"/>
        <v>-7.1340492590939053E-2</v>
      </c>
      <c r="BR49">
        <v>7.1543840774609901E-2</v>
      </c>
      <c r="BS49">
        <v>3.0656165055060799E-2</v>
      </c>
      <c r="BT49">
        <v>9.6536195957961403E-3</v>
      </c>
      <c r="BU49">
        <v>1.5021690124762E-2</v>
      </c>
      <c r="BV49" s="56">
        <f t="shared" si="9"/>
        <v>8.793024879075205E-3</v>
      </c>
      <c r="CI49">
        <v>1.3770413510394E-2</v>
      </c>
      <c r="CJ49">
        <v>2.10025454592646E-2</v>
      </c>
      <c r="CK49">
        <v>6.05447184394548E-3</v>
      </c>
      <c r="CL49" s="56">
        <f t="shared" si="10"/>
        <v>3.2925068549129813E-3</v>
      </c>
    </row>
    <row r="50" spans="1:90" x14ac:dyDescent="0.2">
      <c r="A50" s="1">
        <v>39416</v>
      </c>
      <c r="B50" s="38">
        <f>Data!B48</f>
        <v>1.7432646592709933E-2</v>
      </c>
      <c r="C50" s="38">
        <f>Data!C48</f>
        <v>-8.0204265545208764E-2</v>
      </c>
      <c r="D50" s="38">
        <f>Data!D48</f>
        <v>-7.5402067574619314E-2</v>
      </c>
      <c r="E50" s="38">
        <f>Data!E48</f>
        <v>-8.9239256490659669E-3</v>
      </c>
      <c r="F50" s="38">
        <f>Data!F48</f>
        <v>4.4004393161488187E-2</v>
      </c>
      <c r="G50" s="38">
        <f t="shared" si="5"/>
        <v>-2.0618643802939186E-2</v>
      </c>
      <c r="H50" s="38"/>
      <c r="I50" s="38"/>
      <c r="J50" s="38"/>
      <c r="K50" s="38"/>
      <c r="W50" s="60">
        <v>1.7983139882821401E-2</v>
      </c>
      <c r="X50" s="60">
        <v>-3.70470325572259E-3</v>
      </c>
      <c r="Y50" s="60">
        <v>-3.8446789715949399E-2</v>
      </c>
      <c r="Z50" s="56">
        <f t="shared" si="6"/>
        <v>4.2506436701855704E-3</v>
      </c>
      <c r="AM50">
        <v>-3.68370443720114E-2</v>
      </c>
      <c r="AN50">
        <v>1.20365507880299E-2</v>
      </c>
      <c r="AO50">
        <v>-2.9999415934236801E-2</v>
      </c>
      <c r="AP50" s="56">
        <f t="shared" si="7"/>
        <v>-3.9858932875880049E-2</v>
      </c>
      <c r="BC50">
        <v>-3.1361332870531E-2</v>
      </c>
      <c r="BD50">
        <v>-2.5234798615809701E-2</v>
      </c>
      <c r="BE50" s="56">
        <f t="shared" si="8"/>
        <v>-2.0031847685916981E-2</v>
      </c>
      <c r="BR50">
        <v>-1.6629016064256999E-2</v>
      </c>
      <c r="BS50">
        <v>-1.4675704327976101E-2</v>
      </c>
      <c r="BT50">
        <v>-9.3557817349954105E-3</v>
      </c>
      <c r="BU50">
        <v>1.2904033139819001E-2</v>
      </c>
      <c r="BV50" s="56">
        <f t="shared" si="9"/>
        <v>3.7407337606847058E-3</v>
      </c>
      <c r="CI50">
        <v>4.6900558776188601E-2</v>
      </c>
      <c r="CJ50">
        <v>-5.3199225929806398E-3</v>
      </c>
      <c r="CK50">
        <v>-2.0463649833128001E-2</v>
      </c>
      <c r="CL50" s="56">
        <f t="shared" si="10"/>
        <v>3.935458577265287E-3</v>
      </c>
    </row>
    <row r="51" spans="1:90" x14ac:dyDescent="0.2">
      <c r="A51" s="1">
        <v>39447</v>
      </c>
      <c r="B51" s="38">
        <f>Data!B49</f>
        <v>2.8346103112457666E-3</v>
      </c>
      <c r="C51" s="38">
        <f>Data!C49</f>
        <v>1.5131722185935059E-2</v>
      </c>
      <c r="D51" s="38">
        <f>Data!D49</f>
        <v>-4.563643389568528E-2</v>
      </c>
      <c r="E51" s="38">
        <f>Data!E49</f>
        <v>9.8463949227847181E-3</v>
      </c>
      <c r="F51" s="38">
        <f>Data!F49</f>
        <v>-2.008935644348564E-3</v>
      </c>
      <c r="G51" s="38">
        <f t="shared" si="5"/>
        <v>-3.9665284240136605E-3</v>
      </c>
      <c r="H51" s="38"/>
      <c r="I51" s="38"/>
      <c r="J51" s="38"/>
      <c r="K51" s="38"/>
      <c r="W51" s="60">
        <v>2.8087645065066899E-3</v>
      </c>
      <c r="X51" s="60">
        <v>6.2302994483847103E-3</v>
      </c>
      <c r="Y51" s="60">
        <v>1.2305996429651199E-4</v>
      </c>
      <c r="Z51" s="56">
        <f t="shared" si="6"/>
        <v>8.4654170489660997E-4</v>
      </c>
      <c r="AM51">
        <v>-3.6159777309874301E-3</v>
      </c>
      <c r="AN51">
        <v>6.0546061181483398E-3</v>
      </c>
      <c r="AO51">
        <v>6.3138124493357104E-3</v>
      </c>
      <c r="AP51" s="56">
        <f t="shared" si="7"/>
        <v>1.5276108966821121E-2</v>
      </c>
      <c r="BC51">
        <v>4.6323291221250298E-2</v>
      </c>
      <c r="BD51">
        <v>-2.68164478682709E-3</v>
      </c>
      <c r="BE51" s="56">
        <f t="shared" si="8"/>
        <v>-7.3886657078721121E-2</v>
      </c>
      <c r="BR51">
        <v>6.4003573479676001E-2</v>
      </c>
      <c r="BS51">
        <v>3.3379196444245402E-3</v>
      </c>
      <c r="BT51">
        <v>-3.0985504013767398E-3</v>
      </c>
      <c r="BU51">
        <v>1.2219170967191301E-2</v>
      </c>
      <c r="BV51" s="56">
        <f t="shared" si="9"/>
        <v>5.0349436024991132E-3</v>
      </c>
      <c r="CI51">
        <v>-4.6936913288584403E-3</v>
      </c>
      <c r="CJ51">
        <v>6.43647004580128E-3</v>
      </c>
      <c r="CK51">
        <v>2.9318244708031998E-3</v>
      </c>
      <c r="CL51" s="56">
        <f t="shared" si="10"/>
        <v>2.5863639995979681E-3</v>
      </c>
    </row>
    <row r="52" spans="1:90" x14ac:dyDescent="0.2">
      <c r="A52" s="1">
        <v>39478</v>
      </c>
      <c r="B52" s="38">
        <f>Data!B50</f>
        <v>1.8456845404679401E-2</v>
      </c>
      <c r="C52" s="38">
        <f>Data!C50</f>
        <v>-0.12504021447721181</v>
      </c>
      <c r="D52" s="38">
        <f>Data!D50</f>
        <v>9.2744481175928595E-2</v>
      </c>
      <c r="E52" s="38">
        <f>Data!E50</f>
        <v>1.0826494312505597E-2</v>
      </c>
      <c r="F52" s="38">
        <f>Data!F50</f>
        <v>4.5834973774114385E-2</v>
      </c>
      <c r="G52" s="38">
        <f t="shared" si="5"/>
        <v>8.5645160380032337E-3</v>
      </c>
      <c r="H52" s="38"/>
      <c r="I52" s="38"/>
      <c r="J52" s="38"/>
      <c r="K52" s="38"/>
      <c r="W52" s="60">
        <v>1.67981472099588E-2</v>
      </c>
      <c r="X52" s="60">
        <v>8.4432588531850906E-3</v>
      </c>
      <c r="Y52" s="60">
        <v>-3.0385269319711899E-2</v>
      </c>
      <c r="Z52" s="56">
        <f t="shared" si="6"/>
        <v>5.9053595806673759E-3</v>
      </c>
      <c r="AM52">
        <v>-7.7976795890217304E-2</v>
      </c>
      <c r="AN52">
        <v>-3.7924347016984598E-2</v>
      </c>
      <c r="AO52">
        <v>-8.2128785200686893E-3</v>
      </c>
      <c r="AP52" s="56">
        <f t="shared" si="7"/>
        <v>-2.0599380929640018E-2</v>
      </c>
      <c r="BC52">
        <v>4.2236773610235798E-2</v>
      </c>
      <c r="BD52">
        <v>-2.5282621069873699E-2</v>
      </c>
      <c r="BE52" s="56">
        <f t="shared" si="8"/>
        <v>9.7586307270014369E-2</v>
      </c>
      <c r="BR52">
        <v>0.11083123425692699</v>
      </c>
      <c r="BS52">
        <v>-2.8342341803256801E-2</v>
      </c>
      <c r="BT52">
        <v>-1.54230609839677E-2</v>
      </c>
      <c r="BU52">
        <v>1.5242318009432401E-2</v>
      </c>
      <c r="BV52" s="56">
        <f t="shared" si="9"/>
        <v>2.1025901586063826E-2</v>
      </c>
      <c r="CI52">
        <v>4.7007554112690003E-2</v>
      </c>
      <c r="CJ52">
        <v>-1.29192808192891E-2</v>
      </c>
      <c r="CK52">
        <v>-1.3587122109753101E-2</v>
      </c>
      <c r="CL52" s="56">
        <f t="shared" si="10"/>
        <v>3.649581125131203E-3</v>
      </c>
    </row>
    <row r="53" spans="1:90" x14ac:dyDescent="0.2">
      <c r="A53" s="1">
        <v>39507</v>
      </c>
      <c r="B53" s="38">
        <f>Data!B51</f>
        <v>1.6487366555373306E-4</v>
      </c>
      <c r="C53" s="38">
        <f>Data!C51</f>
        <v>-4.0446133104547144E-2</v>
      </c>
      <c r="D53" s="38">
        <f>Data!D51</f>
        <v>0.14480769746448785</v>
      </c>
      <c r="E53" s="38">
        <f>Data!E51</f>
        <v>4.2192467737109718E-2</v>
      </c>
      <c r="F53" s="38">
        <f>Data!F51</f>
        <v>1.8889347646573018E-2</v>
      </c>
      <c r="G53" s="38">
        <f t="shared" si="5"/>
        <v>3.3121650681835438E-2</v>
      </c>
      <c r="H53" s="38"/>
      <c r="I53" s="38"/>
      <c r="J53" s="38"/>
      <c r="K53" s="38"/>
      <c r="W53" s="60">
        <v>1.3879892662163099E-3</v>
      </c>
      <c r="X53" s="60">
        <v>-1.67451342037572E-3</v>
      </c>
      <c r="Y53" s="60">
        <v>-1.3260944017200099E-2</v>
      </c>
      <c r="Z53" s="56">
        <f t="shared" si="6"/>
        <v>-1.4981940575809736E-3</v>
      </c>
      <c r="AM53">
        <v>-1.9860994839332E-2</v>
      </c>
      <c r="AN53">
        <v>2.2037328694160099E-2</v>
      </c>
      <c r="AO53">
        <v>-4.5811369785929701E-3</v>
      </c>
      <c r="AP53" s="56">
        <f t="shared" si="7"/>
        <v>-2.774276031730771E-2</v>
      </c>
      <c r="BC53">
        <v>0.122839807994616</v>
      </c>
      <c r="BD53">
        <v>4.0779079798907202E-3</v>
      </c>
      <c r="BE53" s="56">
        <f t="shared" si="8"/>
        <v>5.4901758627883254E-2</v>
      </c>
      <c r="BR53">
        <v>5.16142965122557E-2</v>
      </c>
      <c r="BS53">
        <v>1.24068771589985E-2</v>
      </c>
      <c r="BT53">
        <v>1.33293003452024E-2</v>
      </c>
      <c r="BU53">
        <v>4.5575744098495602E-2</v>
      </c>
      <c r="BV53" s="56">
        <f t="shared" si="9"/>
        <v>2.2030281684357195E-2</v>
      </c>
      <c r="CI53">
        <v>1.8790070590211101E-2</v>
      </c>
      <c r="CJ53">
        <v>-9.2242318620394702E-4</v>
      </c>
      <c r="CK53">
        <v>-1.1872954750983799E-2</v>
      </c>
      <c r="CL53" s="56">
        <f t="shared" si="10"/>
        <v>3.5650713547212502E-3</v>
      </c>
    </row>
    <row r="54" spans="1:90" x14ac:dyDescent="0.2">
      <c r="A54" s="1">
        <v>39538</v>
      </c>
      <c r="B54" s="38">
        <f>Data!B52</f>
        <v>5.6185177553402799E-3</v>
      </c>
      <c r="C54" s="38">
        <f>Data!C52</f>
        <v>9.4520372972282107E-3</v>
      </c>
      <c r="D54" s="38">
        <f>Data!D52</f>
        <v>-4.6352863515858767E-2</v>
      </c>
      <c r="E54" s="38">
        <f>Data!E52</f>
        <v>-1.221171641582508E-2</v>
      </c>
      <c r="F54" s="38">
        <f>Data!F52</f>
        <v>6.793518744748539E-3</v>
      </c>
      <c r="G54" s="38">
        <f t="shared" si="5"/>
        <v>-7.3401012268733629E-3</v>
      </c>
      <c r="H54" s="38"/>
      <c r="I54" s="38"/>
      <c r="J54" s="38"/>
      <c r="K54" s="38"/>
      <c r="W54" s="60">
        <v>3.4118533471703101E-3</v>
      </c>
      <c r="X54" s="60">
        <v>-4.1325327564001302E-4</v>
      </c>
      <c r="Y54" s="60">
        <v>-8.60432201001393E-3</v>
      </c>
      <c r="Z54" s="56">
        <f t="shared" si="6"/>
        <v>3.0109502085445641E-3</v>
      </c>
      <c r="AM54">
        <v>-6.0885267919185103E-3</v>
      </c>
      <c r="AN54">
        <v>1.4310134315653801E-3</v>
      </c>
      <c r="AO54">
        <v>8.50696953109043E-3</v>
      </c>
      <c r="AP54" s="56">
        <f t="shared" si="7"/>
        <v>1.4027593773058481E-2</v>
      </c>
      <c r="BC54">
        <v>-6.3420230138012595E-2</v>
      </c>
      <c r="BD54">
        <v>-1.41338359233302E-2</v>
      </c>
      <c r="BE54" s="56">
        <f t="shared" si="8"/>
        <v>1.6181021500965009E-2</v>
      </c>
      <c r="BR54">
        <v>-5.8527569565663899E-2</v>
      </c>
      <c r="BS54">
        <v>-2.5935990429313799E-2</v>
      </c>
      <c r="BT54">
        <v>-6.0066705310083401E-3</v>
      </c>
      <c r="BU54">
        <v>-2.4109025855368699E-2</v>
      </c>
      <c r="BV54" s="56">
        <f t="shared" si="9"/>
        <v>6.5206283120234389E-3</v>
      </c>
      <c r="CI54">
        <v>7.0818861482309101E-3</v>
      </c>
      <c r="CJ54">
        <v>-1.99293198983055E-2</v>
      </c>
      <c r="CK54">
        <v>-5.1924686628436198E-3</v>
      </c>
      <c r="CL54" s="56">
        <f t="shared" si="10"/>
        <v>-1.2730280710868784E-3</v>
      </c>
    </row>
    <row r="55" spans="1:90" x14ac:dyDescent="0.2">
      <c r="A55" s="1">
        <v>39568</v>
      </c>
      <c r="B55" s="38">
        <f>Data!B53</f>
        <v>9.5623189989635371E-4</v>
      </c>
      <c r="C55" s="38">
        <f>Data!C53</f>
        <v>6.9214222447171903E-2</v>
      </c>
      <c r="D55" s="38">
        <f>Data!D53</f>
        <v>-1.4643393837627583E-2</v>
      </c>
      <c r="E55" s="38">
        <f>Data!E53</f>
        <v>-3.2812755284550299E-4</v>
      </c>
      <c r="F55" s="38">
        <f>Data!F53</f>
        <v>-2.8683551646374372E-2</v>
      </c>
      <c r="G55" s="38">
        <f t="shared" si="5"/>
        <v>5.3030762620441601E-3</v>
      </c>
      <c r="H55" s="38"/>
      <c r="I55" s="38"/>
      <c r="J55" s="38"/>
      <c r="K55" s="38"/>
      <c r="W55" s="60">
        <v>-2.08973832225889E-3</v>
      </c>
      <c r="X55" s="60">
        <v>1.01167315175097E-2</v>
      </c>
      <c r="Y55" s="60">
        <v>4.3746803771141901E-2</v>
      </c>
      <c r="Z55" s="56">
        <f t="shared" si="6"/>
        <v>4.7217965268307426E-3</v>
      </c>
      <c r="AM55">
        <v>5.2500067033054897E-2</v>
      </c>
      <c r="AN55">
        <v>3.7542386036695202E-3</v>
      </c>
      <c r="AO55">
        <v>-6.8327653463211603E-3</v>
      </c>
      <c r="AP55" s="56">
        <f t="shared" si="7"/>
        <v>1.089723150450659E-2</v>
      </c>
      <c r="BC55">
        <v>3.5635901871284903E-2</v>
      </c>
      <c r="BD55">
        <v>1.00005550063813E-2</v>
      </c>
      <c r="BE55" s="56">
        <f t="shared" si="8"/>
        <v>-5.2539745490528318E-2</v>
      </c>
      <c r="BR55">
        <v>-4.29163485658196E-2</v>
      </c>
      <c r="BS55">
        <v>9.7373502364541693E-3</v>
      </c>
      <c r="BT55">
        <v>-4.1186373351576001E-3</v>
      </c>
      <c r="BU55">
        <v>-2.4249927979682201E-2</v>
      </c>
      <c r="BV55" s="56">
        <f t="shared" si="9"/>
        <v>4.3816657865121122E-3</v>
      </c>
      <c r="CI55">
        <v>-3.33132639282646E-2</v>
      </c>
      <c r="CJ55">
        <v>1.38559875716118E-2</v>
      </c>
      <c r="CK55">
        <v>4.1657065448883E-2</v>
      </c>
      <c r="CL55" s="56">
        <f t="shared" si="10"/>
        <v>-3.2692222414514097E-3</v>
      </c>
    </row>
    <row r="56" spans="1:90" x14ac:dyDescent="0.2">
      <c r="A56" s="1">
        <v>39598</v>
      </c>
      <c r="B56" s="38">
        <f>Data!B54</f>
        <v>-5.302017086551869E-3</v>
      </c>
      <c r="C56" s="38">
        <f>Data!C54</f>
        <v>5.5621301775147902E-2</v>
      </c>
      <c r="D56" s="38">
        <f>Data!D54</f>
        <v>-6.7939604204954152E-2</v>
      </c>
      <c r="E56" s="38">
        <f>Data!E54</f>
        <v>1.20455535578603E-2</v>
      </c>
      <c r="F56" s="38">
        <f>Data!F54</f>
        <v>5.3625511118151614E-3</v>
      </c>
      <c r="G56" s="38">
        <f t="shared" si="5"/>
        <v>-4.2442969336530705E-5</v>
      </c>
      <c r="H56" s="38"/>
      <c r="I56" s="38"/>
      <c r="J56" s="38"/>
      <c r="K56" s="38"/>
      <c r="W56" s="60">
        <v>-7.3329500039042202E-3</v>
      </c>
      <c r="X56" s="60">
        <v>1.22785053929109E-3</v>
      </c>
      <c r="Y56" s="60">
        <v>1.16164593309275E-2</v>
      </c>
      <c r="Z56" s="56">
        <f t="shared" si="6"/>
        <v>-1.9542131932631483E-4</v>
      </c>
      <c r="AM56">
        <v>3.6653489461042903E-2</v>
      </c>
      <c r="AN56">
        <v>3.82398780861282E-2</v>
      </c>
      <c r="AO56">
        <v>3.2984151395984498E-2</v>
      </c>
      <c r="AP56" s="56">
        <f t="shared" si="7"/>
        <v>-7.774222071385839E-3</v>
      </c>
      <c r="BC56">
        <v>2.73399597395136E-2</v>
      </c>
      <c r="BD56">
        <v>1.5184348414409601E-2</v>
      </c>
      <c r="BE56" s="56">
        <f t="shared" si="8"/>
        <v>-0.10707893165989471</v>
      </c>
      <c r="BR56">
        <v>1.01988490684293E-2</v>
      </c>
      <c r="BS56">
        <v>1.84622815983875E-2</v>
      </c>
      <c r="BT56">
        <v>5.7464236497848402E-3</v>
      </c>
      <c r="BU56">
        <v>1.0866501792561999E-2</v>
      </c>
      <c r="BV56" s="56">
        <f t="shared" si="9"/>
        <v>6.1005945658653728E-4</v>
      </c>
      <c r="CI56">
        <v>7.1172010110416304E-3</v>
      </c>
      <c r="CJ56">
        <v>1.27158579486026E-2</v>
      </c>
      <c r="CK56">
        <v>4.2835093270232596E-3</v>
      </c>
      <c r="CL56" s="56">
        <f t="shared" si="10"/>
        <v>-2.2460240013032554E-4</v>
      </c>
    </row>
    <row r="57" spans="1:90" x14ac:dyDescent="0.2">
      <c r="A57" s="1">
        <v>39629</v>
      </c>
      <c r="B57" s="38">
        <f>Data!B55</f>
        <v>-5.6938622908531134E-4</v>
      </c>
      <c r="C57" s="38">
        <f>Data!C55</f>
        <v>-9.2488789237668123E-2</v>
      </c>
      <c r="D57" s="38">
        <f>Data!D55</f>
        <v>4.7934880916490785E-2</v>
      </c>
      <c r="E57" s="38">
        <f>Data!E55</f>
        <v>1.1923114538996415E-2</v>
      </c>
      <c r="F57" s="38">
        <f>Data!F55</f>
        <v>1.5995781332395875E-2</v>
      </c>
      <c r="G57" s="38">
        <f t="shared" si="5"/>
        <v>-3.4408797357740727E-3</v>
      </c>
      <c r="H57" s="38"/>
      <c r="I57" s="38"/>
      <c r="J57" s="38"/>
      <c r="K57" s="38"/>
      <c r="W57" s="60">
        <v>-8.0807791873460698E-4</v>
      </c>
      <c r="X57" s="60">
        <v>-1.9260826700651702E-2</v>
      </c>
      <c r="Y57" s="60">
        <v>-2.59865014228901E-2</v>
      </c>
      <c r="Z57" s="56">
        <f t="shared" si="6"/>
        <v>-8.9305619489823788E-4</v>
      </c>
      <c r="AM57">
        <v>-7.2021968817797002E-2</v>
      </c>
      <c r="AN57">
        <v>2.3699765745936099E-2</v>
      </c>
      <c r="AO57">
        <v>7.3160254268300803E-3</v>
      </c>
      <c r="AP57" s="56">
        <f t="shared" si="7"/>
        <v>-2.5173045722521784E-2</v>
      </c>
      <c r="BC57">
        <v>9.0990040622232204E-2</v>
      </c>
      <c r="BD57">
        <v>-1.5989686471403301E-2</v>
      </c>
      <c r="BE57" s="56">
        <f t="shared" si="8"/>
        <v>6.8114131200443448E-3</v>
      </c>
      <c r="BR57">
        <v>4.3880428652002298E-2</v>
      </c>
      <c r="BS57">
        <v>-8.0813378074526803E-3</v>
      </c>
      <c r="BT57">
        <v>-1.8010987760349599E-3</v>
      </c>
      <c r="BU57">
        <v>5.9907207281899202E-2</v>
      </c>
      <c r="BV57" s="56">
        <f t="shared" si="9"/>
        <v>9.767804900513875E-3</v>
      </c>
      <c r="CI57">
        <v>1.5442717245768499E-2</v>
      </c>
      <c r="CJ57">
        <v>-6.2802390314177199E-3</v>
      </c>
      <c r="CK57">
        <v>-2.67945793416247E-2</v>
      </c>
      <c r="CL57" s="56">
        <f t="shared" si="10"/>
        <v>5.414298396731989E-3</v>
      </c>
    </row>
    <row r="58" spans="1:90" x14ac:dyDescent="0.2">
      <c r="A58" s="1">
        <v>39660</v>
      </c>
      <c r="B58" s="38">
        <f>Data!B56</f>
        <v>-1.3933886112790228E-3</v>
      </c>
      <c r="C58" s="38">
        <f>Data!C56</f>
        <v>-1.2476837554045717E-2</v>
      </c>
      <c r="D58" s="38">
        <f>Data!D56</f>
        <v>-5.8785589665540705E-2</v>
      </c>
      <c r="E58" s="38">
        <f>Data!E56</f>
        <v>-2.6237454050332176E-2</v>
      </c>
      <c r="F58" s="38">
        <f>Data!F56</f>
        <v>-8.340293521059472E-3</v>
      </c>
      <c r="G58" s="38">
        <f t="shared" si="5"/>
        <v>-2.1446712680451417E-2</v>
      </c>
      <c r="H58" s="38"/>
      <c r="I58" s="38"/>
      <c r="J58" s="38"/>
      <c r="K58" s="38"/>
      <c r="W58" s="60">
        <v>-8.1588835212031995E-4</v>
      </c>
      <c r="X58" s="60">
        <v>1.1131270534006799E-2</v>
      </c>
      <c r="Y58" s="60">
        <v>-1.52110386685207E-2</v>
      </c>
      <c r="Z58" s="56">
        <f t="shared" si="6"/>
        <v>-2.5533367976513246E-3</v>
      </c>
      <c r="AM58">
        <v>-1.9012315578744301E-2</v>
      </c>
      <c r="AN58">
        <v>-1.5401811486000099E-2</v>
      </c>
      <c r="AO58">
        <v>4.5412567982266998E-2</v>
      </c>
      <c r="AP58" s="56">
        <f t="shared" si="7"/>
        <v>7.5124818254228877E-3</v>
      </c>
      <c r="BC58">
        <v>-0.118542414564656</v>
      </c>
      <c r="BD58">
        <v>-1.43163053221821E-2</v>
      </c>
      <c r="BE58" s="56">
        <f t="shared" si="8"/>
        <v>4.1884622733861954E-2</v>
      </c>
      <c r="BR58">
        <v>-1.22109358115409E-2</v>
      </c>
      <c r="BS58">
        <v>-2.6122942477532701E-2</v>
      </c>
      <c r="BT58">
        <v>-1.7971957154108702E-2</v>
      </c>
      <c r="BU58">
        <v>-2.00392483759309E-2</v>
      </c>
      <c r="BV58" s="56">
        <f t="shared" si="9"/>
        <v>-2.6695843467412425E-3</v>
      </c>
      <c r="CI58">
        <v>-9.2004044393724192E-3</v>
      </c>
      <c r="CJ58">
        <v>-8.1509853234239503E-3</v>
      </c>
      <c r="CK58">
        <v>-1.6026927020640999E-2</v>
      </c>
      <c r="CL58" s="56">
        <f t="shared" si="10"/>
        <v>1.5564596417086251E-3</v>
      </c>
    </row>
    <row r="59" spans="1:90" x14ac:dyDescent="0.2">
      <c r="A59" s="1">
        <v>39689</v>
      </c>
      <c r="B59" s="38">
        <f>Data!B57</f>
        <v>1.2509880743719393E-2</v>
      </c>
      <c r="C59" s="38">
        <f>Data!C57</f>
        <v>2.1391043282461997E-2</v>
      </c>
      <c r="D59" s="38">
        <f>Data!D57</f>
        <v>-6.2854029964060754E-2</v>
      </c>
      <c r="E59" s="38">
        <f>Data!E57</f>
        <v>-1.1787224054501944E-2</v>
      </c>
      <c r="F59" s="38">
        <f>Data!F57</f>
        <v>1.2032101647194704E-2</v>
      </c>
      <c r="G59" s="38">
        <f t="shared" si="5"/>
        <v>-5.7416456690373204E-3</v>
      </c>
      <c r="H59" s="38"/>
      <c r="I59" s="38"/>
      <c r="J59" s="38"/>
      <c r="K59" s="38"/>
      <c r="W59" s="60">
        <v>9.4906561803869104E-3</v>
      </c>
      <c r="X59" s="60">
        <v>8.0746847720660798E-3</v>
      </c>
      <c r="Y59" s="60">
        <v>-6.2633825818201299E-3</v>
      </c>
      <c r="Z59" s="56">
        <f t="shared" si="6"/>
        <v>6.006331695643091E-3</v>
      </c>
      <c r="AM59">
        <v>1.0767427405425301E-2</v>
      </c>
      <c r="AN59">
        <v>-6.22046026783618E-3</v>
      </c>
      <c r="AO59">
        <v>2.1679028818660101E-2</v>
      </c>
      <c r="AP59" s="56">
        <f t="shared" si="7"/>
        <v>8.5713088519834921E-3</v>
      </c>
      <c r="BC59">
        <v>-7.2841922156990702E-2</v>
      </c>
      <c r="BD59">
        <v>-5.0456983866700202E-3</v>
      </c>
      <c r="BE59" s="56">
        <f t="shared" si="8"/>
        <v>-6.0206705171477123E-3</v>
      </c>
      <c r="BR59">
        <v>-9.0744995077125107E-2</v>
      </c>
      <c r="BS59">
        <v>-1.38977807261679E-2</v>
      </c>
      <c r="BT59">
        <v>-1.2457661602195601E-2</v>
      </c>
      <c r="BU59">
        <v>-3.6208466341929098E-2</v>
      </c>
      <c r="BV59" s="56">
        <f t="shared" si="9"/>
        <v>1.1300774269809754E-2</v>
      </c>
      <c r="CI59">
        <v>1.31947221111555E-2</v>
      </c>
      <c r="CJ59">
        <v>-1.4401191239722399E-3</v>
      </c>
      <c r="CK59">
        <v>3.22727359856678E-3</v>
      </c>
      <c r="CL59" s="56">
        <f t="shared" si="10"/>
        <v>-6.5274717377868108E-4</v>
      </c>
    </row>
    <row r="60" spans="1:90" x14ac:dyDescent="0.2">
      <c r="A60" s="1">
        <v>39721</v>
      </c>
      <c r="B60" s="38">
        <f>Data!B58</f>
        <v>7.5218084925834372E-3</v>
      </c>
      <c r="C60" s="38">
        <f>Data!C58</f>
        <v>-0.12725045927740353</v>
      </c>
      <c r="D60" s="38">
        <f>Data!D58</f>
        <v>-0.1329293216233064</v>
      </c>
      <c r="E60" s="38">
        <f>Data!E58</f>
        <v>-1.2144327791636989E-2</v>
      </c>
      <c r="F60" s="38">
        <f>Data!F58</f>
        <v>-4.1338231622498833E-2</v>
      </c>
      <c r="G60" s="38">
        <f t="shared" si="5"/>
        <v>-6.1228106364452473E-2</v>
      </c>
      <c r="H60" s="38"/>
      <c r="I60" s="38"/>
      <c r="J60" s="38"/>
      <c r="K60" s="38"/>
      <c r="W60" s="60">
        <v>-1.34316285406141E-2</v>
      </c>
      <c r="X60" s="60">
        <v>-6.8433839270680599E-2</v>
      </c>
      <c r="Y60" s="60">
        <v>-6.9542294139341695E-2</v>
      </c>
      <c r="Z60" s="56">
        <f t="shared" si="6"/>
        <v>1.4241584066814153E-2</v>
      </c>
      <c r="AM60">
        <v>-0.115804624848029</v>
      </c>
      <c r="AN60">
        <v>-4.2334276305783798E-2</v>
      </c>
      <c r="AO60">
        <v>9.4270843044443903E-3</v>
      </c>
      <c r="AP60" s="56">
        <f t="shared" si="7"/>
        <v>1.776539906581065E-2</v>
      </c>
      <c r="BC60">
        <v>-0.115279212429117</v>
      </c>
      <c r="BD60">
        <v>-6.0063508319736503E-2</v>
      </c>
      <c r="BE60" s="56">
        <f t="shared" si="8"/>
        <v>2.6794121628353956E-2</v>
      </c>
      <c r="BR60">
        <v>4.7885459904951001E-2</v>
      </c>
      <c r="BS60">
        <v>-6.5295530508631502E-2</v>
      </c>
      <c r="BT60">
        <v>-6.3147057827476196E-3</v>
      </c>
      <c r="BU60">
        <v>7.7036919078825603E-3</v>
      </c>
      <c r="BV60" s="56">
        <f t="shared" si="9"/>
        <v>8.6549575341309977E-3</v>
      </c>
      <c r="CI60">
        <v>-4.6319311100378097E-2</v>
      </c>
      <c r="CJ60">
        <v>-5.8980824725883799E-2</v>
      </c>
      <c r="CK60">
        <v>-8.2973922679955694E-2</v>
      </c>
      <c r="CL60" s="56">
        <f t="shared" si="10"/>
        <v>6.6447209243578054E-3</v>
      </c>
    </row>
    <row r="61" spans="1:90" x14ac:dyDescent="0.2">
      <c r="A61" s="1">
        <v>39752</v>
      </c>
      <c r="B61" s="38">
        <f>Data!B59</f>
        <v>-1.2566284624662361E-2</v>
      </c>
      <c r="C61" s="38">
        <f>Data!C59</f>
        <v>-0.17793993825428023</v>
      </c>
      <c r="D61" s="38">
        <f>Data!D59</f>
        <v>-0.26884656103916593</v>
      </c>
      <c r="E61" s="38">
        <f>Data!E59</f>
        <v>1.6317118143144516E-2</v>
      </c>
      <c r="F61" s="38">
        <f>Data!F59</f>
        <v>-9.4290249770568213E-2</v>
      </c>
      <c r="G61" s="38">
        <f t="shared" si="5"/>
        <v>-0.10746518310910644</v>
      </c>
      <c r="H61" s="38"/>
      <c r="I61" s="38"/>
      <c r="J61" s="38"/>
      <c r="K61" s="38"/>
      <c r="W61" s="60">
        <v>-2.3604208769948998E-2</v>
      </c>
      <c r="X61" s="60">
        <v>-0.148910349101425</v>
      </c>
      <c r="Y61" s="60">
        <v>-0.13937960384583101</v>
      </c>
      <c r="Z61" s="56">
        <f t="shared" si="6"/>
        <v>-4.5395397382239425E-4</v>
      </c>
      <c r="AM61">
        <v>-0.17605926158179799</v>
      </c>
      <c r="AN61">
        <v>-2.9459230305323202E-3</v>
      </c>
      <c r="AO61">
        <v>-4.0081752802784601E-2</v>
      </c>
      <c r="AP61" s="56">
        <f t="shared" si="7"/>
        <v>2.4238104851218384E-2</v>
      </c>
      <c r="BC61">
        <v>-0.21283224323004199</v>
      </c>
      <c r="BD61">
        <v>-8.1909506896957196E-2</v>
      </c>
      <c r="BE61" s="56">
        <f t="shared" si="8"/>
        <v>-1.2792339368641825E-2</v>
      </c>
      <c r="BR61">
        <v>-0.16889603306734</v>
      </c>
      <c r="BS61">
        <v>-5.71962731304606E-2</v>
      </c>
      <c r="BT61">
        <v>2.3115465795631999E-2</v>
      </c>
      <c r="BU61">
        <v>7.3364066075285894E-2</v>
      </c>
      <c r="BV61" s="56">
        <f t="shared" si="9"/>
        <v>2.9142761203421949E-2</v>
      </c>
      <c r="CI61">
        <v>-7.6398581963264295E-2</v>
      </c>
      <c r="CJ61">
        <v>-8.0311738926092599E-2</v>
      </c>
      <c r="CK61">
        <v>-0.16298381261577999</v>
      </c>
      <c r="CL61" s="56">
        <f t="shared" si="10"/>
        <v>-8.9373122916824865E-3</v>
      </c>
    </row>
    <row r="62" spans="1:90" x14ac:dyDescent="0.2">
      <c r="A62" s="1">
        <v>39780</v>
      </c>
      <c r="B62" s="38">
        <f>Data!B60</f>
        <v>3.9284057100745118E-2</v>
      </c>
      <c r="C62" s="38">
        <f>Data!C60</f>
        <v>-0.11283714578354387</v>
      </c>
      <c r="D62" s="38">
        <f>Data!D60</f>
        <v>-0.10498954460966547</v>
      </c>
      <c r="E62" s="38">
        <f>Data!E60</f>
        <v>7.3284540037825696E-3</v>
      </c>
      <c r="F62" s="38">
        <f>Data!F60</f>
        <v>1.5157946625405705E-2</v>
      </c>
      <c r="G62" s="38">
        <f t="shared" si="5"/>
        <v>-3.1211246532655192E-2</v>
      </c>
      <c r="H62" s="38"/>
      <c r="I62" s="38"/>
      <c r="J62" s="38"/>
      <c r="K62" s="38"/>
      <c r="W62" s="60">
        <v>3.2549848631050302E-2</v>
      </c>
      <c r="X62" s="60">
        <v>2.4786869330420701E-2</v>
      </c>
      <c r="Y62" s="60">
        <v>-0.11687285675966</v>
      </c>
      <c r="Z62" s="56">
        <f t="shared" si="6"/>
        <v>1.0473609873009999E-2</v>
      </c>
      <c r="AM62">
        <v>-7.9529317520706203E-2</v>
      </c>
      <c r="AN62">
        <v>-7.8204886478645506E-3</v>
      </c>
      <c r="AO62">
        <v>-4.6531929123046302E-2</v>
      </c>
      <c r="AP62" s="56">
        <f t="shared" si="7"/>
        <v>-1.3624017581786177E-2</v>
      </c>
      <c r="BC62">
        <v>-6.95826554163987E-2</v>
      </c>
      <c r="BD62">
        <v>-3.65664475743235E-2</v>
      </c>
      <c r="BE62" s="56">
        <f t="shared" si="8"/>
        <v>-8.1621902168670657E-3</v>
      </c>
      <c r="BR62">
        <v>0.130137459418388</v>
      </c>
      <c r="BS62">
        <v>-2.64230823147962E-2</v>
      </c>
      <c r="BT62">
        <v>1.6013293299830299E-3</v>
      </c>
      <c r="BU62">
        <v>3.4038239747914603E-2</v>
      </c>
      <c r="BV62" s="56">
        <f t="shared" si="9"/>
        <v>1.7102288004965296E-3</v>
      </c>
      <c r="CI62">
        <v>4.6875835874391501E-2</v>
      </c>
      <c r="CJ62">
        <v>-2.8024411644779201E-2</v>
      </c>
      <c r="CK62">
        <v>-8.4323008128609503E-2</v>
      </c>
      <c r="CL62" s="56">
        <f t="shared" si="10"/>
        <v>-1.7589915646034654E-2</v>
      </c>
    </row>
    <row r="63" spans="1:90" x14ac:dyDescent="0.2">
      <c r="A63" s="1">
        <v>39813</v>
      </c>
      <c r="B63" s="38">
        <f>Data!B61</f>
        <v>1.6696759791208438E-2</v>
      </c>
      <c r="C63" s="38">
        <f>Data!C61</f>
        <v>1.7317683278814666E-2</v>
      </c>
      <c r="D63" s="38">
        <f>Data!D61</f>
        <v>-9.9717688288931461E-2</v>
      </c>
      <c r="E63" s="38">
        <f>Data!E61</f>
        <v>1.1127579298419121E-2</v>
      </c>
      <c r="F63" s="38">
        <f>Data!F61</f>
        <v>6.1945291213682641E-2</v>
      </c>
      <c r="G63" s="38">
        <f t="shared" si="5"/>
        <v>1.4739250586386799E-3</v>
      </c>
      <c r="H63" s="38"/>
      <c r="I63" s="38"/>
      <c r="J63" s="38"/>
      <c r="K63" s="38"/>
      <c r="W63" s="60">
        <v>3.7309173919246597E-2</v>
      </c>
      <c r="X63" s="60">
        <v>7.7683699449345694E-2</v>
      </c>
      <c r="Y63" s="60">
        <v>3.7434915801340299E-2</v>
      </c>
      <c r="Z63" s="56">
        <f t="shared" si="6"/>
        <v>-6.9464034403451877E-3</v>
      </c>
      <c r="AM63">
        <v>1.8073274640504299E-2</v>
      </c>
      <c r="AN63">
        <v>4.1926088948296397E-3</v>
      </c>
      <c r="AO63">
        <v>4.74007748221719E-2</v>
      </c>
      <c r="AP63" s="56">
        <f t="shared" si="7"/>
        <v>-1.2735096076374353E-2</v>
      </c>
      <c r="BC63">
        <v>-4.4839365595770703E-2</v>
      </c>
      <c r="BD63">
        <v>-1.49884313072153E-2</v>
      </c>
      <c r="BE63" s="56">
        <f t="shared" si="8"/>
        <v>-4.8811508163507086E-2</v>
      </c>
      <c r="BR63">
        <v>7.8234826722082901E-2</v>
      </c>
      <c r="BS63">
        <v>-1.7190822580770201E-2</v>
      </c>
      <c r="BT63">
        <v>-1.4831622188643499E-2</v>
      </c>
      <c r="BU63">
        <v>-8.44601693643998E-3</v>
      </c>
      <c r="BV63" s="56">
        <f t="shared" si="9"/>
        <v>2.1112060456591732E-2</v>
      </c>
      <c r="CI63">
        <v>3.4186287159702101E-2</v>
      </c>
      <c r="CJ63">
        <v>-2.3592003921266702E-3</v>
      </c>
      <c r="CK63">
        <v>7.4744089720586895E-2</v>
      </c>
      <c r="CL63" s="56">
        <f t="shared" si="10"/>
        <v>1.8763715360402389E-2</v>
      </c>
    </row>
    <row r="64" spans="1:90" x14ac:dyDescent="0.2">
      <c r="A64" s="1">
        <v>39843</v>
      </c>
      <c r="B64" s="38">
        <f>Data!B62</f>
        <v>1.8921781359786394E-3</v>
      </c>
      <c r="C64" s="38">
        <f>Data!C62</f>
        <v>-3.0641195384906283E-2</v>
      </c>
      <c r="D64" s="38">
        <f>Data!D62</f>
        <v>-5.6099645740649295E-2</v>
      </c>
      <c r="E64" s="38">
        <f>Data!E62</f>
        <v>-9.9477657619539972E-4</v>
      </c>
      <c r="F64" s="38">
        <f>Data!F62</f>
        <v>1.1437752840385729E-2</v>
      </c>
      <c r="G64" s="38">
        <f t="shared" si="5"/>
        <v>-1.4881137345077322E-2</v>
      </c>
      <c r="H64" s="38"/>
      <c r="I64" s="38"/>
      <c r="J64" s="38"/>
      <c r="K64" s="38"/>
      <c r="W64" s="60">
        <v>-8.8233271439377408E-3</v>
      </c>
      <c r="X64" s="60">
        <v>8.5160156035384293E-3</v>
      </c>
      <c r="Y64" s="60">
        <v>6.1902581555519899E-2</v>
      </c>
      <c r="Z64" s="56">
        <f t="shared" si="6"/>
        <v>1.1012619203329452E-2</v>
      </c>
      <c r="AM64">
        <v>-4.8104662647895202E-2</v>
      </c>
      <c r="AN64">
        <v>6.6884874725580107E-2</v>
      </c>
      <c r="AO64">
        <v>-2.6935101076665899E-2</v>
      </c>
      <c r="AP64" s="56">
        <f t="shared" si="7"/>
        <v>-3.2220543967475257E-3</v>
      </c>
      <c r="BC64">
        <v>-5.3752224597017999E-2</v>
      </c>
      <c r="BD64">
        <v>3.6957216704314199E-3</v>
      </c>
      <c r="BE64" s="56">
        <f t="shared" si="8"/>
        <v>-2.4101415056464168E-2</v>
      </c>
      <c r="BR64">
        <v>5.1924494076299503E-2</v>
      </c>
      <c r="BS64">
        <v>1.11361601112237E-2</v>
      </c>
      <c r="BT64">
        <v>-9.4108660552010299E-3</v>
      </c>
      <c r="BU64">
        <v>7.5474662323863004E-2</v>
      </c>
      <c r="BV64" s="56">
        <f t="shared" si="9"/>
        <v>-4.7428341327546046E-3</v>
      </c>
      <c r="CI64">
        <v>1.0796388027621E-2</v>
      </c>
      <c r="CJ64">
        <v>2.05470261664247E-2</v>
      </c>
      <c r="CK64">
        <v>5.3079254411582101E-2</v>
      </c>
      <c r="CL64" s="56">
        <f t="shared" si="10"/>
        <v>-4.2405029237983782E-3</v>
      </c>
    </row>
    <row r="65" spans="1:90" x14ac:dyDescent="0.2">
      <c r="A65" s="1">
        <v>39871</v>
      </c>
      <c r="B65" s="38">
        <f>Data!B63</f>
        <v>5.7624999194281212E-3</v>
      </c>
      <c r="C65" s="38">
        <f>Data!C63</f>
        <v>-4.1365853658536511E-2</v>
      </c>
      <c r="D65" s="38">
        <f>Data!D63</f>
        <v>-1.4510700277666766E-3</v>
      </c>
      <c r="E65" s="38">
        <f>Data!E63</f>
        <v>-1.2248652649369252E-3</v>
      </c>
      <c r="F65" s="38">
        <f>Data!F63</f>
        <v>-3.5237533121523001E-2</v>
      </c>
      <c r="G65" s="38">
        <f t="shared" si="5"/>
        <v>-1.4703364430666999E-2</v>
      </c>
      <c r="H65" s="38"/>
      <c r="I65" s="38"/>
      <c r="J65" s="38"/>
      <c r="K65" s="38"/>
      <c r="W65" s="60">
        <v>-3.77444892351886E-3</v>
      </c>
      <c r="X65" s="60">
        <v>-1.1930703857049399E-2</v>
      </c>
      <c r="Y65" s="60">
        <v>-3.0892258503532801E-2</v>
      </c>
      <c r="Z65" s="56">
        <f t="shared" si="6"/>
        <v>6.4760466416455224E-3</v>
      </c>
      <c r="AM65">
        <v>-7.5228636117543699E-2</v>
      </c>
      <c r="AN65">
        <v>5.8381002966660801E-2</v>
      </c>
      <c r="AO65">
        <v>-1.50455863969647E-2</v>
      </c>
      <c r="AP65" s="56">
        <f t="shared" si="7"/>
        <v>1.7694586316934338E-2</v>
      </c>
      <c r="BC65">
        <v>-4.4333157854478597E-2</v>
      </c>
      <c r="BD65">
        <v>-1.4119806964453601E-2</v>
      </c>
      <c r="BE65" s="56">
        <f t="shared" si="8"/>
        <v>4.7943270497880074E-2</v>
      </c>
      <c r="BR65">
        <v>1.5595193188554299E-2</v>
      </c>
      <c r="BS65">
        <v>-2.1065470394521198E-3</v>
      </c>
      <c r="BT65">
        <v>-7.29002447808225E-3</v>
      </c>
      <c r="BU65">
        <v>8.4438320359566901E-2</v>
      </c>
      <c r="BV65" s="56">
        <f t="shared" si="9"/>
        <v>4.7782643381673881E-4</v>
      </c>
      <c r="CI65">
        <v>-3.9271878475319898E-2</v>
      </c>
      <c r="CJ65">
        <v>5.1834774386301198E-3</v>
      </c>
      <c r="CK65">
        <v>-3.4666707427051698E-2</v>
      </c>
      <c r="CL65" s="56">
        <f t="shared" si="10"/>
        <v>6.5852506390209758E-3</v>
      </c>
    </row>
    <row r="66" spans="1:90" x14ac:dyDescent="0.2">
      <c r="A66" s="1">
        <v>39903</v>
      </c>
      <c r="B66" s="38">
        <f>Data!B64</f>
        <v>1.4176306597878829E-2</v>
      </c>
      <c r="C66" s="38">
        <f>Data!C64</f>
        <v>0.1213108080602483</v>
      </c>
      <c r="D66" s="38">
        <f>Data!D64</f>
        <v>0.11037056056641181</v>
      </c>
      <c r="E66" s="38">
        <f>Data!E64</f>
        <v>-6.1455318507339651E-3</v>
      </c>
      <c r="F66" s="38">
        <f>Data!F64</f>
        <v>7.2092417832736677E-2</v>
      </c>
      <c r="G66" s="38">
        <f t="shared" si="5"/>
        <v>6.2360912241308325E-2</v>
      </c>
      <c r="H66" s="38"/>
      <c r="I66" s="38"/>
      <c r="J66" s="38"/>
      <c r="K66" s="38"/>
      <c r="W66" s="60">
        <v>1.39013671534931E-2</v>
      </c>
      <c r="X66" s="60">
        <v>3.73821469923361E-2</v>
      </c>
      <c r="Y66" s="60">
        <v>1.9135266073148999E-2</v>
      </c>
      <c r="Z66" s="56">
        <f t="shared" si="6"/>
        <v>5.286673773466732E-3</v>
      </c>
      <c r="AM66">
        <v>8.9196058338934403E-2</v>
      </c>
      <c r="AN66">
        <v>3.6943077386530901E-3</v>
      </c>
      <c r="AO66">
        <v>1.67156365339261E-3</v>
      </c>
      <c r="AP66" s="56">
        <f t="shared" si="7"/>
        <v>2.113247633829482E-2</v>
      </c>
      <c r="BC66">
        <v>3.60317520103959E-2</v>
      </c>
      <c r="BD66">
        <v>1.2767254166768299E-2</v>
      </c>
      <c r="BE66" s="56">
        <f t="shared" si="8"/>
        <v>6.8495011626887495E-2</v>
      </c>
      <c r="BR66">
        <v>-2.4376008150097699E-2</v>
      </c>
      <c r="BS66">
        <v>3.4840468824759397E-4</v>
      </c>
      <c r="BT66">
        <v>-9.6086353601596598E-3</v>
      </c>
      <c r="BU66">
        <v>-5.85957749845245E-2</v>
      </c>
      <c r="BV66" s="56">
        <f t="shared" si="9"/>
        <v>5.269081322528079E-3</v>
      </c>
      <c r="CI66">
        <v>6.6101878176140202E-2</v>
      </c>
      <c r="CJ66">
        <v>9.9570400484072508E-3</v>
      </c>
      <c r="CK66">
        <v>3.3036633226642097E-2</v>
      </c>
      <c r="CL66" s="56">
        <f t="shared" si="10"/>
        <v>7.9888480528400446E-3</v>
      </c>
    </row>
    <row r="67" spans="1:90" x14ac:dyDescent="0.2">
      <c r="A67" s="1">
        <v>39933</v>
      </c>
      <c r="B67" s="38">
        <f>Data!B65</f>
        <v>2.8436558039015569E-3</v>
      </c>
      <c r="C67" s="38">
        <f>Data!C65</f>
        <v>0.12071156289707741</v>
      </c>
      <c r="D67" s="38">
        <f>Data!D65</f>
        <v>9.6127921279212769E-2</v>
      </c>
      <c r="E67" s="38">
        <f>Data!E65</f>
        <v>-8.9184079217896617E-4</v>
      </c>
      <c r="F67" s="38">
        <f>Data!F65</f>
        <v>-8.4260625155561097E-3</v>
      </c>
      <c r="G67" s="38">
        <f t="shared" si="5"/>
        <v>4.207304733449134E-2</v>
      </c>
      <c r="H67" s="38"/>
      <c r="I67" s="38"/>
      <c r="J67" s="38"/>
      <c r="K67" s="38"/>
      <c r="W67" s="60">
        <v>4.7809093344506302E-3</v>
      </c>
      <c r="X67" s="60">
        <v>5.38665958012223E-2</v>
      </c>
      <c r="Y67" s="60">
        <v>0.10987892556449599</v>
      </c>
      <c r="Z67" s="56">
        <f t="shared" si="6"/>
        <v>4.8464109726684603E-3</v>
      </c>
      <c r="AM67">
        <v>9.6005988740762493E-2</v>
      </c>
      <c r="AN67">
        <v>-1.1185677783797299E-2</v>
      </c>
      <c r="AO67">
        <v>5.8873252998914001E-2</v>
      </c>
      <c r="AP67" s="56">
        <f t="shared" si="7"/>
        <v>9.7994928022345218E-3</v>
      </c>
      <c r="BC67">
        <v>7.3301855495822004E-3</v>
      </c>
      <c r="BD67">
        <v>3.1902162062693799E-2</v>
      </c>
      <c r="BE67" s="56">
        <f t="shared" si="8"/>
        <v>4.8343521042585706E-2</v>
      </c>
      <c r="BR67">
        <v>-3.3882634470006001E-2</v>
      </c>
      <c r="BS67">
        <v>7.9822961908986301E-3</v>
      </c>
      <c r="BT67">
        <v>-2.3014830486682399E-2</v>
      </c>
      <c r="BU67">
        <v>-4.1266514243392297E-2</v>
      </c>
      <c r="BV67" s="56">
        <f t="shared" si="9"/>
        <v>1.8427375887040943E-2</v>
      </c>
      <c r="CI67">
        <v>-1.30533349242334E-2</v>
      </c>
      <c r="CJ67">
        <v>3.0997126677581002E-2</v>
      </c>
      <c r="CK67">
        <v>0.114659834898947</v>
      </c>
      <c r="CL67" s="56">
        <f t="shared" si="10"/>
        <v>-1.0860422315367775E-2</v>
      </c>
    </row>
    <row r="68" spans="1:90" x14ac:dyDescent="0.2">
      <c r="A68" s="1">
        <v>39962</v>
      </c>
      <c r="B68" s="38">
        <f>Data!B66</f>
        <v>2.9238107840727778E-3</v>
      </c>
      <c r="C68" s="38">
        <f>Data!C66</f>
        <v>2.5591188856495029E-2</v>
      </c>
      <c r="D68" s="38">
        <f>Data!D66</f>
        <v>5.6807368439951711E-2</v>
      </c>
      <c r="E68" s="38">
        <f>Data!E66</f>
        <v>3.5352452713481419E-2</v>
      </c>
      <c r="F68" s="38">
        <f>Data!F66</f>
        <v>6.9977164057573038E-3</v>
      </c>
      <c r="G68" s="38">
        <f t="shared" si="5"/>
        <v>2.5534507439951649E-2</v>
      </c>
      <c r="H68" s="38"/>
      <c r="I68" s="38"/>
      <c r="J68" s="38"/>
      <c r="K68" s="38"/>
      <c r="W68" s="60">
        <v>7.2534609468466503E-3</v>
      </c>
      <c r="X68" s="60">
        <v>3.7849559976800999E-2</v>
      </c>
      <c r="Y68" s="60">
        <v>6.3876517405155403E-2</v>
      </c>
      <c r="Z68" s="56">
        <f t="shared" ref="Z68:Z99" si="11">B68-SUMPRODUCT(W68:Y68, W$2:Y$2)</f>
        <v>1.0852129328845902E-3</v>
      </c>
      <c r="AM68">
        <v>4.9571774959488203E-2</v>
      </c>
      <c r="AN68">
        <v>-1.2264569074484E-2</v>
      </c>
      <c r="AO68">
        <v>-2.57841460729198E-2</v>
      </c>
      <c r="AP68" s="56">
        <f t="shared" ref="AP68:AP99" si="12">C68-SUMPRODUCT(AM68:AO68, AM$2:AO$2)</f>
        <v>-1.8957625679453055E-2</v>
      </c>
      <c r="BC68">
        <v>0.13004484304932701</v>
      </c>
      <c r="BD68">
        <v>4.7429671110515298E-2</v>
      </c>
      <c r="BE68" s="56">
        <f t="shared" ref="BE68:BE99" si="13">D68-SUMPRODUCT(BC68:BD68, BC$2:BD$2)</f>
        <v>-9.6138192880861867E-2</v>
      </c>
      <c r="BR68">
        <v>0.102420625985138</v>
      </c>
      <c r="BS68">
        <v>2.8634142135389298E-2</v>
      </c>
      <c r="BT68">
        <v>-1.06949387370421E-2</v>
      </c>
      <c r="BU68">
        <v>7.8112778279792999E-3</v>
      </c>
      <c r="BV68" s="56">
        <f t="shared" ref="BV68:BV99" si="14">E68-SUMPRODUCT(BR68:BU68, BR$2:BU$2)</f>
        <v>2.5071303319395076E-2</v>
      </c>
      <c r="CI68">
        <v>3.2823153924270701E-3</v>
      </c>
      <c r="CJ68">
        <v>3.93290808724314E-2</v>
      </c>
      <c r="CK68">
        <v>7.1129978352002105E-2</v>
      </c>
      <c r="CL68" s="56">
        <f t="shared" ref="CL68:CL99" si="15">F68-SUMPRODUCT(CI68:CK68, CI$2:CK$2)</f>
        <v>-2.3927513012799301E-3</v>
      </c>
    </row>
    <row r="69" spans="1:90" x14ac:dyDescent="0.2">
      <c r="A69" s="1">
        <v>39994</v>
      </c>
      <c r="B69" s="38">
        <f>Data!B67</f>
        <v>1.2503062936273235E-3</v>
      </c>
      <c r="C69" s="38">
        <f>Data!C67</f>
        <v>4.0587492103600686E-2</v>
      </c>
      <c r="D69" s="38">
        <f>Data!D67</f>
        <v>5.7130357961978406E-2</v>
      </c>
      <c r="E69" s="38">
        <f>Data!E67</f>
        <v>-1.169011057235525E-2</v>
      </c>
      <c r="F69" s="38">
        <f>Data!F67</f>
        <v>-3.9761189674250019E-3</v>
      </c>
      <c r="G69" s="38">
        <f t="shared" ref="G69:G123" si="16">SUMPRODUCT($B$2:$F$2,B69:F69)</f>
        <v>1.6660385363885234E-2</v>
      </c>
      <c r="H69" s="38"/>
      <c r="I69" s="38"/>
      <c r="J69" s="38"/>
      <c r="K69" s="38"/>
      <c r="W69" s="60">
        <v>5.6876798609981601E-3</v>
      </c>
      <c r="X69" s="60">
        <v>1.31930608873123E-2</v>
      </c>
      <c r="Y69" s="60">
        <v>2.6109819694262199E-2</v>
      </c>
      <c r="Z69" s="56">
        <f t="shared" si="11"/>
        <v>-1.0008043776083267E-3</v>
      </c>
      <c r="AM69">
        <v>1.1187199152019401E-2</v>
      </c>
      <c r="AN69">
        <v>1.8572288896193698E-2</v>
      </c>
      <c r="AO69">
        <v>1.27037720663044E-2</v>
      </c>
      <c r="AP69" s="56">
        <f t="shared" si="12"/>
        <v>1.7658771158770434E-2</v>
      </c>
      <c r="BC69">
        <v>-1.9026859570119101E-2</v>
      </c>
      <c r="BD69">
        <v>1.5277816528962001E-2</v>
      </c>
      <c r="BE69" s="56">
        <f t="shared" si="13"/>
        <v>4.9739058154056666E-2</v>
      </c>
      <c r="BR69">
        <v>-5.3790455181429102E-2</v>
      </c>
      <c r="BS69">
        <v>4.5975071043335997E-3</v>
      </c>
      <c r="BT69">
        <v>-1.08628734721803E-2</v>
      </c>
      <c r="BU69">
        <v>-1.6251685186863301E-4</v>
      </c>
      <c r="BV69" s="56">
        <f t="shared" si="14"/>
        <v>-1.9947680426526254E-4</v>
      </c>
      <c r="CI69">
        <v>-5.3682783551739499E-3</v>
      </c>
      <c r="CJ69">
        <v>1.54603805765139E-2</v>
      </c>
      <c r="CK69">
        <v>3.1797499555260303E-2</v>
      </c>
      <c r="CL69" s="56">
        <f t="shared" si="15"/>
        <v>-2.2186257041752781E-3</v>
      </c>
    </row>
    <row r="70" spans="1:90" x14ac:dyDescent="0.2">
      <c r="A70" s="1">
        <v>40025</v>
      </c>
      <c r="B70" s="38">
        <f>Data!B68</f>
        <v>8.1827309236948143E-3</v>
      </c>
      <c r="C70" s="38">
        <f>Data!C68</f>
        <v>9.1516163302473919E-2</v>
      </c>
      <c r="D70" s="38">
        <f>Data!D68</f>
        <v>0.15322525562988387</v>
      </c>
      <c r="E70" s="38">
        <f>Data!E68</f>
        <v>4.9194060562660624E-3</v>
      </c>
      <c r="F70" s="38">
        <f>Data!F68</f>
        <v>9.2475034792587341E-3</v>
      </c>
      <c r="G70" s="38">
        <f t="shared" si="16"/>
        <v>5.341821187831549E-2</v>
      </c>
      <c r="H70" s="38"/>
      <c r="I70" s="38"/>
      <c r="J70" s="38"/>
      <c r="K70" s="38"/>
      <c r="W70" s="60">
        <v>1.6129685369903099E-2</v>
      </c>
      <c r="X70" s="60">
        <v>3.08625692429438E-2</v>
      </c>
      <c r="Y70" s="60">
        <v>4.5700990366542397E-2</v>
      </c>
      <c r="Z70" s="56">
        <f t="shared" si="11"/>
        <v>1.6398044594880673E-4</v>
      </c>
      <c r="AM70">
        <v>7.1026387980158506E-2</v>
      </c>
      <c r="AN70">
        <v>-1.08244355590772E-2</v>
      </c>
      <c r="AO70">
        <v>2.06737511819171E-2</v>
      </c>
      <c r="AP70" s="56">
        <f t="shared" si="12"/>
        <v>1.4600017362529305E-2</v>
      </c>
      <c r="BC70">
        <v>3.2317008652053898E-2</v>
      </c>
      <c r="BD70">
        <v>2.7961021759713701E-2</v>
      </c>
      <c r="BE70" s="56">
        <f t="shared" si="13"/>
        <v>9.3545239268801178E-2</v>
      </c>
      <c r="BR70">
        <v>2.96815974096061E-2</v>
      </c>
      <c r="BS70">
        <v>1.47341599114002E-2</v>
      </c>
      <c r="BT70">
        <v>-1.4958338659874599E-2</v>
      </c>
      <c r="BU70">
        <v>-4.36063663505366E-2</v>
      </c>
      <c r="BV70" s="56">
        <f t="shared" si="14"/>
        <v>1.0518484141507942E-2</v>
      </c>
      <c r="CI70">
        <v>9.7768408810061692E-3</v>
      </c>
      <c r="CJ70">
        <v>2.9692498571274799E-2</v>
      </c>
      <c r="CK70">
        <v>6.1830675736445503E-2</v>
      </c>
      <c r="CL70" s="56">
        <f t="shared" si="15"/>
        <v>-5.7630091692362911E-3</v>
      </c>
    </row>
    <row r="71" spans="1:90" x14ac:dyDescent="0.2">
      <c r="A71" s="1">
        <v>40056</v>
      </c>
      <c r="B71" s="38">
        <f>Data!B69</f>
        <v>6.6785340835531226E-3</v>
      </c>
      <c r="C71" s="38">
        <f>Data!C69</f>
        <v>2.502780867630694E-2</v>
      </c>
      <c r="D71" s="38">
        <f>Data!D69</f>
        <v>4.8938794280777076E-2</v>
      </c>
      <c r="E71" s="38">
        <f>Data!E69</f>
        <v>3.7467987639923095E-3</v>
      </c>
      <c r="F71" s="38">
        <f>Data!F69</f>
        <v>4.7295621828562506E-3</v>
      </c>
      <c r="G71" s="38">
        <f t="shared" si="16"/>
        <v>1.782429959749714E-2</v>
      </c>
      <c r="H71" s="38"/>
      <c r="I71" s="38"/>
      <c r="J71" s="38"/>
      <c r="K71" s="38"/>
      <c r="W71" s="60">
        <v>1.03544007863765E-2</v>
      </c>
      <c r="X71" s="60">
        <v>1.9005303805713199E-2</v>
      </c>
      <c r="Y71" s="60">
        <v>9.9841737055359498E-3</v>
      </c>
      <c r="Z71" s="56">
        <f t="shared" si="11"/>
        <v>2.2245898578651495E-4</v>
      </c>
      <c r="AM71">
        <v>2.0739067816497401E-2</v>
      </c>
      <c r="AN71">
        <v>-3.1566914558429901E-2</v>
      </c>
      <c r="AO71">
        <v>-7.4294528244644997E-3</v>
      </c>
      <c r="AP71" s="56">
        <f t="shared" si="12"/>
        <v>1.7758290603294018E-2</v>
      </c>
      <c r="BC71">
        <v>-5.82662824298386E-3</v>
      </c>
      <c r="BD71">
        <v>2.3002813232854101E-2</v>
      </c>
      <c r="BE71" s="56">
        <f t="shared" si="13"/>
        <v>2.2122775045165036E-2</v>
      </c>
      <c r="BR71">
        <v>-2.9454926624737899E-3</v>
      </c>
      <c r="BS71">
        <v>1.1457930825694599E-2</v>
      </c>
      <c r="BT71">
        <v>-6.0643564508266997E-3</v>
      </c>
      <c r="BU71">
        <v>-2.2431393367512899E-2</v>
      </c>
      <c r="BV71" s="56">
        <f t="shared" si="14"/>
        <v>5.7860580567754769E-3</v>
      </c>
      <c r="CI71">
        <v>1.4577259475219201E-3</v>
      </c>
      <c r="CJ71">
        <v>1.75222872765213E-2</v>
      </c>
      <c r="CK71">
        <v>2.0338574491912498E-2</v>
      </c>
      <c r="CL71" s="56">
        <f t="shared" si="15"/>
        <v>2.3430347581112473E-3</v>
      </c>
    </row>
    <row r="72" spans="1:90" x14ac:dyDescent="0.2">
      <c r="A72" s="1">
        <v>40086</v>
      </c>
      <c r="B72" s="38">
        <f>Data!B70</f>
        <v>8.037740282062833E-3</v>
      </c>
      <c r="C72" s="38">
        <f>Data!C70</f>
        <v>4.4899620184481792E-2</v>
      </c>
      <c r="D72" s="38">
        <f>Data!D70</f>
        <v>-7.1144118321104788E-3</v>
      </c>
      <c r="E72" s="38">
        <f>Data!E70</f>
        <v>1.7088998695201196E-2</v>
      </c>
      <c r="F72" s="38">
        <f>Data!F70</f>
        <v>2.0502633559067007E-2</v>
      </c>
      <c r="G72" s="38">
        <f t="shared" si="16"/>
        <v>1.6682916177740474E-2</v>
      </c>
      <c r="H72" s="38"/>
      <c r="I72" s="38"/>
      <c r="J72" s="38"/>
      <c r="K72" s="38"/>
      <c r="W72" s="60">
        <v>1.05046574153811E-2</v>
      </c>
      <c r="X72" s="60">
        <v>4.91724688962447E-2</v>
      </c>
      <c r="Y72" s="60">
        <v>4.92554555884233E-2</v>
      </c>
      <c r="Z72" s="56">
        <f t="shared" si="11"/>
        <v>2.6520255635624863E-3</v>
      </c>
      <c r="AM72">
        <v>4.2535588851809497E-2</v>
      </c>
      <c r="AN72">
        <v>3.8995669501176201E-3</v>
      </c>
      <c r="AO72">
        <v>2.03617329607957E-2</v>
      </c>
      <c r="AP72" s="56">
        <f t="shared" si="12"/>
        <v>-7.2474388278883708E-3</v>
      </c>
      <c r="BC72">
        <v>1.57344806392135E-2</v>
      </c>
      <c r="BD72">
        <v>3.7618026010251902E-2</v>
      </c>
      <c r="BE72" s="56">
        <f t="shared" si="13"/>
        <v>-6.8334706059166E-2</v>
      </c>
      <c r="BR72">
        <v>5.9409791944827102E-2</v>
      </c>
      <c r="BS72">
        <v>1.6931328115874701E-2</v>
      </c>
      <c r="BT72">
        <v>-7.5793043747116604E-3</v>
      </c>
      <c r="BU72">
        <v>-5.1461525082594503E-3</v>
      </c>
      <c r="BV72" s="56">
        <f t="shared" si="14"/>
        <v>1.2412766711495063E-2</v>
      </c>
      <c r="CI72">
        <v>1.96476599517195E-2</v>
      </c>
      <c r="CJ72">
        <v>2.4510632490586399E-2</v>
      </c>
      <c r="CK72">
        <v>5.9760113003804398E-2</v>
      </c>
      <c r="CL72" s="56">
        <f t="shared" si="15"/>
        <v>-3.7928648217468233E-3</v>
      </c>
    </row>
    <row r="73" spans="1:90" x14ac:dyDescent="0.2">
      <c r="A73" s="1">
        <v>40116</v>
      </c>
      <c r="B73" s="38">
        <f>Data!B71</f>
        <v>7.1456172525254935E-3</v>
      </c>
      <c r="C73" s="38">
        <f>Data!C71</f>
        <v>-3.7647669739063749E-3</v>
      </c>
      <c r="D73" s="38">
        <f>Data!D71</f>
        <v>3.8873073590756535E-2</v>
      </c>
      <c r="E73" s="38">
        <f>Data!E71</f>
        <v>-5.1555780354856084E-3</v>
      </c>
      <c r="F73" s="38">
        <f>Data!F71</f>
        <v>1.7955418183104976E-2</v>
      </c>
      <c r="G73" s="38">
        <f t="shared" si="16"/>
        <v>1.1010752803399006E-2</v>
      </c>
      <c r="H73" s="38"/>
      <c r="I73" s="38"/>
      <c r="J73" s="38"/>
      <c r="K73" s="38"/>
      <c r="W73" s="60">
        <v>4.9375166698108998E-3</v>
      </c>
      <c r="X73" s="60">
        <v>1.4795796253182E-3</v>
      </c>
      <c r="Y73" s="60">
        <v>1.2925735559806001E-2</v>
      </c>
      <c r="Z73" s="56">
        <f t="shared" si="11"/>
        <v>5.0343419123479952E-3</v>
      </c>
      <c r="AM73">
        <v>-1.35448500040061E-2</v>
      </c>
      <c r="AN73">
        <v>1.7059864552080001E-2</v>
      </c>
      <c r="AO73">
        <v>-4.9318150319945499E-2</v>
      </c>
      <c r="AP73" s="56">
        <f t="shared" si="12"/>
        <v>1.2026279590006662E-2</v>
      </c>
      <c r="BC73">
        <v>3.2796414642811002E-2</v>
      </c>
      <c r="BD73">
        <v>5.3664050280093399E-3</v>
      </c>
      <c r="BE73" s="56">
        <f t="shared" si="13"/>
        <v>9.1378992438677399E-3</v>
      </c>
      <c r="BR73">
        <v>3.7461546095068E-2</v>
      </c>
      <c r="BS73">
        <v>-3.96905698611283E-4</v>
      </c>
      <c r="BT73">
        <v>-1.29540706604048E-2</v>
      </c>
      <c r="BU73">
        <v>1.1406547680002E-2</v>
      </c>
      <c r="BV73" s="56">
        <f t="shared" si="14"/>
        <v>1.0053894971844791E-3</v>
      </c>
      <c r="CI73">
        <v>1.8705095141022601E-2</v>
      </c>
      <c r="CJ73">
        <v>1.25571649617935E-2</v>
      </c>
      <c r="CK73">
        <v>1.7863252229616901E-2</v>
      </c>
      <c r="CL73" s="56">
        <f t="shared" si="15"/>
        <v>-3.3323956787910392E-4</v>
      </c>
    </row>
    <row r="74" spans="1:90" x14ac:dyDescent="0.2">
      <c r="A74" s="1">
        <v>40147</v>
      </c>
      <c r="B74" s="38">
        <f>Data!B72</f>
        <v>1.2825665948039466E-2</v>
      </c>
      <c r="C74" s="38">
        <f>Data!C72</f>
        <v>5.1472504560854837E-2</v>
      </c>
      <c r="D74" s="38">
        <f>Data!D72</f>
        <v>4.6495078529715794E-2</v>
      </c>
      <c r="E74" s="38">
        <f>Data!E72</f>
        <v>2.1699879795544774E-2</v>
      </c>
      <c r="F74" s="38">
        <f>Data!F72</f>
        <v>2.5548312327973388E-2</v>
      </c>
      <c r="G74" s="38">
        <f t="shared" si="16"/>
        <v>3.1608288232425653E-2</v>
      </c>
      <c r="H74" s="38"/>
      <c r="I74" s="38"/>
      <c r="J74" s="38"/>
      <c r="K74" s="38"/>
      <c r="W74" s="60">
        <v>1.2946659761781601E-2</v>
      </c>
      <c r="X74" s="60">
        <v>1.0472114193842599E-2</v>
      </c>
      <c r="Y74" s="60">
        <v>-2.81437119079619E-3</v>
      </c>
      <c r="Z74" s="56">
        <f t="shared" si="11"/>
        <v>4.3822270202478319E-3</v>
      </c>
      <c r="AM74">
        <v>6.1432536293766202E-2</v>
      </c>
      <c r="AN74">
        <v>5.0692674864318797E-3</v>
      </c>
      <c r="AO74">
        <v>-2.85933380110979E-2</v>
      </c>
      <c r="AP74" s="56">
        <f t="shared" si="12"/>
        <v>-1.3484787872960771E-2</v>
      </c>
      <c r="BC74">
        <v>3.5174306634678097E-2</v>
      </c>
      <c r="BD74">
        <v>1.2591315316613699E-2</v>
      </c>
      <c r="BE74" s="56">
        <f t="shared" si="13"/>
        <v>5.4446901573564632E-3</v>
      </c>
      <c r="BR74">
        <v>0.12834664498541301</v>
      </c>
      <c r="BS74">
        <v>7.9809861968849205E-3</v>
      </c>
      <c r="BT74">
        <v>1.8764205720722699E-3</v>
      </c>
      <c r="BU74">
        <v>-4.4320231785777799E-2</v>
      </c>
      <c r="BV74" s="56">
        <f t="shared" si="14"/>
        <v>8.0585472162054764E-3</v>
      </c>
      <c r="CI74">
        <v>2.64986592082119E-2</v>
      </c>
      <c r="CJ74">
        <v>6.1045656248126497E-3</v>
      </c>
      <c r="CK74">
        <v>1.0132288570985399E-2</v>
      </c>
      <c r="CL74" s="56">
        <f t="shared" si="15"/>
        <v>6.0158017595196567E-4</v>
      </c>
    </row>
    <row r="75" spans="1:90" x14ac:dyDescent="0.2">
      <c r="A75" s="1">
        <v>40178</v>
      </c>
      <c r="B75" s="38">
        <f>Data!B73</f>
        <v>-1.4076292180772887E-2</v>
      </c>
      <c r="C75" s="38">
        <f>Data!C73</f>
        <v>5.6016854628826218E-2</v>
      </c>
      <c r="D75" s="38">
        <f>Data!D73</f>
        <v>7.5519158638387429E-2</v>
      </c>
      <c r="E75" s="38">
        <f>Data!E73</f>
        <v>-1.3023219320867363E-2</v>
      </c>
      <c r="F75" s="38">
        <f>Data!F73</f>
        <v>-2.1973737739004684E-2</v>
      </c>
      <c r="G75" s="38">
        <f t="shared" si="16"/>
        <v>1.6492552805313743E-2</v>
      </c>
      <c r="H75" s="38"/>
      <c r="I75" s="38"/>
      <c r="J75" s="38"/>
      <c r="K75" s="38"/>
      <c r="W75" s="60">
        <v>-1.5631390593047099E-2</v>
      </c>
      <c r="X75" s="60">
        <v>3.2036810079769701E-3</v>
      </c>
      <c r="Y75" s="60">
        <v>4.6977564128499197E-2</v>
      </c>
      <c r="Z75" s="56">
        <f t="shared" si="11"/>
        <v>-1.6709891442626881E-3</v>
      </c>
      <c r="AM75">
        <v>3.0908449162891E-2</v>
      </c>
      <c r="AN75">
        <v>1.32127822221002E-2</v>
      </c>
      <c r="AO75">
        <v>6.1179131660279003E-2</v>
      </c>
      <c r="AP75" s="56">
        <f t="shared" si="12"/>
        <v>5.3525286811080056E-3</v>
      </c>
      <c r="BC75">
        <v>1.97893517622547E-2</v>
      </c>
      <c r="BD75">
        <v>2.3586033376995299E-2</v>
      </c>
      <c r="BE75" s="56">
        <f t="shared" si="13"/>
        <v>3.0312867389942141E-2</v>
      </c>
      <c r="BR75">
        <v>-7.0072819443384796E-2</v>
      </c>
      <c r="BS75">
        <v>8.0929851153905795E-3</v>
      </c>
      <c r="BT75">
        <v>-1.24192433300312E-2</v>
      </c>
      <c r="BU75">
        <v>1.36577195397436E-3</v>
      </c>
      <c r="BV75" s="56">
        <f t="shared" si="14"/>
        <v>-7.8553098262339541E-5</v>
      </c>
      <c r="CI75">
        <v>-2.7483146067415799E-2</v>
      </c>
      <c r="CJ75">
        <v>2.0512228445421801E-2</v>
      </c>
      <c r="CK75">
        <v>3.1346173535452097E-2</v>
      </c>
      <c r="CL75" s="56">
        <f t="shared" si="15"/>
        <v>5.8492431258751199E-4</v>
      </c>
    </row>
    <row r="76" spans="1:90" x14ac:dyDescent="0.2">
      <c r="A76" s="1">
        <v>40207</v>
      </c>
      <c r="B76" s="38">
        <f>Data!B74</f>
        <v>1.3264864271469223E-2</v>
      </c>
      <c r="C76" s="38">
        <f>Data!C74</f>
        <v>-8.4379767632906888E-2</v>
      </c>
      <c r="D76" s="38">
        <f>Data!D74</f>
        <v>-8.7558666306193467E-2</v>
      </c>
      <c r="E76" s="38">
        <f>Data!E74</f>
        <v>-1.9530570866210351E-2</v>
      </c>
      <c r="F76" s="38">
        <f>Data!F74</f>
        <v>1.9399751581501423E-2</v>
      </c>
      <c r="G76" s="38">
        <f t="shared" si="16"/>
        <v>-3.176087779046801E-2</v>
      </c>
      <c r="H76" s="38"/>
      <c r="I76" s="38"/>
      <c r="J76" s="38"/>
      <c r="K76" s="38"/>
      <c r="W76" s="60">
        <v>1.5275848189360701E-2</v>
      </c>
      <c r="X76" s="60">
        <v>3.6863989026534299E-3</v>
      </c>
      <c r="Y76" s="60">
        <v>-1.20727551330191E-4</v>
      </c>
      <c r="Z76" s="56">
        <f t="shared" si="11"/>
        <v>3.9801523650377646E-3</v>
      </c>
      <c r="AM76">
        <v>-4.3636116005124598E-2</v>
      </c>
      <c r="AN76">
        <v>-1.55127941971411E-2</v>
      </c>
      <c r="AO76">
        <v>-8.3801280553308399E-4</v>
      </c>
      <c r="AP76" s="56">
        <f t="shared" si="12"/>
        <v>-2.9170500565692724E-2</v>
      </c>
      <c r="BC76">
        <v>-7.2779218193712594E-2</v>
      </c>
      <c r="BD76">
        <v>6.9215520360277304E-3</v>
      </c>
      <c r="BE76" s="56">
        <f t="shared" si="13"/>
        <v>-4.6803258454819467E-2</v>
      </c>
      <c r="BR76">
        <v>-1.43759628795682E-2</v>
      </c>
      <c r="BS76">
        <v>-1.18120192092897E-3</v>
      </c>
      <c r="BT76">
        <v>-1.64988587599115E-2</v>
      </c>
      <c r="BU76">
        <v>2.32603814001358E-2</v>
      </c>
      <c r="BV76" s="56">
        <f t="shared" si="14"/>
        <v>-6.3080498320320141E-3</v>
      </c>
      <c r="CI76">
        <v>2.0513205628856002E-2</v>
      </c>
      <c r="CJ76">
        <v>1.5317656838982599E-2</v>
      </c>
      <c r="CK76">
        <v>1.5155120638030499E-2</v>
      </c>
      <c r="CL76" s="56">
        <f t="shared" si="15"/>
        <v>2.3360236824154779E-4</v>
      </c>
    </row>
    <row r="77" spans="1:90" x14ac:dyDescent="0.2">
      <c r="A77" s="1">
        <v>40235</v>
      </c>
      <c r="B77" s="38">
        <f>Data!B75</f>
        <v>1.7755895559219415E-3</v>
      </c>
      <c r="C77" s="38">
        <f>Data!C75</f>
        <v>4.1655985644706517E-2</v>
      </c>
      <c r="D77" s="38">
        <f>Data!D75</f>
        <v>6.0623913572412258E-2</v>
      </c>
      <c r="E77" s="38">
        <f>Data!E75</f>
        <v>1.5972913859152449E-3</v>
      </c>
      <c r="F77" s="38">
        <f>Data!F75</f>
        <v>-1.2994961831195861E-2</v>
      </c>
      <c r="G77" s="38">
        <f t="shared" si="16"/>
        <v>1.8531563665552024E-2</v>
      </c>
      <c r="H77" s="38"/>
      <c r="I77" s="38"/>
      <c r="J77" s="38"/>
      <c r="K77" s="38"/>
      <c r="W77" s="60">
        <v>3.7343257431885499E-3</v>
      </c>
      <c r="X77" s="60">
        <v>1.41575912876362E-2</v>
      </c>
      <c r="Y77" s="60">
        <v>-2.1854966407328699E-3</v>
      </c>
      <c r="Z77" s="56">
        <f t="shared" si="11"/>
        <v>-1.3394483638777444E-3</v>
      </c>
      <c r="AM77">
        <v>3.4366251735177697E-2</v>
      </c>
      <c r="AN77">
        <v>2.8005335449292602E-3</v>
      </c>
      <c r="AO77">
        <v>1.40685762264494E-2</v>
      </c>
      <c r="AP77" s="56">
        <f t="shared" si="12"/>
        <v>9.7494641365519774E-5</v>
      </c>
      <c r="BC77">
        <v>3.7127172014093802E-2</v>
      </c>
      <c r="BD77">
        <v>8.0574999639675404E-3</v>
      </c>
      <c r="BE77" s="56">
        <f t="shared" si="13"/>
        <v>2.4305927815072181E-2</v>
      </c>
      <c r="BR77">
        <v>3.36570477247502E-2</v>
      </c>
      <c r="BS77">
        <v>1.24729761544984E-3</v>
      </c>
      <c r="BT77">
        <v>-4.3769582493360399E-3</v>
      </c>
      <c r="BU77">
        <v>-2.1807780263803301E-2</v>
      </c>
      <c r="BV77" s="56">
        <f t="shared" si="14"/>
        <v>2.3250465493260572E-3</v>
      </c>
      <c r="CI77">
        <v>-1.80856905110977E-2</v>
      </c>
      <c r="CJ77">
        <v>5.6242558647858799E-3</v>
      </c>
      <c r="CK77">
        <v>1.5488291024556801E-3</v>
      </c>
      <c r="CL77" s="56">
        <f t="shared" si="15"/>
        <v>3.8967390787504504E-3</v>
      </c>
    </row>
    <row r="78" spans="1:90" x14ac:dyDescent="0.2">
      <c r="A78" s="1">
        <v>40268</v>
      </c>
      <c r="B78" s="38">
        <f>Data!B76</f>
        <v>3.3045536749654048E-4</v>
      </c>
      <c r="C78" s="38">
        <f>Data!C76</f>
        <v>6.767564907099799E-2</v>
      </c>
      <c r="D78" s="38">
        <f>Data!D76</f>
        <v>9.6605879972317954E-2</v>
      </c>
      <c r="E78" s="38">
        <f>Data!E76</f>
        <v>1.5901781507143165E-2</v>
      </c>
      <c r="F78" s="38">
        <f>Data!F76</f>
        <v>-4.3810289389067947E-3</v>
      </c>
      <c r="G78" s="38">
        <f t="shared" si="16"/>
        <v>3.5226547395809771E-2</v>
      </c>
      <c r="H78" s="38"/>
      <c r="I78" s="38"/>
      <c r="J78" s="38"/>
      <c r="K78" s="38"/>
      <c r="W78" s="60">
        <v>-1.22952647304286E-3</v>
      </c>
      <c r="X78" s="60">
        <v>2.3329753858463399E-2</v>
      </c>
      <c r="Y78" s="60">
        <v>3.2186922720535402E-2</v>
      </c>
      <c r="Z78" s="56">
        <f t="shared" si="11"/>
        <v>2.0851724880607794E-3</v>
      </c>
      <c r="AM78">
        <v>5.7842717601568103E-2</v>
      </c>
      <c r="AN78">
        <v>-7.2568682389424497E-3</v>
      </c>
      <c r="AO78">
        <v>2.10437099643817E-2</v>
      </c>
      <c r="AP78" s="56">
        <f t="shared" si="12"/>
        <v>3.5989805579452472E-3</v>
      </c>
      <c r="BC78">
        <v>-1.2423696993752901E-2</v>
      </c>
      <c r="BD78">
        <v>3.0363647811136901E-2</v>
      </c>
      <c r="BE78" s="56">
        <f t="shared" si="13"/>
        <v>6.4462048669315666E-2</v>
      </c>
      <c r="BR78">
        <v>-3.8833561502875698E-3</v>
      </c>
      <c r="BS78">
        <v>1.5559272311045201E-2</v>
      </c>
      <c r="BT78">
        <v>-6.4636733003187196E-4</v>
      </c>
      <c r="BU78">
        <v>-2.8806190249837799E-2</v>
      </c>
      <c r="BV78" s="56">
        <f t="shared" si="14"/>
        <v>1.2883758515761781E-2</v>
      </c>
      <c r="CI78">
        <v>-7.8633030484711597E-3</v>
      </c>
      <c r="CJ78">
        <v>1.6205639641077001E-2</v>
      </c>
      <c r="CK78">
        <v>3.09573962474925E-2</v>
      </c>
      <c r="CL78" s="56">
        <f t="shared" si="15"/>
        <v>-1.3055254099988457E-4</v>
      </c>
    </row>
    <row r="79" spans="1:90" x14ac:dyDescent="0.2">
      <c r="A79" s="1">
        <v>40298</v>
      </c>
      <c r="B79" s="38">
        <f>Data!B77</f>
        <v>6.0243134805275655E-3</v>
      </c>
      <c r="C79" s="38">
        <f>Data!C77</f>
        <v>1.7863316814567209E-2</v>
      </c>
      <c r="D79" s="38">
        <f>Data!D77</f>
        <v>-3.2228402163962167E-2</v>
      </c>
      <c r="E79" s="38">
        <f>Data!E77</f>
        <v>8.1760635077161581E-3</v>
      </c>
      <c r="F79" s="38">
        <f>Data!F77</f>
        <v>2.8230015513532658E-2</v>
      </c>
      <c r="G79" s="38">
        <f t="shared" si="16"/>
        <v>5.6130614304762856E-3</v>
      </c>
      <c r="H79" s="38"/>
      <c r="I79" s="38"/>
      <c r="J79" s="38"/>
      <c r="K79" s="38"/>
      <c r="W79" s="60">
        <v>1.04096237992575E-2</v>
      </c>
      <c r="X79" s="60">
        <v>7.6130120779407404E-3</v>
      </c>
      <c r="Y79" s="60">
        <v>1.1980317161827601E-2</v>
      </c>
      <c r="Z79" s="56">
        <f t="shared" si="11"/>
        <v>2.718418809946662E-4</v>
      </c>
      <c r="AM79">
        <v>1.11738976238325E-2</v>
      </c>
      <c r="AN79">
        <v>-1.4701560670037099E-2</v>
      </c>
      <c r="AO79">
        <v>4.08068108460065E-2</v>
      </c>
      <c r="AP79" s="56">
        <f t="shared" si="12"/>
        <v>5.0991581487482285E-3</v>
      </c>
      <c r="BC79">
        <v>1.9442689159781E-2</v>
      </c>
      <c r="BD79">
        <v>1.74100333738492E-2</v>
      </c>
      <c r="BE79" s="56">
        <f t="shared" si="13"/>
        <v>-6.8921206398763396E-2</v>
      </c>
      <c r="BR79">
        <v>5.9088255108915397E-2</v>
      </c>
      <c r="BS79">
        <v>8.7067818642223606E-3</v>
      </c>
      <c r="BT79">
        <v>-5.1907659473655601E-3</v>
      </c>
      <c r="BU79">
        <v>-3.8900121766480798E-3</v>
      </c>
      <c r="BV79" s="56">
        <f t="shared" si="14"/>
        <v>4.271611421974476E-3</v>
      </c>
      <c r="CI79">
        <v>3.2550842533410902E-2</v>
      </c>
      <c r="CJ79">
        <v>1.3897547811587901E-2</v>
      </c>
      <c r="CK79">
        <v>2.2389940961085E-2</v>
      </c>
      <c r="CL79" s="56">
        <f t="shared" si="15"/>
        <v>-3.1993298331609368E-3</v>
      </c>
    </row>
    <row r="80" spans="1:90" x14ac:dyDescent="0.2">
      <c r="A80" s="1">
        <v>40329</v>
      </c>
      <c r="B80" s="38">
        <f>Data!B78</f>
        <v>1.1200334338338447E-2</v>
      </c>
      <c r="C80" s="38">
        <f>Data!C78</f>
        <v>-8.1521739130434701E-2</v>
      </c>
      <c r="D80" s="38">
        <f>Data!D78</f>
        <v>-0.1131751190339898</v>
      </c>
      <c r="E80" s="38">
        <f>Data!E78</f>
        <v>-1.5831179029406006E-2</v>
      </c>
      <c r="F80" s="38">
        <f>Data!F78</f>
        <v>1.2731922912974092E-3</v>
      </c>
      <c r="G80" s="38">
        <f t="shared" si="16"/>
        <v>-3.9610902112838929E-2</v>
      </c>
      <c r="H80" s="38"/>
      <c r="I80" s="38"/>
      <c r="J80" s="38"/>
      <c r="K80" s="38"/>
      <c r="W80" s="60">
        <v>8.4148727984345601E-3</v>
      </c>
      <c r="X80" s="60">
        <v>-1.5784852259500399E-2</v>
      </c>
      <c r="Y80" s="60">
        <v>-4.3620988778093402E-2</v>
      </c>
      <c r="Z80" s="56">
        <f t="shared" si="11"/>
        <v>3.9796981620241704E-3</v>
      </c>
      <c r="AM80">
        <v>-7.6341502846614201E-2</v>
      </c>
      <c r="AN80">
        <v>5.8545360438296799E-3</v>
      </c>
      <c r="AO80">
        <v>3.9972566955445198E-3</v>
      </c>
      <c r="AP80" s="56">
        <f t="shared" si="12"/>
        <v>-8.0285989549015724E-4</v>
      </c>
      <c r="BC80">
        <v>-6.9229506086817702E-2</v>
      </c>
      <c r="BD80">
        <v>-2.6637600426999399E-2</v>
      </c>
      <c r="BE80" s="56">
        <f t="shared" si="13"/>
        <v>-2.9894128380890117E-2</v>
      </c>
      <c r="BR80">
        <v>3.1610730855024902E-2</v>
      </c>
      <c r="BS80">
        <v>-2.2999867538602201E-2</v>
      </c>
      <c r="BT80">
        <v>-5.10550524466169E-3</v>
      </c>
      <c r="BU80">
        <v>3.9387055521053399E-2</v>
      </c>
      <c r="BV80" s="56">
        <f t="shared" si="14"/>
        <v>-8.9715105314875105E-3</v>
      </c>
      <c r="CI80">
        <v>3.7703571147202899E-3</v>
      </c>
      <c r="CJ80">
        <v>-1.7894362293940501E-2</v>
      </c>
      <c r="CK80">
        <v>-3.5206115979658802E-2</v>
      </c>
      <c r="CL80" s="56">
        <f t="shared" si="15"/>
        <v>1.208257976967617E-3</v>
      </c>
    </row>
    <row r="81" spans="1:90" x14ac:dyDescent="0.2">
      <c r="A81" s="1">
        <v>40359</v>
      </c>
      <c r="B81" s="38">
        <f>Data!B79</f>
        <v>1.122388130199381E-2</v>
      </c>
      <c r="C81" s="38">
        <f>Data!C79</f>
        <v>-6.2006903353057252E-2</v>
      </c>
      <c r="D81" s="38">
        <f>Data!D79</f>
        <v>-5.6963880126232436E-2</v>
      </c>
      <c r="E81" s="38">
        <f>Data!E79</f>
        <v>-1.1593779014537064E-3</v>
      </c>
      <c r="F81" s="38">
        <f>Data!F79</f>
        <v>1.7432318128602464E-2</v>
      </c>
      <c r="G81" s="38">
        <f t="shared" si="16"/>
        <v>-1.8294792390029423E-2</v>
      </c>
      <c r="H81" s="38"/>
      <c r="I81" s="38"/>
      <c r="J81" s="38"/>
      <c r="K81" s="38"/>
      <c r="W81" s="60">
        <v>1.56814383102859E-2</v>
      </c>
      <c r="X81" s="60">
        <v>2.00630731565625E-2</v>
      </c>
      <c r="Y81" s="60">
        <v>-2.6433562101859701E-3</v>
      </c>
      <c r="Z81" s="56">
        <f t="shared" si="11"/>
        <v>6.635659488674079E-4</v>
      </c>
      <c r="AM81">
        <v>-5.5065373540875699E-2</v>
      </c>
      <c r="AN81">
        <v>1.2291304575335899E-3</v>
      </c>
      <c r="AO81">
        <v>-2.5145327453668601E-2</v>
      </c>
      <c r="AP81" s="56">
        <f t="shared" si="12"/>
        <v>2.4513703410107973E-3</v>
      </c>
      <c r="BC81">
        <v>3.1823571296878401E-3</v>
      </c>
      <c r="BD81">
        <v>-1.09030082726644E-2</v>
      </c>
      <c r="BE81" s="56">
        <f t="shared" si="13"/>
        <v>-4.4542605206755653E-2</v>
      </c>
      <c r="BR81">
        <v>2.1442078434596799E-2</v>
      </c>
      <c r="BS81">
        <v>-1.0224874718030399E-2</v>
      </c>
      <c r="BT81">
        <v>-1.3880931583502299E-2</v>
      </c>
      <c r="BU81">
        <v>3.3895079875668102E-2</v>
      </c>
      <c r="BV81" s="56">
        <f t="shared" si="14"/>
        <v>9.3880331055315302E-3</v>
      </c>
      <c r="CI81">
        <v>1.92350817392863E-2</v>
      </c>
      <c r="CJ81">
        <v>3.6560568654719901E-3</v>
      </c>
      <c r="CK81">
        <v>1.30380821000999E-2</v>
      </c>
      <c r="CL81" s="56">
        <f t="shared" si="15"/>
        <v>-1.6690408270495297E-3</v>
      </c>
    </row>
    <row r="82" spans="1:90" x14ac:dyDescent="0.2">
      <c r="A82" s="1">
        <v>40389</v>
      </c>
      <c r="B82" s="38">
        <f>Data!B80</f>
        <v>8.5770003269654005E-3</v>
      </c>
      <c r="C82" s="38">
        <f>Data!C80</f>
        <v>7.1888553029307412E-2</v>
      </c>
      <c r="D82" s="38">
        <f>Data!D80</f>
        <v>0.10671765875183525</v>
      </c>
      <c r="E82" s="38">
        <f>Data!E80</f>
        <v>-6.2309587989517468E-4</v>
      </c>
      <c r="F82" s="38">
        <f>Data!F80</f>
        <v>4.1237453958851145E-3</v>
      </c>
      <c r="G82" s="38">
        <f t="shared" si="16"/>
        <v>3.8136772324819608E-2</v>
      </c>
      <c r="H82" s="38"/>
      <c r="I82" s="38"/>
      <c r="J82" s="38"/>
      <c r="K82" s="38"/>
      <c r="W82" s="60">
        <v>1.06688526206795E-2</v>
      </c>
      <c r="X82" s="60">
        <v>4.1167497203295197E-2</v>
      </c>
      <c r="Y82" s="60">
        <v>2.3982218439034801E-2</v>
      </c>
      <c r="Z82" s="56">
        <f t="shared" si="11"/>
        <v>1.7493113946307299E-3</v>
      </c>
      <c r="AM82">
        <v>7.1331945358704699E-2</v>
      </c>
      <c r="AN82">
        <v>3.6322046092349702E-3</v>
      </c>
      <c r="AO82">
        <v>-1.3441782998842001E-3</v>
      </c>
      <c r="AP82" s="56">
        <f t="shared" si="12"/>
        <v>-8.0656522934835773E-3</v>
      </c>
      <c r="BC82">
        <v>6.7742386512124303E-2</v>
      </c>
      <c r="BD82">
        <v>1.97155165932386E-2</v>
      </c>
      <c r="BE82" s="56">
        <f t="shared" si="13"/>
        <v>3.3733796086337503E-2</v>
      </c>
      <c r="BR82">
        <v>-4.9405173940340399E-2</v>
      </c>
      <c r="BS82">
        <v>6.4454718815996096E-3</v>
      </c>
      <c r="BT82">
        <v>-1.0569480096350101E-2</v>
      </c>
      <c r="BU82">
        <v>-4.6496467733256899E-2</v>
      </c>
      <c r="BV82" s="56">
        <f t="shared" si="14"/>
        <v>1.1365294864398664E-2</v>
      </c>
      <c r="CI82">
        <v>3.5037925666794299E-3</v>
      </c>
      <c r="CJ82">
        <v>1.7014951977949701E-2</v>
      </c>
      <c r="CK82">
        <v>3.4651071059714302E-2</v>
      </c>
      <c r="CL82" s="56">
        <f t="shared" si="15"/>
        <v>-2.4461989697071914E-3</v>
      </c>
    </row>
    <row r="83" spans="1:90" x14ac:dyDescent="0.2">
      <c r="A83" s="1">
        <v>40421</v>
      </c>
      <c r="B83" s="38">
        <f>Data!B81</f>
        <v>1.5340886066421699E-3</v>
      </c>
      <c r="C83" s="38">
        <f>Data!C81</f>
        <v>-7.0745463462481561E-2</v>
      </c>
      <c r="D83" s="38">
        <f>Data!D81</f>
        <v>-1.4172234939479833E-2</v>
      </c>
      <c r="E83" s="38">
        <f>Data!E81</f>
        <v>1.6890744761737464E-2</v>
      </c>
      <c r="F83" s="38">
        <f>Data!F81</f>
        <v>1.4908432942208449E-2</v>
      </c>
      <c r="G83" s="38">
        <f t="shared" si="16"/>
        <v>-1.0316886418274661E-2</v>
      </c>
      <c r="H83" s="38"/>
      <c r="I83" s="38"/>
      <c r="J83" s="38"/>
      <c r="K83" s="38"/>
      <c r="W83" s="60">
        <v>1.28675013263895E-2</v>
      </c>
      <c r="X83" s="60">
        <v>2.3266717458828998E-2</v>
      </c>
      <c r="Y83" s="60">
        <v>-1.1303502662726001E-2</v>
      </c>
      <c r="Z83" s="56">
        <f t="shared" si="11"/>
        <v>-8.1253944550209369E-3</v>
      </c>
      <c r="AM83">
        <v>-4.6689689844406503E-2</v>
      </c>
      <c r="AN83">
        <v>-3.8998913016140601E-3</v>
      </c>
      <c r="AO83">
        <v>-2.8893588920252601E-2</v>
      </c>
      <c r="AP83" s="56">
        <f t="shared" si="12"/>
        <v>-1.2538005800048109E-2</v>
      </c>
      <c r="BC83">
        <v>-2.5451399734246202E-2</v>
      </c>
      <c r="BD83">
        <v>-3.8365661018658899E-3</v>
      </c>
      <c r="BE83" s="56">
        <f t="shared" si="13"/>
        <v>8.4640410329724115E-3</v>
      </c>
      <c r="BR83">
        <v>5.6223539373412498E-2</v>
      </c>
      <c r="BS83">
        <v>1.4777954820992499E-3</v>
      </c>
      <c r="BT83">
        <v>-6.7100306840071101E-3</v>
      </c>
      <c r="BU83">
        <v>3.1417898010628997E-2</v>
      </c>
      <c r="BV83" s="56">
        <f t="shared" si="14"/>
        <v>1.5372882906670524E-2</v>
      </c>
      <c r="CI83">
        <v>1.71124753343566E-2</v>
      </c>
      <c r="CJ83">
        <v>8.18782616610636E-3</v>
      </c>
      <c r="CK83">
        <v>1.56399866366352E-3</v>
      </c>
      <c r="CL83" s="56">
        <f t="shared" si="15"/>
        <v>1.0589937325883141E-4</v>
      </c>
    </row>
    <row r="84" spans="1:90" x14ac:dyDescent="0.2">
      <c r="A84" s="1">
        <v>40451</v>
      </c>
      <c r="B84" s="38">
        <f>Data!B82</f>
        <v>-3.8091164468283534E-3</v>
      </c>
      <c r="C84" s="38">
        <f>Data!C82</f>
        <v>0.12138804591634766</v>
      </c>
      <c r="D84" s="38">
        <f>Data!D82</f>
        <v>0.10307778351717722</v>
      </c>
      <c r="E84" s="38">
        <f>Data!E82</f>
        <v>2.7352885379365866E-2</v>
      </c>
      <c r="F84" s="38">
        <f>Data!F82</f>
        <v>1.8584649295782185E-2</v>
      </c>
      <c r="G84" s="38">
        <f t="shared" si="16"/>
        <v>5.3318849532368914E-2</v>
      </c>
      <c r="H84" s="38"/>
      <c r="I84" s="38"/>
      <c r="J84" s="38"/>
      <c r="K84" s="38"/>
      <c r="W84" s="60">
        <v>1.06569369434451E-3</v>
      </c>
      <c r="X84" s="60">
        <v>1.6762122947690201E-2</v>
      </c>
      <c r="Y84" s="60">
        <v>2.8624052892356699E-2</v>
      </c>
      <c r="Z84" s="56">
        <f t="shared" si="11"/>
        <v>-3.3235722949274491E-3</v>
      </c>
      <c r="AM84">
        <v>0.10645033399460201</v>
      </c>
      <c r="AN84">
        <v>2.8867154252985899E-2</v>
      </c>
      <c r="AO84">
        <v>3.5351540648262299E-2</v>
      </c>
      <c r="AP84" s="56">
        <f t="shared" si="12"/>
        <v>-1.5037623798614147E-2</v>
      </c>
      <c r="BC84">
        <v>7.2603189200629401E-2</v>
      </c>
      <c r="BD84">
        <v>2.5192367834836301E-2</v>
      </c>
      <c r="BE84" s="56">
        <f t="shared" si="13"/>
        <v>1.9414129768371299E-2</v>
      </c>
      <c r="BR84">
        <v>4.9013949013949003E-2</v>
      </c>
      <c r="BS84">
        <v>1.9913805509131698E-2</v>
      </c>
      <c r="BT84">
        <v>3.5992978396723902E-3</v>
      </c>
      <c r="BU84">
        <v>-4.18459740981518E-2</v>
      </c>
      <c r="BV84" s="56">
        <f t="shared" si="14"/>
        <v>1.5571322545323252E-2</v>
      </c>
      <c r="CI84">
        <v>2.18363673596964E-2</v>
      </c>
      <c r="CJ84">
        <v>1.6314507669459299E-2</v>
      </c>
      <c r="CK84">
        <v>2.9689746586701201E-2</v>
      </c>
      <c r="CL84" s="56">
        <f t="shared" si="15"/>
        <v>-3.9579605250847777E-3</v>
      </c>
    </row>
    <row r="85" spans="1:90" x14ac:dyDescent="0.2">
      <c r="A85" s="1">
        <v>40480</v>
      </c>
      <c r="B85" s="38">
        <f>Data!B83</f>
        <v>9.794194270860368E-3</v>
      </c>
      <c r="C85" s="38">
        <f>Data!C83</f>
        <v>6.4595834804094698E-2</v>
      </c>
      <c r="D85" s="38">
        <f>Data!D83</f>
        <v>1.7491751184392168E-2</v>
      </c>
      <c r="E85" s="38">
        <f>Data!E83</f>
        <v>2.2308151768663853E-2</v>
      </c>
      <c r="F85" s="38">
        <f>Data!F83</f>
        <v>2.2509931632182179E-2</v>
      </c>
      <c r="G85" s="38">
        <f t="shared" si="16"/>
        <v>2.7339972732038656E-2</v>
      </c>
      <c r="H85" s="38"/>
      <c r="I85" s="38"/>
      <c r="J85" s="38"/>
      <c r="K85" s="38"/>
      <c r="W85" s="60">
        <v>3.56055958524282E-3</v>
      </c>
      <c r="X85" s="60">
        <v>1.7199294002778798E-2</v>
      </c>
      <c r="Y85" s="60">
        <v>2.0692179901905999E-2</v>
      </c>
      <c r="Z85" s="56">
        <f t="shared" si="11"/>
        <v>8.2197727502999959E-3</v>
      </c>
      <c r="AM85">
        <v>4.7759549516597402E-2</v>
      </c>
      <c r="AN85">
        <v>1.77537454978818E-2</v>
      </c>
      <c r="AO85">
        <v>2.8724114515732398E-3</v>
      </c>
      <c r="AP85" s="56">
        <f t="shared" si="12"/>
        <v>3.4785307346762301E-3</v>
      </c>
      <c r="BC85">
        <v>4.98276524715804E-2</v>
      </c>
      <c r="BD85">
        <v>1.8593923543872602E-2</v>
      </c>
      <c r="BE85" s="56">
        <f t="shared" si="13"/>
        <v>-4.1674431774732887E-2</v>
      </c>
      <c r="BR85">
        <v>3.88677457318845E-2</v>
      </c>
      <c r="BS85">
        <v>1.3873586919083599E-2</v>
      </c>
      <c r="BT85">
        <v>-1.73407408104565E-3</v>
      </c>
      <c r="BU85">
        <v>-1.43832024117201E-2</v>
      </c>
      <c r="BV85" s="56">
        <f t="shared" si="14"/>
        <v>1.6340784839585277E-2</v>
      </c>
      <c r="CI85">
        <v>2.5652114295357901E-2</v>
      </c>
      <c r="CJ85">
        <v>1.5607661000129201E-2</v>
      </c>
      <c r="CK85">
        <v>2.4252739487148799E-2</v>
      </c>
      <c r="CL85" s="56">
        <f t="shared" si="15"/>
        <v>-2.7304743076959209E-3</v>
      </c>
    </row>
    <row r="86" spans="1:90" x14ac:dyDescent="0.2">
      <c r="A86" s="1">
        <v>40512</v>
      </c>
      <c r="B86" s="38">
        <f>Data!B84</f>
        <v>-1.7984888097221097E-3</v>
      </c>
      <c r="C86" s="38">
        <f>Data!C84</f>
        <v>-1.6909814323607386E-2</v>
      </c>
      <c r="D86" s="38">
        <f>Data!D84</f>
        <v>-1.8656866627788427E-2</v>
      </c>
      <c r="E86" s="38">
        <f>Data!E84</f>
        <v>-9.1628478682193037E-3</v>
      </c>
      <c r="F86" s="38">
        <f>Data!F84</f>
        <v>-1.4332176592334211E-2</v>
      </c>
      <c r="G86" s="38">
        <f t="shared" si="16"/>
        <v>-1.2172038844334288E-2</v>
      </c>
      <c r="H86" s="38"/>
      <c r="I86" s="38"/>
      <c r="J86" s="38"/>
      <c r="K86" s="38"/>
      <c r="W86" s="60">
        <v>-5.7474019825239902E-3</v>
      </c>
      <c r="X86" s="60">
        <v>-3.1841842950492902E-2</v>
      </c>
      <c r="Y86" s="60">
        <v>-5.4089113838821099E-3</v>
      </c>
      <c r="Z86" s="56">
        <f t="shared" si="11"/>
        <v>2.9103965194163459E-3</v>
      </c>
      <c r="AM86">
        <v>1.1613499095365401E-2</v>
      </c>
      <c r="AN86">
        <v>1.6905303880970099E-2</v>
      </c>
      <c r="AO86">
        <v>3.45455215709045E-2</v>
      </c>
      <c r="AP86" s="56">
        <f t="shared" si="12"/>
        <v>-4.3358494741253174E-2</v>
      </c>
      <c r="BC86">
        <v>-3.54025677256231E-3</v>
      </c>
      <c r="BD86">
        <v>2.59231225309109E-3</v>
      </c>
      <c r="BE86" s="56">
        <f t="shared" si="13"/>
        <v>-1.9696663476424195E-2</v>
      </c>
      <c r="BR86">
        <v>1.9729292334853502E-2</v>
      </c>
      <c r="BS86">
        <v>-1.86714559391121E-4</v>
      </c>
      <c r="BT86">
        <v>-4.8239227650591597E-3</v>
      </c>
      <c r="BU86">
        <v>6.2438844615164699E-3</v>
      </c>
      <c r="BV86" s="56">
        <f t="shared" si="14"/>
        <v>-7.4392094755480944E-3</v>
      </c>
      <c r="CI86">
        <v>-1.9215541089480499E-2</v>
      </c>
      <c r="CJ86">
        <v>4.6372082056680402E-3</v>
      </c>
      <c r="CK86">
        <v>-1.1156313366406099E-2</v>
      </c>
      <c r="CL86" s="56">
        <f t="shared" si="15"/>
        <v>5.4724482624653389E-3</v>
      </c>
    </row>
    <row r="87" spans="1:90" x14ac:dyDescent="0.2">
      <c r="A87" s="1">
        <v>40543</v>
      </c>
      <c r="B87" s="38">
        <f>Data!B85</f>
        <v>-5.4972887717157359E-3</v>
      </c>
      <c r="C87" s="38">
        <f>Data!C85</f>
        <v>5.2501405283867264E-2</v>
      </c>
      <c r="D87" s="38">
        <f>Data!D85</f>
        <v>0.12620483572381058</v>
      </c>
      <c r="E87" s="38">
        <f>Data!E85</f>
        <v>3.3396032885429472E-2</v>
      </c>
      <c r="F87" s="38">
        <f>Data!F85</f>
        <v>-1.9566361435638391E-2</v>
      </c>
      <c r="G87" s="38">
        <f t="shared" si="16"/>
        <v>3.7407724737150642E-2</v>
      </c>
      <c r="H87" s="38"/>
      <c r="I87" s="38"/>
      <c r="J87" s="38"/>
      <c r="K87" s="38"/>
      <c r="W87" s="60">
        <v>-1.0783669582095199E-2</v>
      </c>
      <c r="X87" s="60">
        <v>-3.3175084367671501E-3</v>
      </c>
      <c r="Y87" s="60">
        <v>2.83917646887651E-2</v>
      </c>
      <c r="Z87" s="56">
        <f t="shared" si="11"/>
        <v>3.0701726549138015E-3</v>
      </c>
      <c r="AM87">
        <v>5.5081531539112001E-2</v>
      </c>
      <c r="AN87">
        <v>-2.3822196544943899E-2</v>
      </c>
      <c r="AO87">
        <v>1.2575877996148E-2</v>
      </c>
      <c r="AP87" s="56">
        <f t="shared" si="12"/>
        <v>4.3005087438375417E-4</v>
      </c>
      <c r="BC87">
        <v>0.106889676899993</v>
      </c>
      <c r="BD87">
        <v>2.67461511161005E-2</v>
      </c>
      <c r="BE87" s="56">
        <f t="shared" si="13"/>
        <v>1.6890217767728144E-2</v>
      </c>
      <c r="BR87">
        <v>2.5378367070162201E-2</v>
      </c>
      <c r="BS87">
        <v>2.1734780853239301E-2</v>
      </c>
      <c r="BT87">
        <v>1.10616180890677E-2</v>
      </c>
      <c r="BU87">
        <v>-3.1599235959207002E-2</v>
      </c>
      <c r="BV87" s="56">
        <f t="shared" si="14"/>
        <v>1.7133189037296211E-2</v>
      </c>
      <c r="CI87">
        <v>-2.2837250512475201E-2</v>
      </c>
      <c r="CJ87">
        <v>1.0673162764171599E-2</v>
      </c>
      <c r="CK87">
        <v>1.7608095106669899E-2</v>
      </c>
      <c r="CL87" s="56">
        <f t="shared" si="15"/>
        <v>-2.7051689170144375E-4</v>
      </c>
    </row>
    <row r="88" spans="1:90" x14ac:dyDescent="0.2">
      <c r="A88" s="1">
        <v>40574</v>
      </c>
      <c r="B88" s="38">
        <f>Data!B86</f>
        <v>5.151446746194388E-4</v>
      </c>
      <c r="C88" s="38">
        <f>Data!C86</f>
        <v>4.2191839350566029E-2</v>
      </c>
      <c r="D88" s="38">
        <f>Data!D86</f>
        <v>1.6867305606979244E-2</v>
      </c>
      <c r="E88" s="38">
        <f>Data!E86</f>
        <v>-7.2124827356772059E-3</v>
      </c>
      <c r="F88" s="38">
        <f>Data!F86</f>
        <v>4.809395497632929E-3</v>
      </c>
      <c r="G88" s="38">
        <f t="shared" si="16"/>
        <v>1.1434240478824088E-2</v>
      </c>
      <c r="H88" s="38"/>
      <c r="I88" s="38"/>
      <c r="J88" s="38"/>
      <c r="K88" s="38"/>
      <c r="W88" s="60">
        <v>1.16385351288773E-3</v>
      </c>
      <c r="X88" s="60">
        <v>-5.4328072692492197E-3</v>
      </c>
      <c r="Y88" s="60">
        <v>1.98605623875476E-2</v>
      </c>
      <c r="Z88" s="56">
        <f t="shared" si="11"/>
        <v>1.4940186797995918E-3</v>
      </c>
      <c r="AM88">
        <v>2.54489283099717E-2</v>
      </c>
      <c r="AN88">
        <v>2.82725468158662E-3</v>
      </c>
      <c r="AO88">
        <v>-2.62783329712972E-2</v>
      </c>
      <c r="AP88" s="56">
        <f t="shared" si="12"/>
        <v>1.7467829912207945E-2</v>
      </c>
      <c r="BC88">
        <v>1.0030111481438999E-2</v>
      </c>
      <c r="BD88">
        <v>1.6794436714026299E-2</v>
      </c>
      <c r="BE88" s="56">
        <f t="shared" si="13"/>
        <v>-1.2530313587804986E-2</v>
      </c>
      <c r="BR88">
        <v>-6.2424370339102302E-2</v>
      </c>
      <c r="BS88">
        <v>2.5613937636308499E-3</v>
      </c>
      <c r="BT88">
        <v>-8.8929202417624698E-3</v>
      </c>
      <c r="BU88">
        <v>-1.9486330288817098E-2</v>
      </c>
      <c r="BV88" s="56">
        <f t="shared" si="14"/>
        <v>4.9009312079848575E-3</v>
      </c>
      <c r="CI88">
        <v>1.6578587332671799E-3</v>
      </c>
      <c r="CJ88">
        <v>1.1454314005393301E-2</v>
      </c>
      <c r="CK88">
        <v>2.1024415900435401E-2</v>
      </c>
      <c r="CL88" s="56">
        <f t="shared" si="15"/>
        <v>1.3875288811747225E-3</v>
      </c>
    </row>
    <row r="89" spans="1:90" x14ac:dyDescent="0.2">
      <c r="A89" s="1">
        <v>40602</v>
      </c>
      <c r="B89" s="38">
        <f>Data!B87</f>
        <v>2.5107604017218232E-3</v>
      </c>
      <c r="C89" s="38">
        <f>Data!C87</f>
        <v>1.8960746130982864E-2</v>
      </c>
      <c r="D89" s="38">
        <f>Data!D87</f>
        <v>2.4439452712319953E-2</v>
      </c>
      <c r="E89" s="38">
        <f>Data!E87</f>
        <v>1.275295479218741E-2</v>
      </c>
      <c r="F89" s="38">
        <f>Data!F87</f>
        <v>6.1165183388709465E-3</v>
      </c>
      <c r="G89" s="38">
        <f t="shared" si="16"/>
        <v>1.2956086475216601E-2</v>
      </c>
      <c r="H89" s="38"/>
      <c r="I89" s="38"/>
      <c r="J89" s="38"/>
      <c r="K89" s="38"/>
      <c r="W89" s="60">
        <v>2.5015063815800901E-3</v>
      </c>
      <c r="X89" s="60">
        <v>2.9428170260239498E-3</v>
      </c>
      <c r="Y89" s="60">
        <v>1.08682542015206E-2</v>
      </c>
      <c r="Z89" s="56">
        <f t="shared" si="11"/>
        <v>1.6276495858660494E-3</v>
      </c>
      <c r="AM89">
        <v>3.2727073692865302E-2</v>
      </c>
      <c r="AN89">
        <v>-4.1579370923932098E-3</v>
      </c>
      <c r="AO89">
        <v>2.0582670115783401E-2</v>
      </c>
      <c r="AP89" s="56">
        <f t="shared" si="12"/>
        <v>-1.8781111455590728E-2</v>
      </c>
      <c r="BC89">
        <v>1.31790792698876E-2</v>
      </c>
      <c r="BD89">
        <v>1.3636529942470801E-2</v>
      </c>
      <c r="BE89" s="56">
        <f t="shared" si="13"/>
        <v>-2.8915548218365755E-3</v>
      </c>
      <c r="BR89">
        <v>5.9024364621398998E-2</v>
      </c>
      <c r="BS89">
        <v>8.9363873758778693E-3</v>
      </c>
      <c r="BT89">
        <v>-1.4079908037456499E-4</v>
      </c>
      <c r="BU89">
        <v>-2.1252558670661299E-2</v>
      </c>
      <c r="BV89" s="56">
        <f t="shared" si="14"/>
        <v>5.6100126355325833E-3</v>
      </c>
      <c r="CI89">
        <v>6.2401576911952396E-3</v>
      </c>
      <c r="CJ89">
        <v>9.0771864562524396E-3</v>
      </c>
      <c r="CK89">
        <v>1.3369760583100699E-2</v>
      </c>
      <c r="CL89" s="56">
        <f t="shared" si="15"/>
        <v>-5.5500142428555228E-4</v>
      </c>
    </row>
    <row r="90" spans="1:90" x14ac:dyDescent="0.2">
      <c r="A90" s="1">
        <v>40633</v>
      </c>
      <c r="B90" s="38">
        <f>Data!B88</f>
        <v>2.7872352703559589E-3</v>
      </c>
      <c r="C90" s="38">
        <f>Data!C88</f>
        <v>-2.6252263126131603E-2</v>
      </c>
      <c r="D90" s="38">
        <f>Data!D88</f>
        <v>-3.7958295158312727E-2</v>
      </c>
      <c r="E90" s="38">
        <f>Data!E88</f>
        <v>-1.0905528496127914E-2</v>
      </c>
      <c r="F90" s="38">
        <f>Data!F88</f>
        <v>6.8598248939435447E-3</v>
      </c>
      <c r="G90" s="38">
        <f t="shared" si="16"/>
        <v>-1.3093805323254548E-2</v>
      </c>
      <c r="H90" s="38"/>
      <c r="I90" s="38"/>
      <c r="J90" s="38"/>
      <c r="K90" s="38"/>
      <c r="W90" s="60">
        <v>5.5247947933367901E-4</v>
      </c>
      <c r="X90" s="60">
        <v>1.26956121509663E-2</v>
      </c>
      <c r="Y90" s="60">
        <v>3.6489181284420401E-3</v>
      </c>
      <c r="Z90" s="56">
        <f t="shared" si="11"/>
        <v>2.047968441294911E-3</v>
      </c>
      <c r="AM90">
        <v>1.2212861443312601E-3</v>
      </c>
      <c r="AN90">
        <v>-2.7498549605062799E-3</v>
      </c>
      <c r="AO90">
        <v>2.5518434800070499E-2</v>
      </c>
      <c r="AP90" s="56">
        <f t="shared" si="12"/>
        <v>-3.0798374353979877E-2</v>
      </c>
      <c r="BC90">
        <v>2.0645485896374299E-2</v>
      </c>
      <c r="BD90">
        <v>3.5529420588067402E-3</v>
      </c>
      <c r="BE90" s="56">
        <f t="shared" si="13"/>
        <v>-5.6910885837464779E-2</v>
      </c>
      <c r="BR90">
        <v>1.478746997513E-2</v>
      </c>
      <c r="BS90">
        <v>-6.9007107654817101E-4</v>
      </c>
      <c r="BT90">
        <v>-3.5468658126823799E-3</v>
      </c>
      <c r="BU90">
        <v>4.59562946013103E-3</v>
      </c>
      <c r="BV90" s="56">
        <f t="shared" si="14"/>
        <v>-9.4892154720388425E-3</v>
      </c>
      <c r="CI90">
        <v>8.8310914036591193E-3</v>
      </c>
      <c r="CJ90">
        <v>2.8567947361342102E-3</v>
      </c>
      <c r="CK90">
        <v>4.2013976077757099E-3</v>
      </c>
      <c r="CL90" s="56">
        <f t="shared" si="15"/>
        <v>-1.4833437102494042E-3</v>
      </c>
    </row>
    <row r="91" spans="1:90" x14ac:dyDescent="0.2">
      <c r="A91" s="1">
        <v>40662</v>
      </c>
      <c r="B91" s="38">
        <f>Data!B89</f>
        <v>1.0974086883462908E-2</v>
      </c>
      <c r="C91" s="38">
        <f>Data!C89</f>
        <v>2.9335812416072748E-2</v>
      </c>
      <c r="D91" s="38">
        <f>Data!D89</f>
        <v>-5.0468660364161311E-3</v>
      </c>
      <c r="E91" s="38">
        <f>Data!E89</f>
        <v>2.3708352933925037E-2</v>
      </c>
      <c r="F91" s="38">
        <f>Data!F89</f>
        <v>2.9504047248661847E-2</v>
      </c>
      <c r="G91" s="38">
        <f t="shared" si="16"/>
        <v>1.7695086689141284E-2</v>
      </c>
      <c r="H91" s="38"/>
      <c r="I91" s="38"/>
      <c r="J91" s="38"/>
      <c r="K91" s="38"/>
      <c r="W91" s="60">
        <v>1.2693943678209901E-2</v>
      </c>
      <c r="X91" s="60">
        <v>1.39188728553574E-2</v>
      </c>
      <c r="Y91" s="60">
        <v>2.5056415991357999E-3</v>
      </c>
      <c r="Z91" s="56">
        <f t="shared" si="11"/>
        <v>2.8715585590727132E-3</v>
      </c>
      <c r="AM91">
        <v>3.3488800570329998E-2</v>
      </c>
      <c r="AN91">
        <v>6.8602324482860402E-3</v>
      </c>
      <c r="AO91">
        <v>-3.20957313429138E-3</v>
      </c>
      <c r="AP91" s="56">
        <f t="shared" si="12"/>
        <v>-1.0082666750317583E-2</v>
      </c>
      <c r="BC91">
        <v>3.46305763752097E-2</v>
      </c>
      <c r="BD91">
        <v>1.19405318117924E-2</v>
      </c>
      <c r="BE91" s="56">
        <f t="shared" si="13"/>
        <v>-4.4851504900545514E-2</v>
      </c>
      <c r="BR91">
        <v>9.1816785365172404E-2</v>
      </c>
      <c r="BS91">
        <v>1.11352948819967E-2</v>
      </c>
      <c r="BT91">
        <v>2.8698767139914202E-3</v>
      </c>
      <c r="BU91">
        <v>-1.6257760447181E-2</v>
      </c>
      <c r="BV91" s="56">
        <f t="shared" si="14"/>
        <v>1.0528622536666286E-2</v>
      </c>
      <c r="CI91">
        <v>3.1358498928861799E-2</v>
      </c>
      <c r="CJ91">
        <v>8.2654181680053007E-3</v>
      </c>
      <c r="CK91">
        <v>1.51995852773457E-2</v>
      </c>
      <c r="CL91" s="56">
        <f t="shared" si="15"/>
        <v>-3.9690489959368774E-4</v>
      </c>
    </row>
    <row r="92" spans="1:90" x14ac:dyDescent="0.2">
      <c r="A92" s="1">
        <v>40694</v>
      </c>
      <c r="B92" s="38">
        <f>Data!B90</f>
        <v>1.0741120218579203E-2</v>
      </c>
      <c r="C92" s="38">
        <f>Data!C90</f>
        <v>-1.6859006522830011E-2</v>
      </c>
      <c r="D92" s="38">
        <f>Data!D90</f>
        <v>-2.7437374135532155E-2</v>
      </c>
      <c r="E92" s="38">
        <f>Data!E90</f>
        <v>-2.3014873962964644E-2</v>
      </c>
      <c r="F92" s="38">
        <f>Data!F90</f>
        <v>6.9046765353686368E-3</v>
      </c>
      <c r="G92" s="38">
        <f t="shared" si="16"/>
        <v>-9.9330915734757944E-3</v>
      </c>
      <c r="H92" s="38"/>
      <c r="I92" s="38"/>
      <c r="J92" s="38"/>
      <c r="K92" s="38"/>
      <c r="W92" s="60">
        <v>1.3050121333772801E-2</v>
      </c>
      <c r="X92" s="60">
        <v>1.46616611568704E-2</v>
      </c>
      <c r="Y92" s="60">
        <v>-8.1599753983612206E-3</v>
      </c>
      <c r="Z92" s="56">
        <f t="shared" si="11"/>
        <v>1.6434791136227464E-3</v>
      </c>
      <c r="AM92">
        <v>-1.0886826127866799E-2</v>
      </c>
      <c r="AN92">
        <v>-3.2138089090594203E-4</v>
      </c>
      <c r="AO92">
        <v>-7.4291117698970198E-3</v>
      </c>
      <c r="AP92" s="56">
        <f t="shared" si="12"/>
        <v>-3.4318797760403766E-3</v>
      </c>
      <c r="BC92">
        <v>-5.0582091672951003E-2</v>
      </c>
      <c r="BD92">
        <v>-4.6510986692748198E-3</v>
      </c>
      <c r="BE92" s="56">
        <f t="shared" si="13"/>
        <v>1.3565513511134088E-2</v>
      </c>
      <c r="BR92">
        <v>-1.7893457824390901E-2</v>
      </c>
      <c r="BS92">
        <v>-9.8768207073909303E-3</v>
      </c>
      <c r="BT92">
        <v>-1.0873187113345201E-2</v>
      </c>
      <c r="BU92">
        <v>-1.4843100560157901E-3</v>
      </c>
      <c r="BV92" s="56">
        <f t="shared" si="14"/>
        <v>-1.0081806654321379E-2</v>
      </c>
      <c r="CI92">
        <v>6.0216616102444203E-3</v>
      </c>
      <c r="CJ92">
        <v>9.9636640595424097E-4</v>
      </c>
      <c r="CK92">
        <v>4.8901459354115896E-3</v>
      </c>
      <c r="CL92" s="56">
        <f t="shared" si="15"/>
        <v>7.7898608344415324E-4</v>
      </c>
    </row>
    <row r="93" spans="1:90" x14ac:dyDescent="0.2">
      <c r="A93" s="1">
        <v>40724</v>
      </c>
      <c r="B93" s="38">
        <f>Data!B91</f>
        <v>9.3485839148033101E-4</v>
      </c>
      <c r="C93" s="38">
        <f>Data!C91</f>
        <v>-2.6130448096356007E-2</v>
      </c>
      <c r="D93" s="38">
        <f>Data!D91</f>
        <v>-4.4209618561340536E-3</v>
      </c>
      <c r="E93" s="38">
        <f>Data!E91</f>
        <v>-1.7408496940163443E-2</v>
      </c>
      <c r="F93" s="38">
        <f>Data!F91</f>
        <v>1.0535258268982384E-2</v>
      </c>
      <c r="G93" s="38">
        <f t="shared" si="16"/>
        <v>-7.2979580464381574E-3</v>
      </c>
      <c r="H93" s="38"/>
      <c r="I93" s="38"/>
      <c r="J93" s="38"/>
      <c r="K93" s="38"/>
      <c r="W93" s="60">
        <v>-2.9277294423118998E-3</v>
      </c>
      <c r="X93" s="60">
        <v>1.12101019769539E-2</v>
      </c>
      <c r="Y93" s="60">
        <v>-7.1170361838089899E-3</v>
      </c>
      <c r="Z93" s="56">
        <f t="shared" si="11"/>
        <v>1.5913978584745317E-3</v>
      </c>
      <c r="AM93">
        <v>-1.43426072184305E-2</v>
      </c>
      <c r="AN93">
        <v>6.1608025568010696E-3</v>
      </c>
      <c r="AO93">
        <v>-6.3868590696966E-3</v>
      </c>
      <c r="AP93" s="56">
        <f t="shared" si="12"/>
        <v>-1.2010490896493404E-2</v>
      </c>
      <c r="BC93">
        <v>-5.04424162820424E-2</v>
      </c>
      <c r="BD93">
        <v>-1.0231641019401E-2</v>
      </c>
      <c r="BE93" s="56">
        <f t="shared" si="13"/>
        <v>4.3963246403705351E-2</v>
      </c>
      <c r="BR93">
        <v>-2.3148751074414602E-2</v>
      </c>
      <c r="BS93">
        <v>-1.2971422260582E-2</v>
      </c>
      <c r="BT93">
        <v>-1.046439447679E-2</v>
      </c>
      <c r="BU93">
        <v>4.0717453730455501E-3</v>
      </c>
      <c r="BV93" s="56">
        <f t="shared" si="14"/>
        <v>-3.5478605207681837E-3</v>
      </c>
      <c r="CI93">
        <v>1.10609343056785E-2</v>
      </c>
      <c r="CJ93">
        <v>-2.5070277837919699E-3</v>
      </c>
      <c r="CK93">
        <v>-1.0044765626120901E-2</v>
      </c>
      <c r="CL93" s="56">
        <f t="shared" si="15"/>
        <v>1.7559723184250899E-3</v>
      </c>
    </row>
    <row r="94" spans="1:90" x14ac:dyDescent="0.2">
      <c r="A94" s="1">
        <v>40753</v>
      </c>
      <c r="B94" s="38">
        <f>Data!B92</f>
        <v>9.2948411381117424E-3</v>
      </c>
      <c r="C94" s="38">
        <f>Data!C92</f>
        <v>1.5931244104391729E-2</v>
      </c>
      <c r="D94" s="38">
        <f>Data!D92</f>
        <v>4.5302466364798066E-2</v>
      </c>
      <c r="E94" s="38">
        <f>Data!E92</f>
        <v>1.6556570391669911E-2</v>
      </c>
      <c r="F94" s="38">
        <f>Data!F92</f>
        <v>4.0664689980820512E-2</v>
      </c>
      <c r="G94" s="38">
        <f t="shared" si="16"/>
        <v>2.5549962395958394E-2</v>
      </c>
      <c r="H94" s="38"/>
      <c r="I94" s="38"/>
      <c r="J94" s="38"/>
      <c r="K94" s="38"/>
      <c r="W94" s="60">
        <v>1.58680254837524E-2</v>
      </c>
      <c r="X94" s="60">
        <v>1.9459361063074401E-2</v>
      </c>
      <c r="Y94" s="60">
        <v>-3.5134893072694701E-3</v>
      </c>
      <c r="Z94" s="56">
        <f t="shared" si="11"/>
        <v>-1.4055063178555066E-3</v>
      </c>
      <c r="AM94">
        <v>-1.00234679055886E-2</v>
      </c>
      <c r="AN94">
        <v>2.3145777775859699E-2</v>
      </c>
      <c r="AO94">
        <v>-1.5810151599922499E-2</v>
      </c>
      <c r="AP94" s="56">
        <f t="shared" si="12"/>
        <v>1.9256803505502386E-2</v>
      </c>
      <c r="BC94">
        <v>2.9617689324444401E-2</v>
      </c>
      <c r="BD94">
        <v>-1.92531085116021E-3</v>
      </c>
      <c r="BE94" s="56">
        <f t="shared" si="13"/>
        <v>2.7522523609019845E-2</v>
      </c>
      <c r="BR94">
        <v>8.4577081264123305E-2</v>
      </c>
      <c r="BS94">
        <v>3.4010100506687299E-3</v>
      </c>
      <c r="BT94">
        <v>3.43450241174959E-3</v>
      </c>
      <c r="BU94">
        <v>1.7063345671843502E-2</v>
      </c>
      <c r="BV94" s="56">
        <f t="shared" si="14"/>
        <v>4.8112073551841578E-3</v>
      </c>
      <c r="CI94">
        <v>4.3724504936800003E-2</v>
      </c>
      <c r="CJ94">
        <v>-3.3492361080855703E-5</v>
      </c>
      <c r="CK94">
        <v>1.2354536176482999E-2</v>
      </c>
      <c r="CL94" s="56">
        <f t="shared" si="15"/>
        <v>-1.050571187280365E-3</v>
      </c>
    </row>
    <row r="95" spans="1:90" x14ac:dyDescent="0.2">
      <c r="A95" s="1">
        <v>40786</v>
      </c>
      <c r="B95" s="38">
        <f>Data!B93</f>
        <v>1.2453661119937731E-2</v>
      </c>
      <c r="C95" s="38">
        <f>Data!C93</f>
        <v>-6.0455999174662267E-2</v>
      </c>
      <c r="D95" s="38">
        <f>Data!D93</f>
        <v>-7.4837536604256516E-2</v>
      </c>
      <c r="E95" s="38">
        <f>Data!E93</f>
        <v>-5.1121648646952345E-3</v>
      </c>
      <c r="F95" s="38">
        <f>Data!F93</f>
        <v>1.1614351294218839E-2</v>
      </c>
      <c r="G95" s="38">
        <f t="shared" si="16"/>
        <v>-2.3267537645891487E-2</v>
      </c>
      <c r="H95" s="38"/>
      <c r="I95" s="38"/>
      <c r="J95" s="38"/>
      <c r="K95" s="38"/>
      <c r="W95" s="60">
        <v>1.4609963037143899E-2</v>
      </c>
      <c r="X95" s="60">
        <v>5.3210484965360303E-3</v>
      </c>
      <c r="Y95" s="60">
        <v>-5.4681116864943001E-2</v>
      </c>
      <c r="Z95" s="56">
        <f t="shared" si="11"/>
        <v>-3.2877833029529464E-4</v>
      </c>
      <c r="AM95">
        <v>-5.2774459891994599E-2</v>
      </c>
      <c r="AN95">
        <v>9.6312827023988801E-3</v>
      </c>
      <c r="AO95">
        <v>-3.2680635012279899E-2</v>
      </c>
      <c r="AP95" s="56">
        <f t="shared" si="12"/>
        <v>-1.0068973483670224E-3</v>
      </c>
      <c r="BC95">
        <v>9.9858719603633794E-3</v>
      </c>
      <c r="BD95">
        <v>-3.7205475368279103E-2</v>
      </c>
      <c r="BE95" s="56">
        <f t="shared" si="13"/>
        <v>-3.1850582662708987E-2</v>
      </c>
      <c r="BR95">
        <v>0.121999938539074</v>
      </c>
      <c r="BS95">
        <v>-2.44658040418794E-2</v>
      </c>
      <c r="BT95">
        <v>-2.7617308491720799E-3</v>
      </c>
      <c r="BU95">
        <v>5.4431745927553399E-3</v>
      </c>
      <c r="BV95" s="56">
        <f t="shared" si="14"/>
        <v>-6.2998314538459631E-3</v>
      </c>
      <c r="CI95">
        <v>1.9951230325870001E-2</v>
      </c>
      <c r="CJ95">
        <v>-2.1704073192707299E-2</v>
      </c>
      <c r="CK95">
        <v>-4.0071153827799098E-2</v>
      </c>
      <c r="CL95" s="56">
        <f t="shared" si="15"/>
        <v>-2.8636160323782522E-3</v>
      </c>
    </row>
    <row r="96" spans="1:90" x14ac:dyDescent="0.2">
      <c r="A96" s="1">
        <v>40816</v>
      </c>
      <c r="B96" s="38">
        <f>Data!B94</f>
        <v>1.7068698759490353E-3</v>
      </c>
      <c r="C96" s="38">
        <f>Data!C94</f>
        <v>-3.3929943999121415E-2</v>
      </c>
      <c r="D96" s="38">
        <f>Data!D94</f>
        <v>-0.20058644038488704</v>
      </c>
      <c r="E96" s="38">
        <f>Data!E94</f>
        <v>-1.2433538373822772E-2</v>
      </c>
      <c r="F96" s="38">
        <f>Data!F94</f>
        <v>-8.3202631880940903E-4</v>
      </c>
      <c r="G96" s="38">
        <f t="shared" si="16"/>
        <v>-4.9215015840138321E-2</v>
      </c>
      <c r="H96" s="38"/>
      <c r="I96" s="38"/>
      <c r="J96" s="38"/>
      <c r="K96" s="38"/>
      <c r="W96" s="60">
        <v>7.2746108025669703E-3</v>
      </c>
      <c r="X96" s="60">
        <v>-4.2005612589250799E-2</v>
      </c>
      <c r="Y96" s="60">
        <v>-4.32217992708313E-2</v>
      </c>
      <c r="Z96" s="56">
        <f t="shared" si="11"/>
        <v>-3.4335557811382084E-3</v>
      </c>
      <c r="AM96">
        <v>-7.3684392965963005E-2</v>
      </c>
      <c r="AN96">
        <v>1.88904497320441E-3</v>
      </c>
      <c r="AO96">
        <v>-4.1803399819180902E-2</v>
      </c>
      <c r="AP96" s="56">
        <f t="shared" si="12"/>
        <v>5.3633393260947723E-2</v>
      </c>
      <c r="BC96">
        <v>-0.147349942083254</v>
      </c>
      <c r="BD96">
        <v>-3.9415250609949902E-2</v>
      </c>
      <c r="BE96" s="56">
        <f t="shared" si="13"/>
        <v>-4.6483562259220207E-2</v>
      </c>
      <c r="BR96">
        <v>-0.11052011722494599</v>
      </c>
      <c r="BS96">
        <v>-2.27382412298292E-2</v>
      </c>
      <c r="BT96">
        <v>-5.9400443721740999E-3</v>
      </c>
      <c r="BU96">
        <v>9.9451249741936403E-3</v>
      </c>
      <c r="BV96" s="56">
        <f t="shared" si="14"/>
        <v>8.5917228625998938E-3</v>
      </c>
      <c r="CI96">
        <v>2.3388110335183002E-3</v>
      </c>
      <c r="CJ96">
        <v>-1.6798196857655101E-2</v>
      </c>
      <c r="CK96">
        <v>-3.59471884682643E-2</v>
      </c>
      <c r="CL96" s="56">
        <f t="shared" si="15"/>
        <v>6.5641714723897997E-4</v>
      </c>
    </row>
    <row r="97" spans="1:90" x14ac:dyDescent="0.2">
      <c r="A97" s="1">
        <v>40847</v>
      </c>
      <c r="B97" s="38">
        <f>Data!B95</f>
        <v>-2.7483248959736528E-5</v>
      </c>
      <c r="C97" s="38">
        <f>Data!C95</f>
        <v>0.11513980450102301</v>
      </c>
      <c r="D97" s="38">
        <f>Data!D95</f>
        <v>9.3217606117719676E-2</v>
      </c>
      <c r="E97" s="38">
        <f>Data!E95</f>
        <v>-9.2411245091531535E-3</v>
      </c>
      <c r="F97" s="38">
        <f>Data!F95</f>
        <v>1.1275208897651989E-2</v>
      </c>
      <c r="G97" s="38">
        <f t="shared" si="16"/>
        <v>4.2072802351656363E-2</v>
      </c>
      <c r="H97" s="38"/>
      <c r="I97" s="38"/>
      <c r="J97" s="38"/>
      <c r="K97" s="38"/>
      <c r="W97" s="60">
        <v>1.07416909021296E-3</v>
      </c>
      <c r="X97" s="60">
        <v>4.5089641618925903E-2</v>
      </c>
      <c r="Y97" s="60">
        <v>5.8483067583956903E-2</v>
      </c>
      <c r="Z97" s="56">
        <f t="shared" si="11"/>
        <v>1.0522294546051192E-3</v>
      </c>
      <c r="AM97">
        <v>0.10973930274482099</v>
      </c>
      <c r="AN97">
        <v>-4.7517361960460799E-3</v>
      </c>
      <c r="AO97">
        <v>4.2065054134454702E-2</v>
      </c>
      <c r="AP97" s="56">
        <f t="shared" si="12"/>
        <v>-1.0876028816990374E-2</v>
      </c>
      <c r="BC97">
        <v>6.6183529972758906E-2</v>
      </c>
      <c r="BD97">
        <v>3.02568292427325E-2</v>
      </c>
      <c r="BE97" s="56">
        <f t="shared" si="13"/>
        <v>7.1810830690156313E-3</v>
      </c>
      <c r="BR97">
        <v>5.5986303647639103E-2</v>
      </c>
      <c r="BS97">
        <v>7.56846857609683E-3</v>
      </c>
      <c r="BT97">
        <v>-5.09509810480702E-3</v>
      </c>
      <c r="BU97">
        <v>-6.0212196763237399E-2</v>
      </c>
      <c r="BV97" s="56">
        <f t="shared" si="14"/>
        <v>-1.0534284953532579E-2</v>
      </c>
      <c r="CI97">
        <v>1.1497070344723701E-2</v>
      </c>
      <c r="CJ97">
        <v>1.26635666809039E-2</v>
      </c>
      <c r="CK97">
        <v>5.95572366741699E-2</v>
      </c>
      <c r="CL97" s="56">
        <f t="shared" si="15"/>
        <v>-7.0312935848972843E-3</v>
      </c>
    </row>
    <row r="98" spans="1:90" x14ac:dyDescent="0.2">
      <c r="A98" s="1">
        <v>40877</v>
      </c>
      <c r="B98" s="38">
        <f>Data!B96</f>
        <v>1.8194410852883092E-3</v>
      </c>
      <c r="C98" s="38">
        <f>Data!C96</f>
        <v>-1.7225563143410394E-2</v>
      </c>
      <c r="D98" s="38">
        <f>Data!D96</f>
        <v>-3.0156198018320812E-2</v>
      </c>
      <c r="E98" s="38">
        <f>Data!E96</f>
        <v>-6.527056965234701E-3</v>
      </c>
      <c r="F98" s="38">
        <f>Data!F96</f>
        <v>1.296199895887562E-2</v>
      </c>
      <c r="G98" s="38">
        <f t="shared" si="16"/>
        <v>-7.8254756165603949E-3</v>
      </c>
      <c r="H98" s="38"/>
      <c r="I98" s="38"/>
      <c r="J98" s="38"/>
      <c r="K98" s="38"/>
      <c r="W98" s="60">
        <v>-8.6754524647991705E-4</v>
      </c>
      <c r="X98" s="60">
        <v>-5.8542816086857297E-3</v>
      </c>
      <c r="Y98" s="60">
        <v>-2.12478475584735E-2</v>
      </c>
      <c r="Z98" s="56">
        <f t="shared" si="11"/>
        <v>1.1591635304509435E-3</v>
      </c>
      <c r="AM98">
        <v>-9.6456063086947097E-5</v>
      </c>
      <c r="AN98">
        <v>5.0854595702854999E-3</v>
      </c>
      <c r="AO98">
        <v>-1.43486620035382E-3</v>
      </c>
      <c r="AP98" s="56">
        <f t="shared" si="12"/>
        <v>-1.9168821550136255E-2</v>
      </c>
      <c r="BC98">
        <v>-2.2190194824339898E-2</v>
      </c>
      <c r="BD98">
        <v>-1.1847623913450799E-2</v>
      </c>
      <c r="BE98" s="56">
        <f t="shared" si="13"/>
        <v>9.722444104775449E-4</v>
      </c>
      <c r="BR98">
        <v>1.8458039307167402E-2</v>
      </c>
      <c r="BS98">
        <v>-8.4087184938023106E-3</v>
      </c>
      <c r="BT98">
        <v>-2.4594883000992299E-3</v>
      </c>
      <c r="BU98">
        <v>-1.80048766640514E-2</v>
      </c>
      <c r="BV98" s="56">
        <f t="shared" si="14"/>
        <v>-3.0015457408394154E-3</v>
      </c>
      <c r="CI98">
        <v>1.1380370957218699E-2</v>
      </c>
      <c r="CJ98">
        <v>-5.9492301937030803E-3</v>
      </c>
      <c r="CK98">
        <v>-2.2115392804953501E-2</v>
      </c>
      <c r="CL98" s="56">
        <f t="shared" si="15"/>
        <v>5.3760995999427106E-3</v>
      </c>
    </row>
    <row r="99" spans="1:90" x14ac:dyDescent="0.2">
      <c r="A99" s="1">
        <v>40907</v>
      </c>
      <c r="B99" s="38">
        <f>Data!B97</f>
        <v>7.0121533016926918E-3</v>
      </c>
      <c r="C99" s="38">
        <f>Data!C97</f>
        <v>-8.8155984235637197E-3</v>
      </c>
      <c r="D99" s="38">
        <f>Data!D97</f>
        <v>-4.251515088373814E-2</v>
      </c>
      <c r="E99" s="38">
        <f>Data!E97</f>
        <v>-2.4774665427476084E-3</v>
      </c>
      <c r="F99" s="38">
        <f>Data!F97</f>
        <v>2.0602759181309604E-3</v>
      </c>
      <c r="G99" s="38">
        <f t="shared" si="16"/>
        <v>-8.9471573260451638E-3</v>
      </c>
      <c r="H99" s="38"/>
      <c r="I99" s="38"/>
      <c r="J99" s="38"/>
      <c r="K99" s="38"/>
      <c r="W99" s="60">
        <v>1.0990831452971901E-2</v>
      </c>
      <c r="X99" s="60">
        <v>1.17953568050822E-2</v>
      </c>
      <c r="Y99" s="60">
        <v>1.3795934670993101E-2</v>
      </c>
      <c r="Z99" s="56">
        <f t="shared" si="11"/>
        <v>8.2159778899009404E-4</v>
      </c>
      <c r="AM99">
        <v>-3.2155122585522098E-3</v>
      </c>
      <c r="AN99">
        <v>-2.3367054959672701E-2</v>
      </c>
      <c r="AO99">
        <v>-3.6237187872158998E-3</v>
      </c>
      <c r="AP99" s="56">
        <f t="shared" si="12"/>
        <v>5.9216645795310812E-3</v>
      </c>
      <c r="BC99">
        <v>-3.7479116915664301E-2</v>
      </c>
      <c r="BD99">
        <v>-2.1027664599208001E-3</v>
      </c>
      <c r="BE99" s="56">
        <f t="shared" si="13"/>
        <v>-1.3933944921615343E-2</v>
      </c>
      <c r="BR99">
        <v>-0.103896698828986</v>
      </c>
      <c r="BS99">
        <v>-4.9091743503163502E-3</v>
      </c>
      <c r="BT99">
        <v>-8.6996348110030004E-3</v>
      </c>
      <c r="BU99">
        <v>-1.9372139308066999E-2</v>
      </c>
      <c r="BV99" s="56">
        <f t="shared" si="14"/>
        <v>1.54984348425025E-2</v>
      </c>
      <c r="CI99">
        <v>3.56185087226169E-3</v>
      </c>
      <c r="CJ99">
        <v>3.7904604606866501E-3</v>
      </c>
      <c r="CK99">
        <v>2.4786766123964899E-2</v>
      </c>
      <c r="CL99" s="56">
        <f t="shared" si="15"/>
        <v>-4.6281544633427858E-3</v>
      </c>
    </row>
    <row r="100" spans="1:90" x14ac:dyDescent="0.2">
      <c r="A100" s="1">
        <v>40939</v>
      </c>
      <c r="B100" s="38">
        <f>Data!B98</f>
        <v>4.0755613431917581E-3</v>
      </c>
      <c r="C100" s="38">
        <f>Data!C98</f>
        <v>7.6174531756827424E-2</v>
      </c>
      <c r="D100" s="38">
        <f>Data!D98</f>
        <v>0.10917466712485657</v>
      </c>
      <c r="E100" s="38">
        <f>Data!E98</f>
        <v>1.2674140364055342E-2</v>
      </c>
      <c r="F100" s="38">
        <f>Data!F98</f>
        <v>2.545106997995239E-2</v>
      </c>
      <c r="G100" s="38">
        <f t="shared" si="16"/>
        <v>4.5509994113776694E-2</v>
      </c>
      <c r="H100" s="38"/>
      <c r="I100" s="38"/>
      <c r="J100" s="38"/>
      <c r="K100" s="38"/>
      <c r="W100" s="60">
        <v>8.7807027952468992E-3</v>
      </c>
      <c r="X100" s="60">
        <v>1.7619047619047701E-2</v>
      </c>
      <c r="Y100" s="60">
        <v>2.0248602123550199E-2</v>
      </c>
      <c r="Z100" s="56">
        <f t="shared" ref="Z100:Z123" si="17">B100-SUMPRODUCT(W100:Y100, W$2:Y$2)</f>
        <v>-6.5573325062427516E-4</v>
      </c>
      <c r="AM100">
        <v>5.9691660457493502E-2</v>
      </c>
      <c r="AN100">
        <v>2.1861869679874701E-2</v>
      </c>
      <c r="AO100">
        <v>2.5835901386118E-2</v>
      </c>
      <c r="AP100" s="56">
        <f t="shared" ref="AP100:AP123" si="18">C100-SUMPRODUCT(AM100:AO100, AM$2:AO$2)</f>
        <v>-3.9387603569438767E-3</v>
      </c>
      <c r="BC100">
        <v>2.47286754553602E-2</v>
      </c>
      <c r="BD100">
        <v>2.53480049964987E-2</v>
      </c>
      <c r="BE100" s="56">
        <f t="shared" ref="BE100:BE123" si="19">D100-SUMPRODUCT(BC100:BD100, BC$2:BD$2)</f>
        <v>5.8212153438550601E-2</v>
      </c>
      <c r="BR100">
        <v>0.11045363631135301</v>
      </c>
      <c r="BS100">
        <v>1.57456894257475E-2</v>
      </c>
      <c r="BT100">
        <v>-3.9926837045045601E-3</v>
      </c>
      <c r="BU100">
        <v>-5.99084361411251E-3</v>
      </c>
      <c r="BV100" s="56">
        <f t="shared" ref="BV100:BV123" si="20">E100-SUMPRODUCT(BR100:BU100, BR$2:BU$2)</f>
        <v>1.1939351332902783E-3</v>
      </c>
      <c r="CI100">
        <v>2.8705893156408601E-2</v>
      </c>
      <c r="CJ100">
        <v>1.9738373130252101E-2</v>
      </c>
      <c r="CK100">
        <v>2.90293049187971E-2</v>
      </c>
      <c r="CL100" s="56">
        <f t="shared" ref="CL100:CL123" si="21">F100-SUMPRODUCT(CI100:CK100, CI$2:CK$2)</f>
        <v>-2.8134788466387881E-3</v>
      </c>
    </row>
    <row r="101" spans="1:90" x14ac:dyDescent="0.2">
      <c r="A101" s="1">
        <v>40968</v>
      </c>
      <c r="B101" s="38">
        <f>Data!B99</f>
        <v>9.225042191001176E-4</v>
      </c>
      <c r="C101" s="38">
        <f>Data!C99</f>
        <v>7.3505104521147224E-2</v>
      </c>
      <c r="D101" s="38">
        <f>Data!D99</f>
        <v>7.8517511604270229E-3</v>
      </c>
      <c r="E101" s="38">
        <f>Data!E99</f>
        <v>7.894786998136949E-3</v>
      </c>
      <c r="F101" s="38">
        <f>Data!F99</f>
        <v>-3.2189280242237439E-3</v>
      </c>
      <c r="G101" s="38">
        <f t="shared" si="16"/>
        <v>1.7391043774917514E-2</v>
      </c>
      <c r="H101" s="38"/>
      <c r="I101" s="38"/>
      <c r="J101" s="38"/>
      <c r="K101" s="38"/>
      <c r="W101" s="60">
        <v>-2.2964942055525599E-4</v>
      </c>
      <c r="X101" s="60">
        <v>2.9515242898490401E-2</v>
      </c>
      <c r="Y101" s="60">
        <v>2.3014817999653301E-2</v>
      </c>
      <c r="Z101" s="56">
        <f t="shared" si="17"/>
        <v>1.118325021759759E-3</v>
      </c>
      <c r="AM101">
        <v>4.7824706102695298E-2</v>
      </c>
      <c r="AN101">
        <v>7.9615903943641708E-3</v>
      </c>
      <c r="AO101">
        <v>-1.9309842736031702E-2</v>
      </c>
      <c r="AP101" s="56">
        <f t="shared" si="18"/>
        <v>2.0607148277215076E-2</v>
      </c>
      <c r="BC101">
        <v>2.6986806266247301E-2</v>
      </c>
      <c r="BD101">
        <v>1.86380526399328E-2</v>
      </c>
      <c r="BE101" s="56">
        <f t="shared" si="19"/>
        <v>-3.5672410989143588E-2</v>
      </c>
      <c r="BR101">
        <v>-2.3593591750299198E-2</v>
      </c>
      <c r="BS101">
        <v>1.32009559803286E-2</v>
      </c>
      <c r="BT101">
        <v>-2.5665610837164502E-3</v>
      </c>
      <c r="BU101">
        <v>-1.4307816435817701E-2</v>
      </c>
      <c r="BV101" s="56">
        <f t="shared" si="20"/>
        <v>8.2774333749450549E-3</v>
      </c>
      <c r="CI101">
        <v>-3.6465563029186598E-3</v>
      </c>
      <c r="CJ101">
        <v>1.5767517064045E-2</v>
      </c>
      <c r="CK101">
        <v>2.2785168579098101E-2</v>
      </c>
      <c r="CL101" s="56">
        <f t="shared" si="21"/>
        <v>-1.5658790721983233E-3</v>
      </c>
    </row>
    <row r="102" spans="1:90" x14ac:dyDescent="0.2">
      <c r="A102" s="1">
        <v>40998</v>
      </c>
      <c r="B102" s="38">
        <f>Data!B100</f>
        <v>6.5057928663980746E-4</v>
      </c>
      <c r="C102" s="38">
        <f>Data!C100</f>
        <v>5.053890046191456E-2</v>
      </c>
      <c r="D102" s="38">
        <f>Data!D100</f>
        <v>-5.3876550097044507E-2</v>
      </c>
      <c r="E102" s="38">
        <f>Data!E100</f>
        <v>-1.3185557759400779E-2</v>
      </c>
      <c r="F102" s="38">
        <f>Data!F100</f>
        <v>-5.4597452118900769E-3</v>
      </c>
      <c r="G102" s="38">
        <f t="shared" si="16"/>
        <v>-4.2664746639561983E-3</v>
      </c>
      <c r="H102" s="38"/>
      <c r="I102" s="38"/>
      <c r="J102" s="38"/>
      <c r="K102" s="38"/>
      <c r="W102" s="60">
        <v>-5.4792371646907902E-3</v>
      </c>
      <c r="X102" s="60">
        <v>9.42729201037107E-4</v>
      </c>
      <c r="Y102" s="60">
        <v>4.5436507331165802E-3</v>
      </c>
      <c r="Z102" s="56">
        <f t="shared" si="17"/>
        <v>4.1762569692034976E-3</v>
      </c>
      <c r="AM102">
        <v>3.28918267156941E-2</v>
      </c>
      <c r="AN102">
        <v>3.24781745075664E-3</v>
      </c>
      <c r="AO102">
        <v>-7.2870591812044302E-3</v>
      </c>
      <c r="AP102" s="56">
        <f t="shared" si="18"/>
        <v>1.4121313305749388E-2</v>
      </c>
      <c r="BC102">
        <v>-4.1365310590923701E-2</v>
      </c>
      <c r="BD102">
        <v>3.94883328684248E-3</v>
      </c>
      <c r="BE102" s="56">
        <f t="shared" si="19"/>
        <v>-3.0732417447742834E-2</v>
      </c>
      <c r="BR102">
        <v>-1.6861547891274999E-2</v>
      </c>
      <c r="BS102">
        <v>1.37426761502368E-3</v>
      </c>
      <c r="BT102">
        <v>-3.7818742078556998E-3</v>
      </c>
      <c r="BU102">
        <v>-3.285625078321E-2</v>
      </c>
      <c r="BV102" s="56">
        <f t="shared" si="20"/>
        <v>-8.083997282262511E-3</v>
      </c>
      <c r="CI102">
        <v>-8.1575057115978993E-3</v>
      </c>
      <c r="CJ102">
        <v>5.1561418228793796E-3</v>
      </c>
      <c r="CK102">
        <v>-9.3558643157420896E-4</v>
      </c>
      <c r="CL102" s="56">
        <f t="shared" si="21"/>
        <v>2.7389281269571009E-3</v>
      </c>
    </row>
    <row r="103" spans="1:90" x14ac:dyDescent="0.2">
      <c r="A103" s="1">
        <v>41029</v>
      </c>
      <c r="B103" s="38">
        <f>Data!B101</f>
        <v>6.4853091764145443E-3</v>
      </c>
      <c r="C103" s="38">
        <f>Data!C101</f>
        <v>-1.8880938011897608E-2</v>
      </c>
      <c r="D103" s="38">
        <f>Data!D101</f>
        <v>3.0949312899457571E-3</v>
      </c>
      <c r="E103" s="38">
        <f>Data!E101</f>
        <v>-5.7933653187722811E-3</v>
      </c>
      <c r="F103" s="38">
        <f>Data!F101</f>
        <v>2.0339931389994792E-2</v>
      </c>
      <c r="G103" s="38">
        <f t="shared" si="16"/>
        <v>1.0491737051370421E-3</v>
      </c>
      <c r="H103" s="38"/>
      <c r="I103" s="38"/>
      <c r="J103" s="38"/>
      <c r="K103" s="38"/>
      <c r="W103" s="60">
        <v>1.10864495194745E-2</v>
      </c>
      <c r="X103" s="60">
        <v>1.7558612802314199E-2</v>
      </c>
      <c r="Y103" s="60">
        <v>-8.6388088692923603E-4</v>
      </c>
      <c r="Z103" s="56">
        <f t="shared" si="17"/>
        <v>-1.0873455026178891E-3</v>
      </c>
      <c r="AM103">
        <v>-1.5445927847312899E-3</v>
      </c>
      <c r="AN103">
        <v>8.6526601626244499E-3</v>
      </c>
      <c r="AO103">
        <v>-9.1698007191365304E-3</v>
      </c>
      <c r="AP103" s="56">
        <f t="shared" si="18"/>
        <v>-1.9495283643531418E-2</v>
      </c>
      <c r="BC103">
        <v>-4.2323117162766898E-3</v>
      </c>
      <c r="BD103">
        <v>-3.3190076789352302E-3</v>
      </c>
      <c r="BE103" s="56">
        <f t="shared" si="19"/>
        <v>1.0451406205862747E-2</v>
      </c>
      <c r="BR103">
        <v>-2.03818601444716E-3</v>
      </c>
      <c r="BS103">
        <v>-2.8145952957865398E-3</v>
      </c>
      <c r="BT103">
        <v>-5.7231793588730104E-3</v>
      </c>
      <c r="BU103">
        <v>-1.9110415846273999E-3</v>
      </c>
      <c r="BV103" s="56">
        <f t="shared" si="20"/>
        <v>-3.4665773687845604E-4</v>
      </c>
      <c r="CI103">
        <v>2.2289066840101499E-2</v>
      </c>
      <c r="CJ103">
        <v>2.9085840630864702E-3</v>
      </c>
      <c r="CK103">
        <v>1.02225686325452E-2</v>
      </c>
      <c r="CL103" s="56">
        <f t="shared" si="21"/>
        <v>-1.1855736541660049E-3</v>
      </c>
    </row>
    <row r="104" spans="1:90" x14ac:dyDescent="0.2">
      <c r="A104" s="1">
        <v>41060</v>
      </c>
      <c r="B104" s="38">
        <f>Data!B102</f>
        <v>3.1652383618276936E-3</v>
      </c>
      <c r="C104" s="38">
        <f>Data!C102</f>
        <v>-7.7152899824253107E-2</v>
      </c>
      <c r="D104" s="38">
        <f>Data!D102</f>
        <v>-9.6474373693121063E-2</v>
      </c>
      <c r="E104" s="38">
        <f>Data!E102</f>
        <v>4.0365403664328614E-3</v>
      </c>
      <c r="F104" s="38">
        <f>Data!F102</f>
        <v>1.8428705630643805E-2</v>
      </c>
      <c r="G104" s="38">
        <f t="shared" si="16"/>
        <v>-2.959935783169397E-2</v>
      </c>
      <c r="H104" s="38"/>
      <c r="I104" s="38"/>
      <c r="J104" s="38"/>
      <c r="K104" s="38"/>
      <c r="W104" s="60">
        <v>9.0482611069633307E-3</v>
      </c>
      <c r="X104" s="60">
        <v>-2.7718091963902E-2</v>
      </c>
      <c r="Y104" s="60">
        <v>-2.1120801506882E-2</v>
      </c>
      <c r="Z104" s="56">
        <f t="shared" si="17"/>
        <v>-2.2361612471446385E-3</v>
      </c>
      <c r="AM104">
        <v>-6.4146341840476004E-2</v>
      </c>
      <c r="AN104">
        <v>-5.5058055253708301E-3</v>
      </c>
      <c r="AO104">
        <v>-6.0891766074489002E-3</v>
      </c>
      <c r="AP104" s="56">
        <f t="shared" si="18"/>
        <v>-2.9691599729425311E-3</v>
      </c>
      <c r="BC104">
        <v>-9.1319863255492101E-2</v>
      </c>
      <c r="BD104">
        <v>-2.3300716813589299E-2</v>
      </c>
      <c r="BE104" s="56">
        <f t="shared" si="19"/>
        <v>-2.4792022074612841E-3</v>
      </c>
      <c r="BR104">
        <v>-6.2616008409671103E-2</v>
      </c>
      <c r="BS104">
        <v>-1.1900829122259199E-2</v>
      </c>
      <c r="BT104">
        <v>-1.3566314264100701E-3</v>
      </c>
      <c r="BU104">
        <v>1.29728512971611E-2</v>
      </c>
      <c r="BV104" s="56">
        <f t="shared" si="20"/>
        <v>1.3859113827765883E-2</v>
      </c>
      <c r="CI104">
        <v>2.41755911356165E-2</v>
      </c>
      <c r="CJ104">
        <v>-1.0544197695849101E-2</v>
      </c>
      <c r="CK104">
        <v>-1.20725403999187E-2</v>
      </c>
      <c r="CL104" s="56">
        <f t="shared" si="21"/>
        <v>-2.9426043896314952E-3</v>
      </c>
    </row>
    <row r="105" spans="1:90" x14ac:dyDescent="0.2">
      <c r="A105" s="1">
        <v>41089</v>
      </c>
      <c r="B105" s="38">
        <f>Data!B103</f>
        <v>1.15907188392117E-3</v>
      </c>
      <c r="C105" s="38">
        <f>Data!C103</f>
        <v>2.9708626928204307E-2</v>
      </c>
      <c r="D105" s="38">
        <f>Data!D103</f>
        <v>3.8363418335760624E-3</v>
      </c>
      <c r="E105" s="38">
        <f>Data!E103</f>
        <v>-1.4201680418060025E-2</v>
      </c>
      <c r="F105" s="38">
        <f>Data!F103</f>
        <v>-3.5396042881291612E-3</v>
      </c>
      <c r="G105" s="38">
        <f t="shared" si="16"/>
        <v>3.3925511879024711E-3</v>
      </c>
      <c r="H105" s="38"/>
      <c r="I105" s="38"/>
      <c r="J105" s="38"/>
      <c r="K105" s="38"/>
      <c r="W105" s="60">
        <v>3.92035603458796E-4</v>
      </c>
      <c r="X105" s="60">
        <v>3.5682107947301298E-2</v>
      </c>
      <c r="Y105" s="60">
        <v>1.99454335629108E-2</v>
      </c>
      <c r="Z105" s="56">
        <f t="shared" si="17"/>
        <v>4.4777966926319449E-4</v>
      </c>
      <c r="AM105">
        <v>2.7153093515513999E-2</v>
      </c>
      <c r="AN105">
        <v>-2.24959792860056E-2</v>
      </c>
      <c r="AO105">
        <v>8.6978029228439498E-3</v>
      </c>
      <c r="AP105" s="56">
        <f t="shared" si="18"/>
        <v>8.4660375201784689E-3</v>
      </c>
      <c r="BC105">
        <v>5.4929753128882798E-2</v>
      </c>
      <c r="BD105">
        <v>1.7875513651273199E-3</v>
      </c>
      <c r="BE105" s="56">
        <f t="shared" si="19"/>
        <v>-3.6318345129354654E-2</v>
      </c>
      <c r="BR105">
        <v>2.3671748338684101E-2</v>
      </c>
      <c r="BS105">
        <v>-4.06069462806236E-3</v>
      </c>
      <c r="BT105">
        <v>-1.28868491578609E-2</v>
      </c>
      <c r="BU105">
        <v>-3.1983860838842797E-2</v>
      </c>
      <c r="BV105" s="56">
        <f t="shared" si="20"/>
        <v>-4.1406442718169029E-3</v>
      </c>
      <c r="CI105">
        <v>-1.5960934534285901E-3</v>
      </c>
      <c r="CJ105">
        <v>8.8261545297985099E-3</v>
      </c>
      <c r="CK105">
        <v>2.0337469166369599E-2</v>
      </c>
      <c r="CL105" s="56">
        <f t="shared" si="21"/>
        <v>-4.2167555160028698E-3</v>
      </c>
    </row>
    <row r="106" spans="1:90" x14ac:dyDescent="0.2">
      <c r="A106" s="1">
        <v>41121</v>
      </c>
      <c r="B106" s="38">
        <f>Data!B104</f>
        <v>8.0344317475291582E-3</v>
      </c>
      <c r="C106" s="38">
        <f>Data!C104</f>
        <v>9.8021083780284179E-3</v>
      </c>
      <c r="D106" s="38">
        <f>Data!D104</f>
        <v>-2.4762950828857599E-2</v>
      </c>
      <c r="E106" s="38">
        <f>Data!E104</f>
        <v>2.0088961747473988E-2</v>
      </c>
      <c r="F106" s="38">
        <f>Data!F104</f>
        <v>1.4306151645207432E-2</v>
      </c>
      <c r="G106" s="38">
        <f t="shared" si="16"/>
        <v>5.4937405378762787E-3</v>
      </c>
      <c r="H106" s="38"/>
      <c r="I106" s="38"/>
      <c r="J106" s="38"/>
      <c r="K106" s="38"/>
      <c r="W106" s="60">
        <v>1.37931415135475E-2</v>
      </c>
      <c r="X106" s="60">
        <v>4.00334843411463E-2</v>
      </c>
      <c r="Y106" s="60">
        <v>5.3701592913111299E-3</v>
      </c>
      <c r="Z106" s="56">
        <f t="shared" si="17"/>
        <v>-1.8905394413525865E-3</v>
      </c>
      <c r="AM106">
        <v>1.34049181982987E-2</v>
      </c>
      <c r="AN106">
        <v>3.0551305981481001E-3</v>
      </c>
      <c r="AO106">
        <v>-2.7708225631883E-2</v>
      </c>
      <c r="AP106" s="56">
        <f t="shared" si="18"/>
        <v>-1.5138156717591604E-3</v>
      </c>
      <c r="BC106">
        <v>6.46861266860701E-2</v>
      </c>
      <c r="BD106">
        <v>4.6644080283071397E-3</v>
      </c>
      <c r="BE106" s="56">
        <f t="shared" si="19"/>
        <v>-7.5479002287589469E-2</v>
      </c>
      <c r="BR106">
        <v>1.07233403236406E-2</v>
      </c>
      <c r="BS106">
        <v>9.0257066089889405E-3</v>
      </c>
      <c r="BT106">
        <v>-2.99064278098027E-3</v>
      </c>
      <c r="BU106">
        <v>-1.11355550638803E-2</v>
      </c>
      <c r="BV106" s="56">
        <f t="shared" si="20"/>
        <v>1.8960175957798621E-2</v>
      </c>
      <c r="CI106">
        <v>1.7939389749660899E-2</v>
      </c>
      <c r="CJ106">
        <v>1.20163493899692E-2</v>
      </c>
      <c r="CK106">
        <v>1.9163300804858601E-2</v>
      </c>
      <c r="CL106" s="56">
        <f t="shared" si="21"/>
        <v>-3.5579681034219358E-3</v>
      </c>
    </row>
    <row r="107" spans="1:90" x14ac:dyDescent="0.2">
      <c r="A107" s="1">
        <v>41152</v>
      </c>
      <c r="B107" s="38">
        <f>Data!B105</f>
        <v>1.1272338638066426E-3</v>
      </c>
      <c r="C107" s="38">
        <f>Data!C105</f>
        <v>5.0091575091575136E-2</v>
      </c>
      <c r="D107" s="38">
        <f>Data!D105</f>
        <v>2.8132267343761175E-3</v>
      </c>
      <c r="E107" s="38">
        <f>Data!E105</f>
        <v>-2.2822593880253983E-3</v>
      </c>
      <c r="F107" s="38">
        <f>Data!F105</f>
        <v>4.2793451728551091E-4</v>
      </c>
      <c r="G107" s="38">
        <f t="shared" si="16"/>
        <v>1.0435542163803603E-2</v>
      </c>
      <c r="H107" s="38"/>
      <c r="I107" s="38"/>
      <c r="J107" s="38"/>
      <c r="K107" s="38"/>
      <c r="W107" s="60">
        <v>6.5332433197595697E-4</v>
      </c>
      <c r="X107" s="60">
        <v>1.15998295535249E-2</v>
      </c>
      <c r="Y107" s="60">
        <v>1.14050561200521E-2</v>
      </c>
      <c r="Z107" s="56">
        <f t="shared" si="17"/>
        <v>9.2677078989687137E-4</v>
      </c>
      <c r="AM107">
        <v>2.6904143782650901E-2</v>
      </c>
      <c r="AN107">
        <v>5.1925206532126298E-3</v>
      </c>
      <c r="AO107">
        <v>1.08246347755623E-2</v>
      </c>
      <c r="AP107" s="56">
        <f t="shared" si="18"/>
        <v>1.6233341002585826E-2</v>
      </c>
      <c r="BC107">
        <v>1.29835599280488E-2</v>
      </c>
      <c r="BD107">
        <v>1.13629652106022E-2</v>
      </c>
      <c r="BE107" s="56">
        <f t="shared" si="19"/>
        <v>-2.1337041884184109E-2</v>
      </c>
      <c r="BR107">
        <v>4.7857647189981201E-2</v>
      </c>
      <c r="BS107">
        <v>6.60026499423316E-3</v>
      </c>
      <c r="BT107">
        <v>-3.9318030888184597E-3</v>
      </c>
      <c r="BU107">
        <v>-1.0744005186284799E-2</v>
      </c>
      <c r="BV107" s="56">
        <f t="shared" si="20"/>
        <v>-5.2310984977189572E-3</v>
      </c>
      <c r="CI107">
        <v>-2.3769301946535699E-3</v>
      </c>
      <c r="CJ107">
        <v>1.0532068083051601E-2</v>
      </c>
      <c r="CK107">
        <v>1.2058380452028001E-2</v>
      </c>
      <c r="CL107" s="56">
        <f t="shared" si="21"/>
        <v>1.9779104196444141E-3</v>
      </c>
    </row>
    <row r="108" spans="1:90" x14ac:dyDescent="0.2">
      <c r="A108" s="1">
        <v>41180</v>
      </c>
      <c r="B108" s="38">
        <f>Data!B106</f>
        <v>2.07666119617822E-3</v>
      </c>
      <c r="C108" s="38">
        <f>Data!C106</f>
        <v>1.2121740647074164E-2</v>
      </c>
      <c r="D108" s="38">
        <f>Data!D106</f>
        <v>0.11025124105342266</v>
      </c>
      <c r="E108" s="38">
        <f>Data!E106</f>
        <v>-3.0175992760539394E-4</v>
      </c>
      <c r="F108" s="38">
        <f>Data!F106</f>
        <v>1.0222387115078391E-2</v>
      </c>
      <c r="G108" s="38">
        <f t="shared" si="16"/>
        <v>2.6874054016829609E-2</v>
      </c>
      <c r="H108" s="38"/>
      <c r="I108" s="38"/>
      <c r="J108" s="38"/>
      <c r="K108" s="38"/>
      <c r="W108" s="60">
        <v>1.3765261485561E-3</v>
      </c>
      <c r="X108" s="60">
        <v>1.47274485943398E-2</v>
      </c>
      <c r="Y108" s="60">
        <v>1.2866596344935701E-2</v>
      </c>
      <c r="Z108" s="56">
        <f t="shared" si="17"/>
        <v>1.3842544451756244E-3</v>
      </c>
      <c r="AM108">
        <v>1.9611250416183799E-2</v>
      </c>
      <c r="AN108">
        <v>-1.2131287971126E-2</v>
      </c>
      <c r="AO108">
        <v>6.9963728355182404E-3</v>
      </c>
      <c r="AP108" s="56">
        <f t="shared" si="18"/>
        <v>-5.206310211442064E-3</v>
      </c>
      <c r="BC108">
        <v>1.7055599982705599E-2</v>
      </c>
      <c r="BD108">
        <v>1.2752949328769501E-2</v>
      </c>
      <c r="BE108" s="56">
        <f t="shared" si="19"/>
        <v>8.1439357963326964E-2</v>
      </c>
      <c r="BR108">
        <v>4.7521943434701598E-2</v>
      </c>
      <c r="BS108">
        <v>6.5387650685306796E-3</v>
      </c>
      <c r="BT108">
        <v>-6.5924129485635001E-3</v>
      </c>
      <c r="BU108">
        <v>-6.2224506052703799E-3</v>
      </c>
      <c r="BV108" s="56">
        <f t="shared" si="20"/>
        <v>-1.3620068159804764E-3</v>
      </c>
      <c r="CI108">
        <v>7.1775627770826996E-3</v>
      </c>
      <c r="CJ108">
        <v>1.31311780170942E-2</v>
      </c>
      <c r="CK108">
        <v>1.42431224934918E-2</v>
      </c>
      <c r="CL108" s="56">
        <f t="shared" si="21"/>
        <v>3.0582685568746673E-3</v>
      </c>
    </row>
    <row r="109" spans="1:90" x14ac:dyDescent="0.2">
      <c r="A109" s="1">
        <v>41213</v>
      </c>
      <c r="B109" s="38">
        <f>Data!B107</f>
        <v>-1.6748465607344665E-3</v>
      </c>
      <c r="C109" s="38">
        <f>Data!C107</f>
        <v>-6.7551266586248548E-2</v>
      </c>
      <c r="D109" s="38">
        <f>Data!D107</f>
        <v>-9.2744216873312801E-2</v>
      </c>
      <c r="E109" s="38">
        <f>Data!E107</f>
        <v>-1.837322095604943E-2</v>
      </c>
      <c r="F109" s="38">
        <f>Data!F107</f>
        <v>5.7939830717184115E-3</v>
      </c>
      <c r="G109" s="38">
        <f t="shared" si="16"/>
        <v>-3.4909913580925364E-2</v>
      </c>
      <c r="H109" s="38"/>
      <c r="I109" s="38"/>
      <c r="J109" s="38"/>
      <c r="K109" s="38"/>
      <c r="W109" s="60">
        <v>1.9668675189759002E-3</v>
      </c>
      <c r="X109" s="60">
        <v>8.1639555979213796E-3</v>
      </c>
      <c r="Y109" s="60">
        <v>6.2805842146256303E-3</v>
      </c>
      <c r="Z109" s="56">
        <f t="shared" si="17"/>
        <v>-2.8339141719725164E-3</v>
      </c>
      <c r="AM109">
        <v>-2.91864546073063E-2</v>
      </c>
      <c r="AN109">
        <v>-2.4276524684249502E-2</v>
      </c>
      <c r="AO109">
        <v>-3.2304586296036898E-3</v>
      </c>
      <c r="AP109" s="56">
        <f t="shared" si="18"/>
        <v>-2.3873796500566723E-2</v>
      </c>
      <c r="BC109">
        <v>-3.8728806637808498E-2</v>
      </c>
      <c r="BD109">
        <v>4.3365114767168799E-3</v>
      </c>
      <c r="BE109" s="56">
        <f t="shared" si="19"/>
        <v>-7.1931905317466904E-2</v>
      </c>
      <c r="BR109">
        <v>-2.9115531104528102E-2</v>
      </c>
      <c r="BS109">
        <v>-2.0813062460760499E-3</v>
      </c>
      <c r="BT109">
        <v>-8.5619724767274103E-3</v>
      </c>
      <c r="BU109">
        <v>1.5978653706865499E-2</v>
      </c>
      <c r="BV109" s="56">
        <f t="shared" si="20"/>
        <v>-9.2800151405209655E-3</v>
      </c>
      <c r="CI109">
        <v>7.46435737670281E-3</v>
      </c>
      <c r="CJ109">
        <v>6.4806662306513604E-3</v>
      </c>
      <c r="CK109">
        <v>8.2474517336015296E-3</v>
      </c>
      <c r="CL109" s="56">
        <f t="shared" si="21"/>
        <v>-1.5004922948429877E-3</v>
      </c>
    </row>
    <row r="110" spans="1:90" x14ac:dyDescent="0.2">
      <c r="A110" s="1">
        <v>41243</v>
      </c>
      <c r="B110" s="38">
        <f>Data!B108</f>
        <v>-1.7201286911094904E-3</v>
      </c>
      <c r="C110" s="38">
        <f>Data!C108</f>
        <v>1.007207540195898E-2</v>
      </c>
      <c r="D110" s="38">
        <f>Data!D108</f>
        <v>6.9925148238696444E-2</v>
      </c>
      <c r="E110" s="38">
        <f>Data!E108</f>
        <v>-6.44670878578113E-4</v>
      </c>
      <c r="F110" s="38">
        <f>Data!F108</f>
        <v>6.4865886557725627E-3</v>
      </c>
      <c r="G110" s="38">
        <f t="shared" si="16"/>
        <v>1.6823802545348075E-2</v>
      </c>
      <c r="H110" s="38"/>
      <c r="I110" s="38"/>
      <c r="J110" s="38"/>
      <c r="K110" s="38"/>
      <c r="W110" s="60">
        <v>1.5779969741502901E-3</v>
      </c>
      <c r="X110" s="60">
        <v>1.55246824150184E-2</v>
      </c>
      <c r="Y110" s="60">
        <v>5.8451617760928399E-3</v>
      </c>
      <c r="Z110" s="56">
        <f t="shared" si="17"/>
        <v>-3.0641708839602468E-3</v>
      </c>
      <c r="AM110">
        <v>1.6745329986962001E-2</v>
      </c>
      <c r="AN110">
        <v>1.71601035358253E-2</v>
      </c>
      <c r="AO110">
        <v>-4.8779436311741098E-4</v>
      </c>
      <c r="AP110" s="56">
        <f t="shared" si="18"/>
        <v>-1.6040741598618128E-2</v>
      </c>
      <c r="BC110">
        <v>5.16054446878078E-4</v>
      </c>
      <c r="BD110">
        <v>1.0234473797340301E-2</v>
      </c>
      <c r="BE110" s="56">
        <f t="shared" si="19"/>
        <v>5.5857293677528258E-2</v>
      </c>
      <c r="BR110">
        <v>-3.3010780809578102E-3</v>
      </c>
      <c r="BS110">
        <v>4.5185292148639498E-3</v>
      </c>
      <c r="BT110">
        <v>-1.09126064051401E-3</v>
      </c>
      <c r="BU110">
        <v>-1.29800331971497E-3</v>
      </c>
      <c r="BV110" s="56">
        <f t="shared" si="20"/>
        <v>-9.0601467399440945E-4</v>
      </c>
      <c r="CI110">
        <v>7.14489374905658E-3</v>
      </c>
      <c r="CJ110">
        <v>5.6097898553779703E-3</v>
      </c>
      <c r="CK110">
        <v>7.4231587502431298E-3</v>
      </c>
      <c r="CL110" s="56">
        <f t="shared" si="21"/>
        <v>-4.941239535652597E-4</v>
      </c>
    </row>
    <row r="111" spans="1:90" x14ac:dyDescent="0.2">
      <c r="A111" s="1">
        <v>41274</v>
      </c>
      <c r="B111" s="38">
        <f>Data!B109</f>
        <v>1.3667740940468409E-3</v>
      </c>
      <c r="C111" s="38">
        <f>Data!C109</f>
        <v>-4.5741469215987429E-4</v>
      </c>
      <c r="D111" s="38">
        <f>Data!D109</f>
        <v>-7.3716408001648359E-3</v>
      </c>
      <c r="E111" s="38">
        <f>Data!E109</f>
        <v>1.0210786981236009E-2</v>
      </c>
      <c r="F111" s="38">
        <f>Data!F109</f>
        <v>-7.6782558963371939E-3</v>
      </c>
      <c r="G111" s="38">
        <f t="shared" si="16"/>
        <v>-7.8595006267581104E-4</v>
      </c>
      <c r="H111" s="38"/>
      <c r="I111" s="38"/>
      <c r="J111" s="38"/>
      <c r="K111" s="38"/>
      <c r="W111" s="60">
        <v>-1.4239152797478299E-3</v>
      </c>
      <c r="X111" s="60">
        <v>9.2955504497604906E-3</v>
      </c>
      <c r="Y111" s="60">
        <v>1.7282381060420699E-2</v>
      </c>
      <c r="Z111" s="56">
        <f t="shared" si="17"/>
        <v>2.9324232144063919E-3</v>
      </c>
      <c r="AM111">
        <v>-2.76224100151712E-4</v>
      </c>
      <c r="AN111">
        <v>-2.0930873839065899E-2</v>
      </c>
      <c r="AO111">
        <v>2.6510451601075E-2</v>
      </c>
      <c r="AP111" s="56">
        <f t="shared" si="18"/>
        <v>4.6931821684907706E-3</v>
      </c>
      <c r="BC111">
        <v>-2.60713221720742E-2</v>
      </c>
      <c r="BD111">
        <v>1.9871607881609198E-2</v>
      </c>
      <c r="BE111" s="56">
        <f t="shared" si="19"/>
        <v>-1.6075662437104066E-2</v>
      </c>
      <c r="BR111">
        <v>-2.3102444940727902E-2</v>
      </c>
      <c r="BS111">
        <v>1.1279931639825099E-2</v>
      </c>
      <c r="BT111">
        <v>-4.7757931271985598E-4</v>
      </c>
      <c r="BU111">
        <v>7.2503845849438697E-3</v>
      </c>
      <c r="BV111" s="56">
        <f t="shared" si="20"/>
        <v>8.7958514165215416E-3</v>
      </c>
      <c r="CI111">
        <v>-1.0766207597129001E-2</v>
      </c>
      <c r="CJ111">
        <v>1.1757510952545E-2</v>
      </c>
      <c r="CK111">
        <v>1.58584657806729E-2</v>
      </c>
      <c r="CL111" s="56">
        <f t="shared" si="21"/>
        <v>1.0505614775835181E-3</v>
      </c>
    </row>
    <row r="112" spans="1:90" x14ac:dyDescent="0.2">
      <c r="A112" s="1">
        <v>41305</v>
      </c>
      <c r="B112" s="38">
        <f>Data!B110</f>
        <v>-5.0028944559219468E-3</v>
      </c>
      <c r="C112" s="38">
        <f>Data!C110</f>
        <v>1.3545670876807581E-2</v>
      </c>
      <c r="D112" s="38">
        <f>Data!D110</f>
        <v>2.286054249587588E-2</v>
      </c>
      <c r="E112" s="38">
        <f>Data!E110</f>
        <v>1.526979061451339E-2</v>
      </c>
      <c r="F112" s="38">
        <f>Data!F110</f>
        <v>-7.9613245648367803E-3</v>
      </c>
      <c r="G112" s="38">
        <f t="shared" si="16"/>
        <v>7.7423569932876263E-3</v>
      </c>
      <c r="H112" s="38"/>
      <c r="I112" s="38"/>
      <c r="J112" s="38"/>
      <c r="K112" s="38"/>
      <c r="W112" s="60">
        <v>-6.9941823583950001E-3</v>
      </c>
      <c r="X112" s="60">
        <v>-1.4224073798542E-2</v>
      </c>
      <c r="Y112" s="60">
        <v>2.0752070007389802E-2</v>
      </c>
      <c r="Z112" s="56">
        <f t="shared" si="17"/>
        <v>1.349783347970682E-3</v>
      </c>
      <c r="AM112">
        <v>4.28589908737236E-2</v>
      </c>
      <c r="AN112">
        <v>-2.21365582278912E-2</v>
      </c>
      <c r="AO112">
        <v>1.0797630567976E-2</v>
      </c>
      <c r="AP112" s="56">
        <f t="shared" si="18"/>
        <v>-2.5519463684317817E-2</v>
      </c>
      <c r="BC112">
        <v>2.3972595396878599E-2</v>
      </c>
      <c r="BD112">
        <v>2.2881695580633198E-2</v>
      </c>
      <c r="BE112" s="56">
        <f t="shared" si="19"/>
        <v>-2.4277636753176048E-2</v>
      </c>
      <c r="BR112">
        <v>-6.9537708538513999E-3</v>
      </c>
      <c r="BS112">
        <v>2.0520075697851199E-2</v>
      </c>
      <c r="BT112">
        <v>2.8292039105331001E-3</v>
      </c>
      <c r="BU112">
        <v>-1.8429381243616899E-2</v>
      </c>
      <c r="BV112" s="56">
        <f t="shared" si="20"/>
        <v>7.9654024665281337E-3</v>
      </c>
      <c r="CI112">
        <v>-9.3682925802787108E-3</v>
      </c>
      <c r="CJ112">
        <v>1.76908717873181E-2</v>
      </c>
      <c r="CK112">
        <v>1.3757887648994801E-2</v>
      </c>
      <c r="CL112" s="56">
        <f t="shared" si="21"/>
        <v>5.5660878359437525E-4</v>
      </c>
    </row>
    <row r="113" spans="1:90" x14ac:dyDescent="0.2">
      <c r="A113" s="1">
        <v>41333</v>
      </c>
      <c r="B113" s="38">
        <f>Data!B111</f>
        <v>3.3893962604549799E-3</v>
      </c>
      <c r="C113" s="38">
        <f>Data!C111</f>
        <v>5.869604478959678E-3</v>
      </c>
      <c r="D113" s="38">
        <f>Data!D111</f>
        <v>-5.6316899264906461E-2</v>
      </c>
      <c r="E113" s="38">
        <f>Data!E111</f>
        <v>-6.7914589939099823E-3</v>
      </c>
      <c r="F113" s="38">
        <f>Data!F111</f>
        <v>5.2677673337726549E-3</v>
      </c>
      <c r="G113" s="38">
        <f t="shared" si="16"/>
        <v>-9.7163180371258265E-3</v>
      </c>
      <c r="H113" s="38"/>
      <c r="I113" s="38"/>
      <c r="J113" s="38"/>
      <c r="K113" s="38"/>
      <c r="W113" s="60">
        <v>5.01231237953803E-3</v>
      </c>
      <c r="X113" s="60">
        <v>-1.4187822622029301E-3</v>
      </c>
      <c r="Y113" s="60">
        <v>-3.8462083704327E-4</v>
      </c>
      <c r="Z113" s="56">
        <f t="shared" si="17"/>
        <v>4.565806790048396E-4</v>
      </c>
      <c r="AM113">
        <v>1.24439118994406E-2</v>
      </c>
      <c r="AN113">
        <v>-1.91034499692999E-3</v>
      </c>
      <c r="AO113">
        <v>-2.5435862936724601E-3</v>
      </c>
      <c r="AP113" s="56">
        <f t="shared" si="18"/>
        <v>-6.526021340120404E-3</v>
      </c>
      <c r="BC113">
        <v>-4.0867983552996701E-2</v>
      </c>
      <c r="BD113">
        <v>3.6419568818162299E-3</v>
      </c>
      <c r="BE113" s="56">
        <f t="shared" si="19"/>
        <v>-3.3103454997013629E-2</v>
      </c>
      <c r="BR113">
        <v>-5.0543968263509202E-2</v>
      </c>
      <c r="BS113">
        <v>2.6238727119396502E-3</v>
      </c>
      <c r="BT113">
        <v>-1.2552567936752199E-3</v>
      </c>
      <c r="BU113">
        <v>-1.04098271008102E-2</v>
      </c>
      <c r="BV113" s="56">
        <f t="shared" si="20"/>
        <v>-1.8306201159141097E-3</v>
      </c>
      <c r="CI113">
        <v>5.1787717092071101E-3</v>
      </c>
      <c r="CJ113">
        <v>3.8791295056148601E-3</v>
      </c>
      <c r="CK113">
        <v>4.6276915424947598E-3</v>
      </c>
      <c r="CL113" s="56">
        <f t="shared" si="21"/>
        <v>3.0393841361265553E-4</v>
      </c>
    </row>
    <row r="114" spans="1:90" x14ac:dyDescent="0.2">
      <c r="A114" s="1">
        <v>41362</v>
      </c>
      <c r="B114" s="38">
        <f>Data!B112</f>
        <v>1.1649927653416547E-3</v>
      </c>
      <c r="C114" s="38">
        <f>Data!C112</f>
        <v>2.4777807702666355E-2</v>
      </c>
      <c r="D114" s="38">
        <f>Data!D112</f>
        <v>-4.5254012549631351E-2</v>
      </c>
      <c r="E114" s="38">
        <f>Data!E112</f>
        <v>4.0739710770019144E-3</v>
      </c>
      <c r="F114" s="38">
        <f>Data!F112</f>
        <v>5.5291271138560028E-3</v>
      </c>
      <c r="G114" s="38">
        <f t="shared" si="16"/>
        <v>-1.9416227781530839E-3</v>
      </c>
      <c r="H114" s="38"/>
      <c r="I114" s="38"/>
      <c r="J114" s="38"/>
      <c r="K114" s="38"/>
      <c r="W114" s="60">
        <v>7.9862224081450595E-4</v>
      </c>
      <c r="X114" s="60">
        <v>-7.5272067714631198E-3</v>
      </c>
      <c r="Y114" s="60">
        <v>9.5074448476390998E-3</v>
      </c>
      <c r="Z114" s="56">
        <f t="shared" si="17"/>
        <v>1.7482260759014898E-3</v>
      </c>
      <c r="AM114">
        <v>3.7513132926226198E-2</v>
      </c>
      <c r="AN114">
        <v>-2.10335032973008E-3</v>
      </c>
      <c r="AO114">
        <v>8.6705086329481595E-3</v>
      </c>
      <c r="AP114" s="56">
        <f t="shared" si="18"/>
        <v>-1.7088329292239246E-2</v>
      </c>
      <c r="BC114">
        <v>6.7382468187171503E-3</v>
      </c>
      <c r="BD114">
        <v>1.00481940376722E-2</v>
      </c>
      <c r="BE114" s="56">
        <f t="shared" si="19"/>
        <v>-6.3349502739280611E-2</v>
      </c>
      <c r="BR114">
        <v>1.13255803647736E-2</v>
      </c>
      <c r="BS114">
        <v>9.3186486452792004E-3</v>
      </c>
      <c r="BT114">
        <v>4.8940210561854202E-4</v>
      </c>
      <c r="BU114">
        <v>-2.52802949080526E-2</v>
      </c>
      <c r="BV114" s="56">
        <f t="shared" si="20"/>
        <v>6.9340985795216491E-4</v>
      </c>
      <c r="CI114">
        <v>3.7827077425052198E-3</v>
      </c>
      <c r="CJ114">
        <v>8.8292465396606606E-3</v>
      </c>
      <c r="CK114">
        <v>1.0306067088453601E-2</v>
      </c>
      <c r="CL114" s="56">
        <f t="shared" si="21"/>
        <v>1.5456820784910215E-3</v>
      </c>
    </row>
    <row r="115" spans="1:90" x14ac:dyDescent="0.2">
      <c r="A115" s="1">
        <v>41394</v>
      </c>
      <c r="B115" s="38">
        <f>Data!B113</f>
        <v>5.3187249937567405E-3</v>
      </c>
      <c r="C115" s="38">
        <f>Data!C113</f>
        <v>8.8480070083223339E-3</v>
      </c>
      <c r="D115" s="38">
        <f>Data!D113</f>
        <v>-5.0649591620250622E-2</v>
      </c>
      <c r="E115" s="38">
        <f>Data!E113</f>
        <v>6.5293638901491313E-3</v>
      </c>
      <c r="F115" s="38">
        <f>Data!F113</f>
        <v>6.5795963885135755E-3</v>
      </c>
      <c r="G115" s="38">
        <f t="shared" si="16"/>
        <v>-4.6747798679017682E-3</v>
      </c>
      <c r="H115" s="38"/>
      <c r="I115" s="38"/>
      <c r="J115" s="38"/>
      <c r="K115" s="38"/>
      <c r="W115" s="60">
        <v>1.0118666333720499E-2</v>
      </c>
      <c r="X115" s="60">
        <v>2.8342115683348101E-2</v>
      </c>
      <c r="Y115" s="60">
        <v>8.4516917403525404E-3</v>
      </c>
      <c r="Z115" s="56">
        <f t="shared" si="17"/>
        <v>-1.5935233740010683E-3</v>
      </c>
      <c r="AM115">
        <v>2.1226629675467099E-2</v>
      </c>
      <c r="AN115">
        <v>6.1058929339254898E-3</v>
      </c>
      <c r="AO115">
        <v>-2.2940902240455599E-2</v>
      </c>
      <c r="AP115" s="56">
        <f t="shared" si="18"/>
        <v>-1.3290414264493816E-2</v>
      </c>
      <c r="BC115">
        <v>-2.79099773750748E-2</v>
      </c>
      <c r="BD115">
        <v>9.9188746978451404E-3</v>
      </c>
      <c r="BE115" s="56">
        <f t="shared" si="19"/>
        <v>-4.4754085164576525E-2</v>
      </c>
      <c r="BR115">
        <v>-7.5611893583724596E-2</v>
      </c>
      <c r="BS115">
        <v>8.5975033639389391E-3</v>
      </c>
      <c r="BT115">
        <v>-2.0453467356416101E-3</v>
      </c>
      <c r="BU115">
        <v>-1.5608335795793699E-2</v>
      </c>
      <c r="BV115" s="56">
        <f t="shared" si="20"/>
        <v>1.2607610113848217E-2</v>
      </c>
      <c r="CI115">
        <v>7.5579583828075999E-3</v>
      </c>
      <c r="CJ115">
        <v>1.06428500995806E-2</v>
      </c>
      <c r="CK115">
        <v>1.8570358074073E-2</v>
      </c>
      <c r="CL115" s="56">
        <f t="shared" si="21"/>
        <v>-1.9194081665246387E-3</v>
      </c>
    </row>
    <row r="116" spans="1:90" x14ac:dyDescent="0.2">
      <c r="A116" s="1">
        <v>41425</v>
      </c>
      <c r="B116" s="38">
        <f>Data!B114</f>
        <v>-1.5332656814866508E-2</v>
      </c>
      <c r="C116" s="38">
        <f>Data!C114</f>
        <v>4.4546717610281394E-2</v>
      </c>
      <c r="D116" s="38">
        <f>Data!D114</f>
        <v>1.6082698376758131E-2</v>
      </c>
      <c r="E116" s="38">
        <f>Data!E114</f>
        <v>-1.2510328251848835E-2</v>
      </c>
      <c r="F116" s="38">
        <f>Data!F114</f>
        <v>-4.7132466049369603E-2</v>
      </c>
      <c r="G116" s="38">
        <f t="shared" si="16"/>
        <v>-2.8692070258090853E-3</v>
      </c>
      <c r="H116" s="38"/>
      <c r="I116" s="38"/>
      <c r="J116" s="38"/>
      <c r="K116" s="38"/>
      <c r="W116" s="60">
        <v>-1.7841980244843601E-2</v>
      </c>
      <c r="X116" s="60">
        <v>-3.8105534410497202E-2</v>
      </c>
      <c r="Y116" s="60">
        <v>1.25328116303792E-2</v>
      </c>
      <c r="Z116" s="56">
        <f t="shared" si="17"/>
        <v>-1.8517670873315836E-3</v>
      </c>
      <c r="AM116">
        <v>1.85773646491252E-2</v>
      </c>
      <c r="AN116">
        <v>-7.0892743908621599E-3</v>
      </c>
      <c r="AO116">
        <v>1.6576283848616799E-2</v>
      </c>
      <c r="AP116" s="56">
        <f t="shared" si="18"/>
        <v>2.4408796705189688E-2</v>
      </c>
      <c r="BC116">
        <v>-2.2427933583602601E-2</v>
      </c>
      <c r="BD116">
        <v>1.84023792580266E-2</v>
      </c>
      <c r="BE116" s="56">
        <f t="shared" si="19"/>
        <v>6.8427660912931641E-3</v>
      </c>
      <c r="BR116">
        <v>-6.0208165448869498E-2</v>
      </c>
      <c r="BS116">
        <v>6.1574763744156602E-3</v>
      </c>
      <c r="BT116">
        <v>5.53264754375094E-3</v>
      </c>
      <c r="BU116">
        <v>-1.11568188414217E-2</v>
      </c>
      <c r="BV116" s="56">
        <f t="shared" si="20"/>
        <v>-1.289469479629049E-2</v>
      </c>
      <c r="CI116">
        <v>-5.2070056374402998E-2</v>
      </c>
      <c r="CJ116">
        <v>6.2482883066472495E-4</v>
      </c>
      <c r="CK116">
        <v>-5.3091686144643999E-3</v>
      </c>
      <c r="CL116" s="56">
        <f t="shared" si="21"/>
        <v>1.1314439623971162E-3</v>
      </c>
    </row>
    <row r="117" spans="1:90" x14ac:dyDescent="0.2">
      <c r="A117" s="1">
        <v>41453</v>
      </c>
      <c r="B117" s="38">
        <f>Data!B115</f>
        <v>-9.6187393654423303E-3</v>
      </c>
      <c r="C117" s="38">
        <f>Data!C115</f>
        <v>-3.6412004322886382E-2</v>
      </c>
      <c r="D117" s="38">
        <f>Data!D115</f>
        <v>-7.10578635133301E-2</v>
      </c>
      <c r="E117" s="38">
        <f>Data!E115</f>
        <v>-1.5689032159481475E-2</v>
      </c>
      <c r="F117" s="38">
        <f>Data!F115</f>
        <v>-5.3882066738813572E-2</v>
      </c>
      <c r="G117" s="38">
        <f t="shared" si="16"/>
        <v>-3.7331941219990776E-2</v>
      </c>
      <c r="H117" s="38"/>
      <c r="I117" s="38"/>
      <c r="J117" s="38"/>
      <c r="K117" s="38"/>
      <c r="W117" s="60">
        <v>-1.54685431007124E-2</v>
      </c>
      <c r="X117" s="60">
        <v>-5.0315627405696603E-2</v>
      </c>
      <c r="Y117" s="60">
        <v>-1.0891503291356901E-2</v>
      </c>
      <c r="Z117" s="56">
        <f t="shared" si="17"/>
        <v>1.4560068899450978E-3</v>
      </c>
      <c r="AM117">
        <v>-1.88178557253794E-2</v>
      </c>
      <c r="AN117">
        <v>-1.00036202566407E-2</v>
      </c>
      <c r="AO117">
        <v>8.3126969143645403E-3</v>
      </c>
      <c r="AP117" s="56">
        <f t="shared" si="18"/>
        <v>-1.2615753907167078E-2</v>
      </c>
      <c r="BC117">
        <v>-4.7145757410488001E-2</v>
      </c>
      <c r="BD117">
        <v>-1.0328273971258101E-2</v>
      </c>
      <c r="BE117" s="56">
        <f t="shared" si="19"/>
        <v>-2.4810351366505626E-2</v>
      </c>
      <c r="BR117">
        <v>-0.11044098573281499</v>
      </c>
      <c r="BS117">
        <v>-1.3137384469871101E-2</v>
      </c>
      <c r="BT117">
        <v>-1.1975674863602399E-3</v>
      </c>
      <c r="BU117">
        <v>-2.9219192699019301E-3</v>
      </c>
      <c r="BV117" s="56">
        <f t="shared" si="20"/>
        <v>-7.9634040067751502E-4</v>
      </c>
      <c r="CI117">
        <v>-5.4934687633633503E-2</v>
      </c>
      <c r="CJ117">
        <v>-1.19398169835109E-2</v>
      </c>
      <c r="CK117">
        <v>-2.6360046392069399E-2</v>
      </c>
      <c r="CL117" s="56">
        <f t="shared" si="21"/>
        <v>-1.2310883774867692E-3</v>
      </c>
    </row>
    <row r="118" spans="1:90" x14ac:dyDescent="0.2">
      <c r="A118" s="1">
        <v>41486</v>
      </c>
      <c r="B118" s="38">
        <f>Data!B116</f>
        <v>-8.9967535810864252E-4</v>
      </c>
      <c r="C118" s="38">
        <f>Data!C116</f>
        <v>4.1497713743421594E-2</v>
      </c>
      <c r="D118" s="38">
        <f>Data!D116</f>
        <v>9.2457405715129504E-3</v>
      </c>
      <c r="E118" s="38">
        <f>Data!E116</f>
        <v>-5.6116493981117621E-4</v>
      </c>
      <c r="F118" s="38">
        <f>Data!F116</f>
        <v>7.4396532573297591E-3</v>
      </c>
      <c r="G118" s="38">
        <f t="shared" si="16"/>
        <v>1.1344453454868899E-2</v>
      </c>
      <c r="H118" s="38"/>
      <c r="I118" s="38"/>
      <c r="J118" s="38"/>
      <c r="K118" s="38"/>
      <c r="W118" s="60">
        <v>1.36719075645675E-3</v>
      </c>
      <c r="X118" s="60">
        <v>9.5003404558864392E-3</v>
      </c>
      <c r="Y118" s="60">
        <v>1.7438481889677799E-2</v>
      </c>
      <c r="Z118" s="56">
        <f t="shared" si="17"/>
        <v>-9.9346535070973709E-4</v>
      </c>
      <c r="AM118">
        <v>5.3021535271521099E-2</v>
      </c>
      <c r="AN118">
        <v>-9.7134634403883702E-4</v>
      </c>
      <c r="AO118">
        <v>1.9099212355161699E-2</v>
      </c>
      <c r="AP118" s="56">
        <f t="shared" si="18"/>
        <v>-1.9773499044452213E-2</v>
      </c>
      <c r="BC118">
        <v>1.3624427376102401E-2</v>
      </c>
      <c r="BD118">
        <v>1.39199794171097E-2</v>
      </c>
      <c r="BE118" s="56">
        <f t="shared" si="19"/>
        <v>-1.8771198374652881E-2</v>
      </c>
      <c r="BR118">
        <v>7.3339651527301902E-2</v>
      </c>
      <c r="BS118">
        <v>9.1891103847112597E-3</v>
      </c>
      <c r="BT118">
        <v>3.44193655194558E-3</v>
      </c>
      <c r="BU118">
        <v>-2.8219349515015799E-2</v>
      </c>
      <c r="BV118" s="56">
        <f t="shared" si="20"/>
        <v>-1.1492561841876092E-2</v>
      </c>
      <c r="CI118">
        <v>2.9574757897485901E-3</v>
      </c>
      <c r="CJ118">
        <v>5.7471738327656797E-3</v>
      </c>
      <c r="CK118">
        <v>1.8805672646134499E-2</v>
      </c>
      <c r="CL118" s="56">
        <f t="shared" si="21"/>
        <v>2.4857256611777005E-3</v>
      </c>
    </row>
    <row r="119" spans="1:90" x14ac:dyDescent="0.2">
      <c r="A119" s="1">
        <v>41516</v>
      </c>
      <c r="B119" s="38">
        <f>Data!B117</f>
        <v>-2.8587702405814541E-3</v>
      </c>
      <c r="C119" s="38">
        <f>Data!C117</f>
        <v>-6.1298873426109957E-3</v>
      </c>
      <c r="D119" s="38">
        <f>Data!D117</f>
        <v>1.7376748881822612E-2</v>
      </c>
      <c r="E119" s="38">
        <f>Data!E117</f>
        <v>-1.0824676613365836E-2</v>
      </c>
      <c r="F119" s="38">
        <f>Data!F117</f>
        <v>-1.0087124606484865E-2</v>
      </c>
      <c r="G119" s="38">
        <f t="shared" si="16"/>
        <v>-2.5047419842441077E-3</v>
      </c>
      <c r="H119" s="38"/>
      <c r="I119" s="38"/>
      <c r="J119" s="38"/>
      <c r="K119" s="38"/>
      <c r="W119" s="60">
        <v>-5.1116402204499601E-3</v>
      </c>
      <c r="X119" s="60">
        <v>-2.6803494571850599E-2</v>
      </c>
      <c r="Y119" s="60">
        <v>-1.0889526147366299E-3</v>
      </c>
      <c r="Z119" s="56">
        <f t="shared" si="17"/>
        <v>1.5095140859257396E-3</v>
      </c>
      <c r="AM119">
        <v>-1.7138501783197899E-2</v>
      </c>
      <c r="AN119">
        <v>2.07978038974268E-2</v>
      </c>
      <c r="AO119">
        <v>-2.8006516847357602E-3</v>
      </c>
      <c r="AP119" s="56">
        <f t="shared" si="18"/>
        <v>3.8259911271903875E-3</v>
      </c>
      <c r="BC119">
        <v>3.4023013309380901E-2</v>
      </c>
      <c r="BD119">
        <v>-2.3983542157581801E-3</v>
      </c>
      <c r="BE119" s="56">
        <f t="shared" si="19"/>
        <v>-2.797653362949102E-3</v>
      </c>
      <c r="BR119">
        <v>5.2978333220131901E-2</v>
      </c>
      <c r="BS119">
        <v>-6.9632203176212002E-3</v>
      </c>
      <c r="BT119">
        <v>-5.8214860073264596E-3</v>
      </c>
      <c r="BU119">
        <v>2.04768561711824E-2</v>
      </c>
      <c r="BV119" s="56">
        <f t="shared" si="20"/>
        <v>-9.6703422796163285E-3</v>
      </c>
      <c r="CI119">
        <v>-1.0464824237463101E-2</v>
      </c>
      <c r="CJ119">
        <v>-1.1417343102947399E-3</v>
      </c>
      <c r="CK119">
        <v>-6.2005928351865896E-3</v>
      </c>
      <c r="CL119" s="56">
        <f t="shared" si="21"/>
        <v>2.6797757169017521E-4</v>
      </c>
    </row>
    <row r="120" spans="1:90" x14ac:dyDescent="0.2">
      <c r="A120" s="1">
        <v>41547</v>
      </c>
      <c r="B120" s="38">
        <f>Data!B118</f>
        <v>1.4079143500636437E-2</v>
      </c>
      <c r="C120" s="38">
        <f>Data!C118</f>
        <v>2.8588098016335994E-2</v>
      </c>
      <c r="D120" s="38">
        <f>Data!D118</f>
        <v>1.5724227676923608E-2</v>
      </c>
      <c r="E120" s="38">
        <f>Data!E118</f>
        <v>-1.6629693997630701E-3</v>
      </c>
      <c r="F120" s="38">
        <f>Data!F118</f>
        <v>1.6455522221116459E-2</v>
      </c>
      <c r="G120" s="38">
        <f t="shared" si="16"/>
        <v>1.4636804403049887E-2</v>
      </c>
      <c r="H120" s="38"/>
      <c r="I120" s="38"/>
      <c r="J120" s="38"/>
      <c r="K120" s="38"/>
      <c r="W120" s="60">
        <v>9.4669076627840205E-3</v>
      </c>
      <c r="X120" s="60">
        <v>2.6700110562880599E-2</v>
      </c>
      <c r="Y120" s="60">
        <v>4.4704669561479497E-4</v>
      </c>
      <c r="Z120" s="56">
        <f t="shared" si="17"/>
        <v>7.0818216930203523E-3</v>
      </c>
      <c r="AM120">
        <v>4.4563317714624497E-2</v>
      </c>
      <c r="AN120">
        <v>1.95128836164138E-2</v>
      </c>
      <c r="AO120">
        <v>3.2443980564370603E-2</v>
      </c>
      <c r="AP120" s="56">
        <f t="shared" si="18"/>
        <v>-3.4955727598375841E-2</v>
      </c>
      <c r="BC120">
        <v>-2.55418357523245E-2</v>
      </c>
      <c r="BD120">
        <v>1.54287109283142E-2</v>
      </c>
      <c r="BE120" s="56">
        <f t="shared" si="19"/>
        <v>1.2609240228270192E-2</v>
      </c>
      <c r="BR120">
        <v>-4.7474682319551098E-2</v>
      </c>
      <c r="BS120">
        <v>1.2089449946689E-2</v>
      </c>
      <c r="BT120">
        <v>1.0831444598664601E-3</v>
      </c>
      <c r="BU120">
        <v>-4.7255680139568499E-3</v>
      </c>
      <c r="BV120" s="56">
        <f t="shared" si="20"/>
        <v>-1.9207054499148835E-3</v>
      </c>
      <c r="CI120">
        <v>1.6977194532704201E-2</v>
      </c>
      <c r="CJ120">
        <v>1.1006305486822601E-2</v>
      </c>
      <c r="CK120">
        <v>9.9139543583988098E-3</v>
      </c>
      <c r="CL120" s="56">
        <f t="shared" si="21"/>
        <v>8.0322439063376661E-4</v>
      </c>
    </row>
    <row r="121" spans="1:90" x14ac:dyDescent="0.2">
      <c r="A121" s="1">
        <v>41578</v>
      </c>
      <c r="B121" s="38">
        <f>Data!B119</f>
        <v>6.8130854157055776E-3</v>
      </c>
      <c r="C121" s="38">
        <f>Data!C119</f>
        <v>4.5701320800583645E-2</v>
      </c>
      <c r="D121" s="38">
        <f>Data!D119</f>
        <v>4.1885267856307529E-3</v>
      </c>
      <c r="E121" s="38">
        <f>Data!E119</f>
        <v>8.2944110470013488E-3</v>
      </c>
      <c r="F121" s="38">
        <f>Data!F119</f>
        <v>8.318373627398401E-3</v>
      </c>
      <c r="G121" s="38">
        <f t="shared" si="16"/>
        <v>1.4663143535263946E-2</v>
      </c>
      <c r="H121" s="38"/>
      <c r="I121" s="38"/>
      <c r="J121" s="38"/>
      <c r="K121" s="38"/>
      <c r="W121" s="60">
        <v>8.0849723408842299E-3</v>
      </c>
      <c r="X121" s="60">
        <v>2.6696883488435599E-2</v>
      </c>
      <c r="Y121" s="60">
        <v>1.6497600631038199E-2</v>
      </c>
      <c r="Z121" s="56">
        <f t="shared" si="17"/>
        <v>1.7578673775043643E-3</v>
      </c>
      <c r="AM121">
        <v>4.4235609992200602E-2</v>
      </c>
      <c r="AN121">
        <v>4.4182007235749098E-4</v>
      </c>
      <c r="AO121">
        <v>-2.0821529552609099E-2</v>
      </c>
      <c r="AP121" s="56">
        <f t="shared" si="18"/>
        <v>4.1879513622666842E-4</v>
      </c>
      <c r="BC121">
        <v>-1.4766192828094901E-2</v>
      </c>
      <c r="BD121">
        <v>1.50619700631471E-2</v>
      </c>
      <c r="BE121" s="56">
        <f t="shared" si="19"/>
        <v>-5.8424094973212118E-3</v>
      </c>
      <c r="BR121">
        <v>-4.4919979232974604E-3</v>
      </c>
      <c r="BS121">
        <v>1.207724076255E-2</v>
      </c>
      <c r="BT121">
        <v>1.07879150866852E-3</v>
      </c>
      <c r="BU121">
        <v>-2.5871635788712499E-2</v>
      </c>
      <c r="BV121" s="56">
        <f t="shared" si="20"/>
        <v>5.0195325749641598E-3</v>
      </c>
      <c r="CI121">
        <v>9.1834282333802496E-3</v>
      </c>
      <c r="CJ121">
        <v>1.09984492538815E-2</v>
      </c>
      <c r="CK121">
        <v>2.4582572971922501E-2</v>
      </c>
      <c r="CL121" s="56">
        <f t="shared" si="21"/>
        <v>-2.5646501759728317E-3</v>
      </c>
    </row>
    <row r="122" spans="1:90" x14ac:dyDescent="0.2">
      <c r="A122" s="1">
        <v>41607</v>
      </c>
      <c r="B122" s="38">
        <f>Data!B120</f>
        <v>-6.2234915492658249E-3</v>
      </c>
      <c r="C122" s="38">
        <f>Data!C120</f>
        <v>3.8744672607516462E-2</v>
      </c>
      <c r="D122" s="38">
        <f>Data!D120</f>
        <v>-4.795763361854144E-2</v>
      </c>
      <c r="E122" s="38">
        <f>Data!E120</f>
        <v>5.2379659643575494E-3</v>
      </c>
      <c r="F122" s="38">
        <f>Data!F120</f>
        <v>-1.1394272343455913E-2</v>
      </c>
      <c r="G122" s="38">
        <f t="shared" si="16"/>
        <v>-4.3185517878778345E-3</v>
      </c>
      <c r="H122" s="38"/>
      <c r="I122" s="38"/>
      <c r="J122" s="38"/>
      <c r="K122" s="38"/>
      <c r="W122" s="60">
        <v>-3.7441891062188798E-3</v>
      </c>
      <c r="X122" s="60">
        <v>-2.2793450014089299E-2</v>
      </c>
      <c r="Y122" s="60">
        <v>8.3949613537135405E-3</v>
      </c>
      <c r="Z122" s="56">
        <f t="shared" si="17"/>
        <v>-2.2165620736855299E-3</v>
      </c>
      <c r="AM122">
        <v>2.8209187344894599E-2</v>
      </c>
      <c r="AN122">
        <v>3.11444791938786E-4</v>
      </c>
      <c r="AO122">
        <v>9.5900881622592599E-3</v>
      </c>
      <c r="AP122" s="56">
        <f t="shared" si="18"/>
        <v>5.8714114258408695E-3</v>
      </c>
      <c r="BC122">
        <v>-8.0034620715150294E-3</v>
      </c>
      <c r="BD122">
        <v>1.0371024952818801E-2</v>
      </c>
      <c r="BE122" s="56">
        <f t="shared" si="19"/>
        <v>-5.6352005522870133E-2</v>
      </c>
      <c r="BR122">
        <v>-5.2688464619896298E-2</v>
      </c>
      <c r="BS122">
        <v>1.16162394326922E-2</v>
      </c>
      <c r="BT122">
        <v>6.8330470174815501E-3</v>
      </c>
      <c r="BU122">
        <v>-1.85173267102299E-2</v>
      </c>
      <c r="BV122" s="56">
        <f t="shared" si="20"/>
        <v>1.7602322455746505E-3</v>
      </c>
      <c r="CI122">
        <v>-1.52870325845527E-2</v>
      </c>
      <c r="CJ122">
        <v>4.7831924152106397E-3</v>
      </c>
      <c r="CK122">
        <v>4.6507722474946602E-3</v>
      </c>
      <c r="CL122" s="56">
        <f t="shared" si="21"/>
        <v>2.3593350696833621E-3</v>
      </c>
    </row>
    <row r="123" spans="1:90" x14ac:dyDescent="0.2">
      <c r="A123" s="1">
        <v>41639</v>
      </c>
      <c r="B123" s="38">
        <f>Data!B121</f>
        <v>-4.7182962661118655E-3</v>
      </c>
      <c r="C123" s="38">
        <f>Data!C121</f>
        <v>4.1327862737784438E-2</v>
      </c>
      <c r="D123" s="38">
        <f>Data!D121</f>
        <v>4.893850458061344E-2</v>
      </c>
      <c r="E123" s="38">
        <f>Data!E121</f>
        <v>4.7046248627378162E-3</v>
      </c>
      <c r="F123" s="38">
        <f>Data!F121</f>
        <v>-2.0848048272797404E-2</v>
      </c>
      <c r="G123" s="38">
        <f t="shared" si="16"/>
        <v>1.3880929528445284E-2</v>
      </c>
      <c r="H123" s="38"/>
      <c r="I123" s="38"/>
      <c r="J123" s="38"/>
      <c r="K123" s="38"/>
      <c r="W123" s="60">
        <v>-5.6511475626330699E-3</v>
      </c>
      <c r="X123" s="60">
        <v>5.8312774342379496E-3</v>
      </c>
      <c r="Y123" s="60">
        <v>1.11309201909082E-2</v>
      </c>
      <c r="Z123" s="56">
        <f t="shared" si="17"/>
        <v>-8.8687900592762138E-4</v>
      </c>
      <c r="AM123">
        <v>2.85648684691031E-2</v>
      </c>
      <c r="AN123">
        <v>3.23744239967816E-3</v>
      </c>
      <c r="AO123">
        <v>-5.6358383849604001E-3</v>
      </c>
      <c r="AP123" s="56">
        <f t="shared" si="18"/>
        <v>9.3919271067439483E-3</v>
      </c>
      <c r="BC123">
        <v>1.2398949640063399E-2</v>
      </c>
      <c r="BD123">
        <v>1.1934679026654099E-2</v>
      </c>
      <c r="BE123" s="56">
        <f t="shared" si="19"/>
        <v>2.4424070114870459E-2</v>
      </c>
      <c r="BR123">
        <v>-4.1257430087365703E-2</v>
      </c>
      <c r="BS123">
        <v>1.52267494505856E-2</v>
      </c>
      <c r="BT123">
        <v>7.5417590831057301E-3</v>
      </c>
      <c r="BU123">
        <v>-1.11725531665792E-2</v>
      </c>
      <c r="BV123" s="56">
        <f t="shared" si="20"/>
        <v>-1.7199125264485268E-3</v>
      </c>
      <c r="CI123">
        <v>-2.08913713799374E-2</v>
      </c>
      <c r="CJ123">
        <v>7.6849903674798296E-3</v>
      </c>
      <c r="CK123">
        <v>5.4797726282751497E-3</v>
      </c>
      <c r="CL123" s="56">
        <f t="shared" si="21"/>
        <v>-1.7729243254011942E-3</v>
      </c>
    </row>
  </sheetData>
  <mergeCells count="5">
    <mergeCell ref="AB5:AC5"/>
    <mergeCell ref="AR5:AS5"/>
    <mergeCell ref="BG5:BH5"/>
    <mergeCell ref="BX5:BY5"/>
    <mergeCell ref="CN5:CO5"/>
  </mergeCells>
  <pageMargins left="0.7" right="0.7" top="0.75" bottom="0.75" header="0.3" footer="0.3"/>
  <pageSetup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FE21B-834C-8B41-855E-A1061CAE25E2}">
  <dimension ref="A1:BT170"/>
  <sheetViews>
    <sheetView showGridLines="0" topLeftCell="AR1" workbookViewId="0">
      <selection activeCell="AX12" sqref="AX12"/>
    </sheetView>
  </sheetViews>
  <sheetFormatPr baseColWidth="10" defaultRowHeight="15" x14ac:dyDescent="0.2"/>
  <cols>
    <col min="1" max="1" width="13.1640625" bestFit="1" customWidth="1"/>
    <col min="2" max="2" width="13.33203125" bestFit="1" customWidth="1"/>
    <col min="3" max="5" width="12.6640625" bestFit="1" customWidth="1"/>
    <col min="43" max="51" width="11" bestFit="1" customWidth="1"/>
    <col min="54" max="54" width="11" bestFit="1" customWidth="1"/>
    <col min="56" max="56" width="13.33203125" bestFit="1" customWidth="1"/>
    <col min="57" max="57" width="11.1640625" bestFit="1" customWidth="1"/>
    <col min="58" max="58" width="13" bestFit="1" customWidth="1"/>
    <col min="59" max="59" width="12.5" bestFit="1" customWidth="1"/>
    <col min="60" max="61" width="13" bestFit="1" customWidth="1"/>
    <col min="62" max="62" width="12.5" bestFit="1" customWidth="1"/>
    <col min="63" max="63" width="13" bestFit="1" customWidth="1"/>
    <col min="64" max="64" width="11.1640625" bestFit="1" customWidth="1"/>
    <col min="65" max="67" width="13.33203125" bestFit="1" customWidth="1"/>
    <col min="68" max="68" width="13" bestFit="1" customWidth="1"/>
    <col min="69" max="69" width="11.6640625" bestFit="1" customWidth="1"/>
    <col min="70" max="70" width="12.6640625" bestFit="1" customWidth="1"/>
    <col min="71" max="72" width="11" bestFit="1" customWidth="1"/>
  </cols>
  <sheetData>
    <row r="1" spans="1:66" x14ac:dyDescent="0.2">
      <c r="A1" s="7" t="s">
        <v>101</v>
      </c>
      <c r="B1" s="7" t="s">
        <v>144</v>
      </c>
      <c r="C1" s="7" t="s">
        <v>149</v>
      </c>
      <c r="D1" s="7" t="s">
        <v>152</v>
      </c>
      <c r="E1" s="7" t="s">
        <v>156</v>
      </c>
      <c r="F1" t="s">
        <v>7</v>
      </c>
      <c r="G1" t="s">
        <v>15</v>
      </c>
      <c r="H1" t="s">
        <v>128</v>
      </c>
      <c r="I1" t="s">
        <v>25</v>
      </c>
      <c r="J1" t="s">
        <v>145</v>
      </c>
      <c r="K1" t="s">
        <v>146</v>
      </c>
      <c r="L1" t="s">
        <v>10</v>
      </c>
      <c r="M1" t="s">
        <v>12</v>
      </c>
      <c r="N1" t="s">
        <v>29</v>
      </c>
      <c r="O1" t="s">
        <v>13</v>
      </c>
      <c r="P1" t="s">
        <v>153</v>
      </c>
      <c r="Q1" t="s">
        <v>154</v>
      </c>
      <c r="R1" t="s">
        <v>16</v>
      </c>
      <c r="S1" t="s">
        <v>14</v>
      </c>
      <c r="T1" t="s">
        <v>17</v>
      </c>
      <c r="AH1" s="65"/>
      <c r="AI1" s="65"/>
      <c r="AJ1" s="65"/>
      <c r="AK1" s="65"/>
      <c r="AL1" s="65"/>
      <c r="AM1" s="65"/>
      <c r="AN1" s="65"/>
      <c r="AO1" s="65"/>
      <c r="AP1" s="65"/>
      <c r="AQ1" s="65"/>
      <c r="AR1" s="65"/>
      <c r="AS1" s="65"/>
      <c r="AT1" s="65"/>
      <c r="AU1" s="65"/>
      <c r="AV1" s="65"/>
      <c r="AW1" s="65"/>
      <c r="AX1" s="65"/>
      <c r="AY1" s="65"/>
      <c r="AZ1" s="65"/>
      <c r="BA1" s="65"/>
      <c r="BB1" s="65"/>
      <c r="BC1" s="65"/>
      <c r="BD1" s="65"/>
      <c r="BE1" s="65"/>
      <c r="BF1" s="65"/>
      <c r="BG1" s="65"/>
      <c r="BH1" s="65"/>
      <c r="BI1" s="65"/>
      <c r="BJ1" s="65"/>
      <c r="BK1" s="65"/>
      <c r="BL1" s="65"/>
      <c r="BM1" s="65"/>
      <c r="BN1" s="65"/>
    </row>
    <row r="2" spans="1:66" ht="18" x14ac:dyDescent="0.2">
      <c r="A2">
        <v>5.5343369776592599E-3</v>
      </c>
      <c r="B2">
        <v>3.4039208613001248E-2</v>
      </c>
      <c r="C2">
        <v>3.1878517779338367E-2</v>
      </c>
      <c r="D2">
        <v>5.7286923079391538E-3</v>
      </c>
      <c r="E2">
        <v>1.109609094035191E-2</v>
      </c>
      <c r="F2">
        <v>8.0453023030973014E-3</v>
      </c>
      <c r="G2">
        <v>5.1267545875612885E-3</v>
      </c>
      <c r="H2">
        <v>8.1077053274645206E-3</v>
      </c>
      <c r="I2">
        <v>2.0422331878443112E-2</v>
      </c>
      <c r="J2">
        <v>2.8386079797400043E-3</v>
      </c>
      <c r="K2">
        <v>2.5090926774071765E-2</v>
      </c>
      <c r="L2">
        <v>1.8131402072775415E-2</v>
      </c>
      <c r="M2">
        <v>2.7989998174359432E-2</v>
      </c>
      <c r="N2">
        <v>-3.1291370802744023E-2</v>
      </c>
      <c r="O2">
        <v>1.5380019766567221E-2</v>
      </c>
      <c r="P2">
        <v>3.2700205686655437E-3</v>
      </c>
      <c r="Q2">
        <v>1.1450296976798224E-3</v>
      </c>
      <c r="R2">
        <v>1.2326081607708428E-2</v>
      </c>
      <c r="S2">
        <v>1.2109999197901677E-2</v>
      </c>
      <c r="T2">
        <v>1.6153007630561822E-2</v>
      </c>
      <c r="V2" s="24" t="s">
        <v>0</v>
      </c>
      <c r="AH2" s="65"/>
      <c r="AI2" s="66" t="s">
        <v>207</v>
      </c>
      <c r="AJ2" s="65"/>
      <c r="AK2" s="65"/>
      <c r="AL2" s="65"/>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65"/>
      <c r="BM2" s="65"/>
      <c r="BN2" s="65"/>
    </row>
    <row r="3" spans="1:66" x14ac:dyDescent="0.2">
      <c r="A3">
        <v>7.6974457288081499E-3</v>
      </c>
      <c r="B3">
        <v>-3.3257653293416012E-2</v>
      </c>
      <c r="C3">
        <v>8.3234653246097245E-2</v>
      </c>
      <c r="D3">
        <v>1.9259224350265836E-2</v>
      </c>
      <c r="E3">
        <v>2.3027652768311757E-2</v>
      </c>
      <c r="F3">
        <v>1.0824141946975452E-2</v>
      </c>
      <c r="G3">
        <v>3.482482059940839E-3</v>
      </c>
      <c r="H3">
        <v>-1.1920732979201376E-2</v>
      </c>
      <c r="I3">
        <v>6.3532895335756123E-3</v>
      </c>
      <c r="J3">
        <v>-1.50785101937152E-2</v>
      </c>
      <c r="K3">
        <v>-4.9351122811620574E-3</v>
      </c>
      <c r="L3">
        <v>6.4882009642222682E-2</v>
      </c>
      <c r="M3">
        <v>1.2020002834621124E-2</v>
      </c>
      <c r="N3">
        <v>-1.5654118524040306E-2</v>
      </c>
      <c r="O3">
        <v>1.0909982882428171E-2</v>
      </c>
      <c r="P3">
        <v>5.4099751638561067E-3</v>
      </c>
      <c r="Q3">
        <v>-2.7994449585027059E-3</v>
      </c>
      <c r="R3">
        <v>2.4775375158766044E-2</v>
      </c>
      <c r="S3">
        <v>5.5000077185720642E-3</v>
      </c>
      <c r="T3">
        <v>-1.0965910322259242E-3</v>
      </c>
      <c r="V3" t="s">
        <v>104</v>
      </c>
      <c r="AH3" s="65"/>
      <c r="AI3" s="65"/>
      <c r="AJ3" s="65"/>
      <c r="AK3" s="65"/>
      <c r="AL3" s="65"/>
      <c r="AM3" s="65"/>
      <c r="AN3" s="65"/>
      <c r="AO3" s="65"/>
      <c r="AP3" s="65"/>
      <c r="AQ3" s="65"/>
      <c r="AR3" s="65"/>
      <c r="AS3" s="65"/>
      <c r="AT3" s="65"/>
      <c r="AU3" s="65"/>
      <c r="AV3" s="65"/>
      <c r="AW3" s="65"/>
      <c r="AX3" s="65"/>
      <c r="AY3" s="65"/>
      <c r="AZ3" s="89"/>
      <c r="BA3" s="65"/>
      <c r="BB3" s="65"/>
      <c r="BC3" s="67" t="s">
        <v>189</v>
      </c>
      <c r="BD3" s="65"/>
      <c r="BE3" s="65"/>
      <c r="BF3" s="65"/>
      <c r="BG3" s="65"/>
      <c r="BH3" s="65"/>
      <c r="BI3" s="65"/>
      <c r="BJ3" s="65"/>
      <c r="BK3" s="65"/>
      <c r="BL3" s="65"/>
      <c r="BM3" s="65"/>
      <c r="BN3" s="65"/>
    </row>
    <row r="4" spans="1:66" ht="16" thickBot="1" x14ac:dyDescent="0.25">
      <c r="A4">
        <v>3.5919500334087306E-3</v>
      </c>
      <c r="B4">
        <v>-2.7465167229441478E-2</v>
      </c>
      <c r="C4">
        <v>-4.3764061412878696E-3</v>
      </c>
      <c r="D4">
        <v>1.043890853045526E-2</v>
      </c>
      <c r="E4">
        <v>1.5724600743988626E-2</v>
      </c>
      <c r="F4">
        <v>7.4889867841410052E-3</v>
      </c>
      <c r="G4">
        <v>2.4958810951028809E-2</v>
      </c>
      <c r="H4">
        <v>-8.1760495112725984E-4</v>
      </c>
      <c r="I4">
        <v>-1.8550190416387391E-2</v>
      </c>
      <c r="J4">
        <v>-9.7981116101799604E-3</v>
      </c>
      <c r="K4">
        <v>2.4405897890121486E-2</v>
      </c>
      <c r="L4">
        <v>3.0877435445310297E-2</v>
      </c>
      <c r="M4">
        <v>5.7999971080802126E-4</v>
      </c>
      <c r="N4">
        <v>7.6486179477470717E-2</v>
      </c>
      <c r="O4">
        <v>4.4400218583666717E-3</v>
      </c>
      <c r="P4">
        <v>1.1003247716878661E-4</v>
      </c>
      <c r="Q4">
        <v>1.8676230293140583E-2</v>
      </c>
      <c r="R4">
        <v>1.7390173366180761E-2</v>
      </c>
      <c r="S4">
        <v>4.3299893811978851E-3</v>
      </c>
      <c r="T4">
        <v>6.6713818330137453E-3</v>
      </c>
      <c r="AH4" s="65"/>
      <c r="AI4" s="67" t="s">
        <v>190</v>
      </c>
      <c r="AJ4" s="65"/>
      <c r="AK4" s="65"/>
      <c r="AL4" s="65"/>
      <c r="AM4" s="65"/>
      <c r="AN4" s="65"/>
      <c r="AO4" s="65"/>
      <c r="AP4" s="65"/>
      <c r="AQ4" s="65"/>
      <c r="AR4" s="65"/>
      <c r="AS4" s="65"/>
      <c r="AT4" s="65"/>
      <c r="AU4" s="65"/>
      <c r="AV4" s="65"/>
      <c r="AW4" s="65"/>
      <c r="AX4" s="65"/>
      <c r="AY4" s="65"/>
      <c r="AZ4" s="65"/>
      <c r="BA4" s="65"/>
      <c r="BB4" s="65"/>
      <c r="BC4" s="65"/>
      <c r="BD4" s="68">
        <f>AX6</f>
        <v>0.35</v>
      </c>
      <c r="BE4" s="68">
        <f>AX7</f>
        <v>0.20660225674464064</v>
      </c>
      <c r="BF4" s="68">
        <f>AX8</f>
        <v>9.6968598345192822E-2</v>
      </c>
      <c r="BG4" s="68">
        <f>AX9</f>
        <v>0.1</v>
      </c>
      <c r="BH4" s="68">
        <f>AX10</f>
        <v>0.24642914491016663</v>
      </c>
      <c r="BI4" s="65"/>
      <c r="BJ4" s="65"/>
      <c r="BK4" s="65"/>
      <c r="BL4" s="65"/>
      <c r="BM4" s="65"/>
      <c r="BN4" s="65"/>
    </row>
    <row r="5" spans="1:66" x14ac:dyDescent="0.2">
      <c r="A5">
        <v>-1.8594570832542123E-2</v>
      </c>
      <c r="B5">
        <v>-4.7464744956017935E-2</v>
      </c>
      <c r="C5">
        <v>-8.6266702033044429E-2</v>
      </c>
      <c r="D5">
        <v>-2.919046412692472E-2</v>
      </c>
      <c r="E5">
        <v>-4.4654520680530441E-2</v>
      </c>
      <c r="F5">
        <v>-2.6016615653694841E-2</v>
      </c>
      <c r="G5">
        <v>-5.4311022948801191E-2</v>
      </c>
      <c r="H5">
        <v>1.941530832329097E-2</v>
      </c>
      <c r="I5">
        <v>-1.1625293421694494E-2</v>
      </c>
      <c r="J5">
        <v>1.2814313078132522E-2</v>
      </c>
      <c r="K5">
        <v>-3.5285975512780232E-2</v>
      </c>
      <c r="L5">
        <v>-1.7736548307438538E-2</v>
      </c>
      <c r="M5">
        <v>-5.6199909563863226E-3</v>
      </c>
      <c r="N5">
        <v>-9.3094149372728308E-2</v>
      </c>
      <c r="O5">
        <v>-7.0900013461940858E-3</v>
      </c>
      <c r="P5">
        <v>-2.0300025951655032E-3</v>
      </c>
      <c r="Q5">
        <v>-5.0815691786906259E-3</v>
      </c>
      <c r="R5">
        <v>-4.6496063288188449E-2</v>
      </c>
      <c r="S5">
        <v>-5.0599987510285827E-3</v>
      </c>
      <c r="T5">
        <v>-6.6013073304038716E-3</v>
      </c>
      <c r="V5" s="6" t="s">
        <v>105</v>
      </c>
      <c r="W5" s="6"/>
      <c r="AH5" s="69" t="s">
        <v>191</v>
      </c>
      <c r="AI5" s="70" t="s">
        <v>7</v>
      </c>
      <c r="AJ5" s="70" t="s">
        <v>15</v>
      </c>
      <c r="AK5" s="70" t="s">
        <v>128</v>
      </c>
      <c r="AL5" s="70" t="s">
        <v>25</v>
      </c>
      <c r="AM5" s="70" t="s">
        <v>147</v>
      </c>
      <c r="AN5" s="70" t="s">
        <v>148</v>
      </c>
      <c r="AO5" s="70" t="s">
        <v>10</v>
      </c>
      <c r="AP5" s="70" t="s">
        <v>12</v>
      </c>
      <c r="AQ5" s="70" t="s">
        <v>29</v>
      </c>
      <c r="AR5" s="70" t="s">
        <v>13</v>
      </c>
      <c r="AS5" s="70" t="s">
        <v>153</v>
      </c>
      <c r="AT5" s="70" t="s">
        <v>154</v>
      </c>
      <c r="AU5" s="70" t="s">
        <v>16</v>
      </c>
      <c r="AV5" s="70" t="s">
        <v>157</v>
      </c>
      <c r="AW5" s="70" t="s">
        <v>17</v>
      </c>
      <c r="AX5" s="71" t="s">
        <v>192</v>
      </c>
      <c r="AY5" s="71" t="s">
        <v>193</v>
      </c>
      <c r="AZ5" s="65"/>
      <c r="BA5" s="65"/>
      <c r="BB5" s="65"/>
      <c r="BC5" s="65"/>
      <c r="BD5" s="72" t="s">
        <v>0</v>
      </c>
      <c r="BE5" s="72" t="s">
        <v>1</v>
      </c>
      <c r="BF5" s="72" t="s">
        <v>158</v>
      </c>
      <c r="BG5" s="72" t="s">
        <v>3</v>
      </c>
      <c r="BH5" s="72" t="s">
        <v>4</v>
      </c>
      <c r="BI5" s="65"/>
      <c r="BJ5" s="65"/>
      <c r="BK5" s="65"/>
      <c r="BL5" s="65"/>
      <c r="BM5" s="65"/>
      <c r="BN5" s="65"/>
    </row>
    <row r="6" spans="1:66" x14ac:dyDescent="0.2">
      <c r="A6">
        <v>-2.9775631526983704E-3</v>
      </c>
      <c r="B6">
        <v>4.8768475689195512E-2</v>
      </c>
      <c r="C6">
        <v>4.2917294310152565E-2</v>
      </c>
      <c r="D6">
        <v>-7.739837617513845E-3</v>
      </c>
      <c r="E6">
        <v>1.4467795353366064E-2</v>
      </c>
      <c r="F6">
        <v>-4.0058706725372151E-3</v>
      </c>
      <c r="G6">
        <v>-1.4827673501862426E-2</v>
      </c>
      <c r="H6">
        <v>-1.1705638083558956E-2</v>
      </c>
      <c r="I6">
        <v>1.863884818484185E-2</v>
      </c>
      <c r="J6">
        <v>8.4405039616415323E-3</v>
      </c>
      <c r="K6">
        <v>2.1933869611774348E-3</v>
      </c>
      <c r="L6">
        <v>1.6954736383852254E-2</v>
      </c>
      <c r="M6">
        <v>-3.1200008209378849E-3</v>
      </c>
      <c r="N6">
        <v>2.2753716871363849E-2</v>
      </c>
      <c r="O6">
        <v>-8.7800170451353132E-3</v>
      </c>
      <c r="P6">
        <v>-5.3300232453854512E-3</v>
      </c>
      <c r="Q6">
        <v>-1.5632895689677406E-2</v>
      </c>
      <c r="R6">
        <v>1.6443736395469921E-2</v>
      </c>
      <c r="S6">
        <v>-3.449993799749862E-3</v>
      </c>
      <c r="T6">
        <v>-1.5711508756096171E-2</v>
      </c>
      <c r="V6" t="s">
        <v>106</v>
      </c>
      <c r="W6">
        <v>0.91737620784854801</v>
      </c>
      <c r="AH6" s="73" t="s">
        <v>0</v>
      </c>
      <c r="AI6" s="2">
        <v>0</v>
      </c>
      <c r="AJ6" s="2">
        <v>5.4089789210211688E-2</v>
      </c>
      <c r="AK6" s="2">
        <v>-0.62446761018778774</v>
      </c>
      <c r="AL6" s="2">
        <v>2.4456066277914716E-4</v>
      </c>
      <c r="AM6" s="2">
        <v>2.0857845214218185E-2</v>
      </c>
      <c r="AN6" s="2">
        <v>-2.5605164923490555E-2</v>
      </c>
      <c r="AO6" s="2">
        <v>-1.2377290413744411E-2</v>
      </c>
      <c r="AP6" s="2">
        <v>0.17049632659291425</v>
      </c>
      <c r="AQ6" s="2">
        <v>1.536770304289131E-2</v>
      </c>
      <c r="AR6" s="2">
        <v>0</v>
      </c>
      <c r="AS6" s="2">
        <v>-0.1855195532879495</v>
      </c>
      <c r="AT6" s="2">
        <v>6.307398036529588E-3</v>
      </c>
      <c r="AU6" s="2">
        <v>5.2707103927123163E-3</v>
      </c>
      <c r="AV6" s="2">
        <v>-0.21113983963184074</v>
      </c>
      <c r="AW6" s="2">
        <v>0.55837101491847996</v>
      </c>
      <c r="AX6" s="146">
        <v>0.35</v>
      </c>
      <c r="AY6" s="87">
        <f>BJ14</f>
        <v>3.2239439620296309E-2</v>
      </c>
      <c r="AZ6" s="65"/>
      <c r="BA6" s="65"/>
      <c r="BB6" s="68">
        <f>AX6</f>
        <v>0.35</v>
      </c>
      <c r="BC6" s="73" t="s">
        <v>0</v>
      </c>
      <c r="BD6" s="76">
        <v>5.8133493533547113E-5</v>
      </c>
      <c r="BE6" s="76">
        <v>-5.7523195084955085E-5</v>
      </c>
      <c r="BF6" s="76">
        <v>-3.8310146952855345E-5</v>
      </c>
      <c r="BG6" s="76">
        <v>3.4653563498557449E-6</v>
      </c>
      <c r="BH6" s="76">
        <v>1.0414451024515612E-4</v>
      </c>
      <c r="BI6" s="77"/>
      <c r="BJ6" s="65"/>
      <c r="BK6" s="65"/>
      <c r="BL6" s="65"/>
      <c r="BM6" s="65"/>
      <c r="BN6" s="65"/>
    </row>
    <row r="7" spans="1:66" x14ac:dyDescent="0.2">
      <c r="A7">
        <v>8.178461387757574E-3</v>
      </c>
      <c r="B7">
        <v>2.7006950453767997E-2</v>
      </c>
      <c r="C7">
        <v>-4.0735819328155953E-3</v>
      </c>
      <c r="D7">
        <v>-1.7678050233127518E-3</v>
      </c>
      <c r="E7">
        <v>-2.0867511332764987E-3</v>
      </c>
      <c r="F7">
        <v>5.6515784546573578E-3</v>
      </c>
      <c r="G7">
        <v>1.4683748761058713E-2</v>
      </c>
      <c r="H7">
        <v>8.8758342949051272E-3</v>
      </c>
      <c r="I7">
        <v>1.2495750518637605E-2</v>
      </c>
      <c r="J7">
        <v>-1.11324474738006E-2</v>
      </c>
      <c r="K7">
        <v>2.2668462092829467E-2</v>
      </c>
      <c r="L7">
        <v>-4.1462267061582181E-2</v>
      </c>
      <c r="M7">
        <v>1.7579991357553837E-2</v>
      </c>
      <c r="N7">
        <v>-3.2865630135254786E-3</v>
      </c>
      <c r="O7">
        <v>3.6000125969946062E-3</v>
      </c>
      <c r="P7">
        <v>1.9900115237942995E-3</v>
      </c>
      <c r="Q7">
        <v>-8.7949415806041209E-3</v>
      </c>
      <c r="R7">
        <v>-2.6148152171382444E-3</v>
      </c>
      <c r="S7">
        <v>1.6100010732003067E-3</v>
      </c>
      <c r="T7">
        <v>1.4527412749562485E-2</v>
      </c>
      <c r="V7" t="s">
        <v>107</v>
      </c>
      <c r="W7">
        <v>0.84157910672658243</v>
      </c>
      <c r="AH7" s="73" t="s">
        <v>1</v>
      </c>
      <c r="AI7" s="2">
        <v>0</v>
      </c>
      <c r="AJ7" s="2">
        <v>0.1028291518037216</v>
      </c>
      <c r="AK7" s="2">
        <v>-0.21187777989614223</v>
      </c>
      <c r="AL7" s="2">
        <v>0.71889193469151891</v>
      </c>
      <c r="AM7" s="2">
        <v>0.74374856003199374</v>
      </c>
      <c r="AN7" s="2">
        <v>0.18151058218517876</v>
      </c>
      <c r="AO7" s="2">
        <v>-1.2102493655943104E-2</v>
      </c>
      <c r="AP7" s="2">
        <v>0.24791131957159576</v>
      </c>
      <c r="AQ7" s="2">
        <v>-7.966876999678291E-3</v>
      </c>
      <c r="AR7" s="2">
        <v>0</v>
      </c>
      <c r="AS7" s="2">
        <v>0.49411437033417188</v>
      </c>
      <c r="AT7" s="2">
        <v>-0.48862122860563534</v>
      </c>
      <c r="AU7" s="2">
        <v>-0.26910726831812554</v>
      </c>
      <c r="AV7" s="2">
        <v>-9.5072035086461934E-2</v>
      </c>
      <c r="AW7" s="2">
        <v>0.33783461746634658</v>
      </c>
      <c r="AX7" s="146">
        <v>0.20660225674464064</v>
      </c>
      <c r="AY7" s="87">
        <f t="shared" ref="AY7:AY9" si="0">BJ15</f>
        <v>0.49759285836298528</v>
      </c>
      <c r="AZ7" s="65"/>
      <c r="BA7" s="65"/>
      <c r="BB7" s="68">
        <f>AX7</f>
        <v>0.20660225674464064</v>
      </c>
      <c r="BC7" s="73" t="s">
        <v>1</v>
      </c>
      <c r="BD7" s="76">
        <v>-5.7523195084955085E-5</v>
      </c>
      <c r="BE7" s="76">
        <v>2.867204937460884E-3</v>
      </c>
      <c r="BF7" s="76">
        <v>1.8688041204148642E-3</v>
      </c>
      <c r="BG7" s="76">
        <v>1.6903449641413133E-4</v>
      </c>
      <c r="BH7" s="76">
        <v>1.3745862519695207E-4</v>
      </c>
      <c r="BI7" s="77"/>
      <c r="BJ7" s="65"/>
      <c r="BK7" s="65"/>
      <c r="BL7" s="65"/>
      <c r="BM7" s="65"/>
      <c r="BN7" s="65"/>
    </row>
    <row r="8" spans="1:66" x14ac:dyDescent="0.2">
      <c r="A8">
        <v>7.9909891920098008E-3</v>
      </c>
      <c r="B8">
        <v>-7.6484300635423441E-2</v>
      </c>
      <c r="C8">
        <v>1.8803387910201641E-2</v>
      </c>
      <c r="D8">
        <v>-4.2606935921434275E-3</v>
      </c>
      <c r="E8">
        <v>1.3772822207203328E-2</v>
      </c>
      <c r="F8">
        <v>9.9122549949146599E-3</v>
      </c>
      <c r="G8">
        <v>2.9702253898194586E-2</v>
      </c>
      <c r="H8">
        <v>3.5641780845903082E-3</v>
      </c>
      <c r="I8">
        <v>-5.6532161459125096E-2</v>
      </c>
      <c r="J8">
        <v>-4.2445488955042299E-2</v>
      </c>
      <c r="K8">
        <v>-3.4236249490822712E-2</v>
      </c>
      <c r="L8">
        <v>1.766682089762428E-2</v>
      </c>
      <c r="M8">
        <v>-9.3100039320574979E-3</v>
      </c>
      <c r="N8">
        <v>-8.1166772352567751E-3</v>
      </c>
      <c r="O8">
        <v>-5.649998580187221E-3</v>
      </c>
      <c r="P8">
        <v>-1.216998511697942E-2</v>
      </c>
      <c r="Q8">
        <v>1.4276937793218147E-2</v>
      </c>
      <c r="R8">
        <v>1.613455314911616E-2</v>
      </c>
      <c r="S8">
        <v>6.5199865367921994E-3</v>
      </c>
      <c r="T8">
        <v>1.3476433079504968E-2</v>
      </c>
      <c r="V8" t="s">
        <v>108</v>
      </c>
      <c r="W8">
        <v>0.80328220472135192</v>
      </c>
      <c r="AH8" s="73" t="s">
        <v>158</v>
      </c>
      <c r="AI8" s="2">
        <v>0</v>
      </c>
      <c r="AJ8" s="2">
        <v>0.21784671411976467</v>
      </c>
      <c r="AK8" s="2">
        <v>0.81677533851391093</v>
      </c>
      <c r="AL8" s="2">
        <v>0.12636848506016218</v>
      </c>
      <c r="AM8" s="2">
        <v>-0.13782943327215461</v>
      </c>
      <c r="AN8" s="2">
        <v>-8.8032230639960574E-2</v>
      </c>
      <c r="AO8" s="2">
        <v>0.66094189324542219</v>
      </c>
      <c r="AP8" s="2">
        <v>2.8701345008881654</v>
      </c>
      <c r="AQ8" s="2">
        <v>9.7632030427074884E-2</v>
      </c>
      <c r="AR8" s="2">
        <v>0</v>
      </c>
      <c r="AS8" s="2">
        <v>-2.1954938421612242</v>
      </c>
      <c r="AT8" s="2">
        <v>4.4764504275654128E-2</v>
      </c>
      <c r="AU8" s="2">
        <v>0.23407308216672096</v>
      </c>
      <c r="AV8" s="2">
        <v>-1.765935153991532</v>
      </c>
      <c r="AW8" s="2">
        <v>-1.2727532481491219</v>
      </c>
      <c r="AX8" s="146">
        <v>9.6968598345192822E-2</v>
      </c>
      <c r="AY8" s="87">
        <f t="shared" si="0"/>
        <v>0.28798420039650585</v>
      </c>
      <c r="AZ8" s="65"/>
      <c r="BA8" s="65"/>
      <c r="BB8" s="68">
        <f>AX8</f>
        <v>9.6968598345192822E-2</v>
      </c>
      <c r="BC8" s="73" t="s">
        <v>158</v>
      </c>
      <c r="BD8" s="76">
        <v>-3.8310146952855345E-5</v>
      </c>
      <c r="BE8" s="76">
        <v>1.8688041204148642E-3</v>
      </c>
      <c r="BF8" s="76">
        <v>5.1488146432223684E-3</v>
      </c>
      <c r="BG8" s="76">
        <v>3.8267231684406989E-4</v>
      </c>
      <c r="BH8" s="76">
        <v>3.3058512160611552E-4</v>
      </c>
      <c r="BI8" s="77"/>
      <c r="BJ8" s="65"/>
      <c r="BK8" s="65"/>
      <c r="BL8" s="65"/>
      <c r="BM8" s="65"/>
      <c r="BN8" s="65"/>
    </row>
    <row r="9" spans="1:66" x14ac:dyDescent="0.2">
      <c r="A9">
        <v>1.4327929997212108E-2</v>
      </c>
      <c r="B9">
        <v>-5.4394278513921979E-2</v>
      </c>
      <c r="C9">
        <v>-2.5322895601501694E-2</v>
      </c>
      <c r="D9">
        <v>-3.4209798769805344E-3</v>
      </c>
      <c r="E9">
        <v>2.2482398559264372E-2</v>
      </c>
      <c r="F9">
        <v>1.9075174108971638E-2</v>
      </c>
      <c r="G9">
        <v>4.1283114327875792E-2</v>
      </c>
      <c r="H9">
        <v>-9.0321684533356539E-4</v>
      </c>
      <c r="I9">
        <v>-4.9383484064629002E-3</v>
      </c>
      <c r="J9">
        <v>-1.9159728781794838E-2</v>
      </c>
      <c r="K9">
        <v>-9.1842866424752811E-3</v>
      </c>
      <c r="L9">
        <v>-1.8225954391624777E-2</v>
      </c>
      <c r="M9">
        <v>4.9100023455581621E-3</v>
      </c>
      <c r="N9">
        <v>4.8075693645313944E-2</v>
      </c>
      <c r="O9">
        <v>-9.0006462964087319E-5</v>
      </c>
      <c r="P9">
        <v>-8.3400215477897888E-3</v>
      </c>
      <c r="Q9">
        <v>-7.7149420326562135E-3</v>
      </c>
      <c r="R9">
        <v>2.597651165995507E-2</v>
      </c>
      <c r="S9">
        <v>8.2500150848257015E-3</v>
      </c>
      <c r="T9">
        <v>1.8171957263638072E-2</v>
      </c>
      <c r="V9" t="s">
        <v>109</v>
      </c>
      <c r="W9">
        <v>3.2379927368639491E-3</v>
      </c>
      <c r="AH9" s="73" t="s">
        <v>3</v>
      </c>
      <c r="AI9" s="2">
        <v>0</v>
      </c>
      <c r="AJ9" s="2">
        <v>-0.12147590615503918</v>
      </c>
      <c r="AK9" s="2">
        <v>-0.32224776674186317</v>
      </c>
      <c r="AL9" s="2">
        <v>0.1792340886839254</v>
      </c>
      <c r="AM9" s="2">
        <v>-0.17441958528684781</v>
      </c>
      <c r="AN9" s="2">
        <v>-3.9277277111990937E-2</v>
      </c>
      <c r="AO9" s="2">
        <v>3.4955529326588193E-2</v>
      </c>
      <c r="AP9" s="2">
        <v>-0.26384877211282726</v>
      </c>
      <c r="AQ9" s="2">
        <v>6.2718281292034009E-2</v>
      </c>
      <c r="AR9" s="2">
        <v>0</v>
      </c>
      <c r="AS9" s="2">
        <v>1.1868261740806936</v>
      </c>
      <c r="AT9" s="2">
        <v>0.26171944432019428</v>
      </c>
      <c r="AU9" s="2">
        <v>-1.8745805653739043E-2</v>
      </c>
      <c r="AV9" s="2">
        <v>0.20153063579393077</v>
      </c>
      <c r="AW9" s="2">
        <v>0.47793928253759282</v>
      </c>
      <c r="AX9" s="146">
        <v>0.1</v>
      </c>
      <c r="AY9" s="87">
        <f t="shared" si="0"/>
        <v>3.0983579632744493E-2</v>
      </c>
      <c r="AZ9" s="65"/>
      <c r="BA9" s="65"/>
      <c r="BB9" s="68">
        <f>AX9</f>
        <v>0.1</v>
      </c>
      <c r="BC9" s="73" t="s">
        <v>3</v>
      </c>
      <c r="BD9" s="76">
        <v>3.4653563498557449E-6</v>
      </c>
      <c r="BE9" s="76">
        <v>1.6903449641413133E-4</v>
      </c>
      <c r="BF9" s="76">
        <v>3.8267231684406989E-4</v>
      </c>
      <c r="BG9" s="76">
        <v>1.9495627852423255E-4</v>
      </c>
      <c r="BH9" s="76">
        <v>4.3507536362666462E-5</v>
      </c>
      <c r="BI9" s="77"/>
      <c r="BJ9" s="65"/>
      <c r="BK9" s="65"/>
      <c r="BL9" s="65"/>
      <c r="BM9" s="65"/>
      <c r="BN9" s="65"/>
    </row>
    <row r="10" spans="1:66" ht="16" thickBot="1" x14ac:dyDescent="0.25">
      <c r="A10">
        <v>3.1251778435947841E-4</v>
      </c>
      <c r="B10">
        <v>2.7972314300739543E-2</v>
      </c>
      <c r="C10">
        <v>0.12039489400991643</v>
      </c>
      <c r="D10">
        <v>7.1391284360360352E-3</v>
      </c>
      <c r="E10">
        <v>1.0415318178818023E-3</v>
      </c>
      <c r="F10">
        <v>2.7134996608124684E-3</v>
      </c>
      <c r="G10">
        <v>1.6634612140230098E-2</v>
      </c>
      <c r="H10">
        <v>1.1218053190450217E-2</v>
      </c>
      <c r="I10">
        <v>9.510898262141243E-3</v>
      </c>
      <c r="J10">
        <v>-5.9905211856052798E-3</v>
      </c>
      <c r="K10">
        <v>3.611496823020155E-2</v>
      </c>
      <c r="L10">
        <v>6.84664513582951E-2</v>
      </c>
      <c r="M10">
        <v>1.3649998798765273E-2</v>
      </c>
      <c r="N10">
        <v>2.0495303159692613E-2</v>
      </c>
      <c r="O10">
        <v>8.2399999444353611E-3</v>
      </c>
      <c r="P10">
        <v>4.6800139095997118E-3</v>
      </c>
      <c r="Q10">
        <v>9.0394150116599459E-3</v>
      </c>
      <c r="R10">
        <v>1.5744976158673651E-3</v>
      </c>
      <c r="S10">
        <v>3.5599860348356493E-3</v>
      </c>
      <c r="T10">
        <v>1.3931552851262685E-2</v>
      </c>
      <c r="V10" s="4" t="s">
        <v>110</v>
      </c>
      <c r="W10" s="4">
        <v>120</v>
      </c>
      <c r="AH10" s="73" t="s">
        <v>4</v>
      </c>
      <c r="AI10" s="2">
        <v>0</v>
      </c>
      <c r="AJ10" s="2">
        <v>-2.1643091233225088E-2</v>
      </c>
      <c r="AK10" s="2">
        <v>6.4530789868459559E-2</v>
      </c>
      <c r="AL10" s="2">
        <v>-2.12429643966759E-2</v>
      </c>
      <c r="AM10" s="2">
        <v>2.8197239109998443E-2</v>
      </c>
      <c r="AN10" s="2">
        <v>4.3895141025975686E-2</v>
      </c>
      <c r="AO10" s="2">
        <v>8.7853830881693372E-3</v>
      </c>
      <c r="AP10" s="2">
        <v>-9.763024282732255E-2</v>
      </c>
      <c r="AQ10" s="2">
        <v>4.8475140430133453E-3</v>
      </c>
      <c r="AR10" s="2">
        <v>0</v>
      </c>
      <c r="AS10" s="2">
        <v>-4.1855142962212355E-3</v>
      </c>
      <c r="AT10" s="2">
        <v>-3.0645803215406019E-2</v>
      </c>
      <c r="AU10" s="2">
        <v>0.93276006725461647</v>
      </c>
      <c r="AV10" s="2">
        <v>-1.0980292507565943E-2</v>
      </c>
      <c r="AW10" s="2">
        <v>9.9473309528869402E-2</v>
      </c>
      <c r="AX10" s="146">
        <v>0.24642914491016663</v>
      </c>
      <c r="AY10" s="87">
        <f>BJ18</f>
        <v>0.15119992198746809</v>
      </c>
      <c r="AZ10" s="65"/>
      <c r="BA10" s="65"/>
      <c r="BB10" s="68">
        <f>AX10</f>
        <v>0.24642914491016663</v>
      </c>
      <c r="BC10" s="73" t="s">
        <v>4</v>
      </c>
      <c r="BD10" s="76">
        <v>1.0414451024515612E-4</v>
      </c>
      <c r="BE10" s="76">
        <v>1.3745862519695207E-4</v>
      </c>
      <c r="BF10" s="76">
        <v>3.3058512160611552E-4</v>
      </c>
      <c r="BG10" s="76">
        <v>4.3507536362666462E-5</v>
      </c>
      <c r="BH10" s="76">
        <v>4.2050090874737561E-4</v>
      </c>
      <c r="BI10" s="77"/>
      <c r="BJ10" s="65"/>
      <c r="BK10" s="65"/>
      <c r="BL10" s="65"/>
      <c r="BM10" s="65"/>
      <c r="BN10" s="65"/>
    </row>
    <row r="11" spans="1:66" x14ac:dyDescent="0.2">
      <c r="A11">
        <v>6.8457420042600248E-3</v>
      </c>
      <c r="B11">
        <v>5.1186953872370822E-2</v>
      </c>
      <c r="C11">
        <v>-4.3277089140961067E-2</v>
      </c>
      <c r="D11">
        <v>7.1705913184787473E-3</v>
      </c>
      <c r="E11">
        <v>1.2832717175533359E-2</v>
      </c>
      <c r="F11">
        <v>8.3857442348007627E-3</v>
      </c>
      <c r="G11">
        <v>1.6096913375373223E-2</v>
      </c>
      <c r="H11">
        <v>1.0894461420726254E-2</v>
      </c>
      <c r="I11">
        <v>1.5596336929305066E-2</v>
      </c>
      <c r="J11">
        <v>-1.0274607858691276E-3</v>
      </c>
      <c r="K11">
        <v>4.4067203747477635E-3</v>
      </c>
      <c r="L11">
        <v>1.6922450702526737E-2</v>
      </c>
      <c r="M11">
        <v>1.4890002029396276E-2</v>
      </c>
      <c r="N11">
        <v>2.462641960549905E-2</v>
      </c>
      <c r="O11">
        <v>7.7799953911141806E-3</v>
      </c>
      <c r="P11">
        <v>4.6699963296139568E-3</v>
      </c>
      <c r="Q11">
        <v>-1.0527279307751547E-2</v>
      </c>
      <c r="R11">
        <v>1.42003546363485E-2</v>
      </c>
      <c r="S11">
        <v>3.1099990615002238E-3</v>
      </c>
      <c r="T11">
        <v>1.9280205655527016E-2</v>
      </c>
      <c r="AH11" s="65"/>
      <c r="AI11" s="65"/>
      <c r="AJ11" s="65"/>
      <c r="AK11" s="65"/>
      <c r="AL11" s="65"/>
      <c r="AM11" s="65"/>
      <c r="AN11" s="65"/>
      <c r="AO11" s="65"/>
      <c r="AP11" s="65"/>
      <c r="AQ11" s="65"/>
      <c r="AR11" s="65"/>
      <c r="AS11" s="65"/>
      <c r="AT11" s="65"/>
      <c r="AU11" s="65"/>
      <c r="AV11" s="65"/>
      <c r="AW11" s="65"/>
      <c r="AX11" s="65"/>
      <c r="AY11" s="65"/>
      <c r="AZ11" s="65"/>
      <c r="BA11" s="65"/>
      <c r="BB11" s="65"/>
      <c r="BC11" s="65"/>
      <c r="BD11" s="65"/>
      <c r="BE11" s="65"/>
      <c r="BF11" s="65"/>
      <c r="BG11" s="65"/>
      <c r="BH11" s="65"/>
      <c r="BI11" s="77"/>
      <c r="BJ11" s="65"/>
      <c r="BK11" s="65"/>
      <c r="BL11" s="65"/>
      <c r="BM11" s="65"/>
      <c r="BN11" s="65"/>
    </row>
    <row r="12" spans="1:66" ht="16" thickBot="1" x14ac:dyDescent="0.25">
      <c r="A12">
        <v>-3.87966923453964E-3</v>
      </c>
      <c r="B12">
        <v>4.7227055091472181E-2</v>
      </c>
      <c r="C12">
        <v>4.9522834078530087E-2</v>
      </c>
      <c r="D12">
        <v>2.6660861335426E-2</v>
      </c>
      <c r="E12">
        <v>-5.9628894571248647E-3</v>
      </c>
      <c r="F12">
        <v>-7.9764103668484854E-3</v>
      </c>
      <c r="G12">
        <v>6.9900375632860889E-3</v>
      </c>
      <c r="H12">
        <v>1.8380450565109951E-2</v>
      </c>
      <c r="I12">
        <v>3.4398423802710631E-2</v>
      </c>
      <c r="J12">
        <v>-1.6159537314374139E-2</v>
      </c>
      <c r="K12">
        <v>4.6276912821102689E-2</v>
      </c>
      <c r="L12">
        <v>-1.197844472941012E-2</v>
      </c>
      <c r="M12">
        <v>4.0329999084645074E-2</v>
      </c>
      <c r="N12">
        <v>5.2269280130673224E-2</v>
      </c>
      <c r="O12">
        <v>2.6389990525552465E-2</v>
      </c>
      <c r="P12">
        <v>1.5719983907416024E-2</v>
      </c>
      <c r="Q12">
        <v>-6.7615630409612049E-3</v>
      </c>
      <c r="R12">
        <v>-7.0595322049834541E-3</v>
      </c>
      <c r="S12">
        <v>1.0670006618136441E-2</v>
      </c>
      <c r="T12">
        <v>1.0404040198261466E-2</v>
      </c>
      <c r="V12" t="s">
        <v>111</v>
      </c>
      <c r="AH12" s="72" t="s">
        <v>194</v>
      </c>
      <c r="AI12" s="78">
        <f>SUM(AI6:AI10)</f>
        <v>0</v>
      </c>
      <c r="AJ12" s="78">
        <f t="shared" ref="AJ12:AW12" si="1">SUM(AJ6:AJ10)</f>
        <v>0.23164665774543372</v>
      </c>
      <c r="AK12" s="78">
        <f t="shared" si="1"/>
        <v>-0.27728702844342262</v>
      </c>
      <c r="AL12" s="78">
        <f t="shared" si="1"/>
        <v>1.0034961047017097</v>
      </c>
      <c r="AM12" s="78">
        <f t="shared" si="1"/>
        <v>0.48055462579720798</v>
      </c>
      <c r="AN12" s="78">
        <f t="shared" si="1"/>
        <v>7.2491050535712392E-2</v>
      </c>
      <c r="AO12" s="78">
        <f t="shared" si="1"/>
        <v>0.68020302159049217</v>
      </c>
      <c r="AP12" s="78">
        <f t="shared" si="1"/>
        <v>2.9270631321125258</v>
      </c>
      <c r="AQ12" s="78">
        <f t="shared" si="1"/>
        <v>0.17259865180533526</v>
      </c>
      <c r="AR12" s="78">
        <f t="shared" si="1"/>
        <v>0</v>
      </c>
      <c r="AS12" s="78">
        <f t="shared" si="1"/>
        <v>-0.70425836533052943</v>
      </c>
      <c r="AT12" s="78">
        <f t="shared" si="1"/>
        <v>-0.20647568518866335</v>
      </c>
      <c r="AU12" s="78">
        <f t="shared" si="1"/>
        <v>0.88425078584218519</v>
      </c>
      <c r="AV12" s="78">
        <f t="shared" si="1"/>
        <v>-1.8815966854234698</v>
      </c>
      <c r="AW12" s="78">
        <f t="shared" si="1"/>
        <v>0.20086497630216682</v>
      </c>
      <c r="AX12" s="79">
        <f>SUM(AX6:AX10)</f>
        <v>1</v>
      </c>
      <c r="AY12" s="80">
        <f>SUM(AY6:AY10)</f>
        <v>1</v>
      </c>
      <c r="AZ12" s="65"/>
      <c r="BA12" s="65"/>
      <c r="BB12" s="65"/>
      <c r="BC12" s="67" t="s">
        <v>195</v>
      </c>
      <c r="BD12" s="65"/>
      <c r="BE12" s="65"/>
      <c r="BF12" s="65"/>
      <c r="BG12" s="65"/>
      <c r="BH12" s="65"/>
      <c r="BI12" s="77"/>
      <c r="BJ12" s="65"/>
      <c r="BK12" s="65"/>
      <c r="BL12" s="65"/>
      <c r="BM12" s="65"/>
      <c r="BN12" s="65"/>
    </row>
    <row r="13" spans="1:66" x14ac:dyDescent="0.2">
      <c r="A13">
        <v>5.1129046055757854E-3</v>
      </c>
      <c r="B13">
        <v>2.6557605202688794E-2</v>
      </c>
      <c r="C13">
        <v>4.898825771230686E-2</v>
      </c>
      <c r="D13">
        <v>4.1299612665233187E-3</v>
      </c>
      <c r="E13">
        <v>1.0277841404314536E-2</v>
      </c>
      <c r="F13">
        <v>9.2011221695278422E-3</v>
      </c>
      <c r="G13">
        <v>2.5041357163709366E-2</v>
      </c>
      <c r="H13">
        <v>5.8803135508929127E-3</v>
      </c>
      <c r="I13">
        <v>3.9208485422053796E-2</v>
      </c>
      <c r="J13">
        <v>5.7219740771994321E-3</v>
      </c>
      <c r="K13">
        <v>-4.4289796701506567E-3</v>
      </c>
      <c r="L13">
        <v>-4.9106104596640554E-2</v>
      </c>
      <c r="M13">
        <v>2.7990000567262863E-2</v>
      </c>
      <c r="N13">
        <v>-2.7719259341390412E-2</v>
      </c>
      <c r="O13">
        <v>1.5049999769568556E-2</v>
      </c>
      <c r="P13">
        <v>7.5899935769789817E-3</v>
      </c>
      <c r="Q13">
        <v>-1.6418659500056387E-2</v>
      </c>
      <c r="R13">
        <v>1.3768153469411848E-2</v>
      </c>
      <c r="S13">
        <v>7.4600061925895744E-3</v>
      </c>
      <c r="T13">
        <v>1.5081435720420755E-2</v>
      </c>
      <c r="V13" s="5"/>
      <c r="W13" s="5" t="s">
        <v>112</v>
      </c>
      <c r="X13" s="5" t="s">
        <v>113</v>
      </c>
      <c r="Y13" s="5" t="s">
        <v>114</v>
      </c>
      <c r="Z13" s="5" t="s">
        <v>115</v>
      </c>
      <c r="AA13" s="5" t="s">
        <v>116</v>
      </c>
      <c r="AH13" s="71" t="s">
        <v>193</v>
      </c>
      <c r="AI13" s="68">
        <f>BT41</f>
        <v>0</v>
      </c>
      <c r="AJ13" s="68">
        <f>BT42</f>
        <v>4.9139667207917986E-2</v>
      </c>
      <c r="AK13" s="68">
        <f>BT43</f>
        <v>-0.22431186836462319</v>
      </c>
      <c r="AL13" s="68">
        <f>BT44</f>
        <v>0.38270756088194885</v>
      </c>
      <c r="AM13" s="68">
        <f>BT45</f>
        <v>2.1766957740979778E-2</v>
      </c>
      <c r="AN13" s="68">
        <f>BT46</f>
        <v>1.3441474642259808E-2</v>
      </c>
      <c r="AO13" s="68">
        <f>BT47</f>
        <v>0.12475752879899937</v>
      </c>
      <c r="AP13" s="68">
        <f>BT48</f>
        <v>0.29376097863669787</v>
      </c>
      <c r="AQ13" s="68">
        <f>BT49</f>
        <v>2.5703415747453287E-2</v>
      </c>
      <c r="AR13" s="68">
        <f>BT50</f>
        <v>0</v>
      </c>
      <c r="AS13" s="68">
        <f>BT51</f>
        <v>-4.9913935692075067E-4</v>
      </c>
      <c r="AT13" s="68">
        <f>BT52</f>
        <v>6.4478904524749456E-2</v>
      </c>
      <c r="AU13" s="68">
        <f>BT53</f>
        <v>0.11775904037656836</v>
      </c>
      <c r="AV13" s="68">
        <f>BT54</f>
        <v>-0.15284873526960435</v>
      </c>
      <c r="AW13" s="68">
        <f>BT55</f>
        <v>0.28414421443357341</v>
      </c>
      <c r="AX13" s="80">
        <f>SUM(AI13:AW13)</f>
        <v>0.99999999999999989</v>
      </c>
      <c r="AY13" s="65"/>
      <c r="AZ13" s="65"/>
      <c r="BA13" s="65"/>
      <c r="BB13" s="65"/>
      <c r="BC13" s="65"/>
      <c r="BD13" s="72" t="s">
        <v>0</v>
      </c>
      <c r="BE13" s="72" t="s">
        <v>1</v>
      </c>
      <c r="BF13" s="72" t="s">
        <v>158</v>
      </c>
      <c r="BG13" s="72" t="s">
        <v>3</v>
      </c>
      <c r="BH13" s="72" t="s">
        <v>4</v>
      </c>
      <c r="BI13" s="77"/>
      <c r="BJ13" s="65"/>
      <c r="BK13" s="65"/>
      <c r="BL13" s="65"/>
      <c r="BM13" s="65"/>
      <c r="BN13" s="65"/>
    </row>
    <row r="14" spans="1:66" x14ac:dyDescent="0.2">
      <c r="A14">
        <v>3.6364555408368027E-3</v>
      </c>
      <c r="B14">
        <v>-5.409557605565396E-2</v>
      </c>
      <c r="C14">
        <v>-2.7927188203953901E-2</v>
      </c>
      <c r="D14">
        <v>-7.4455304976432934E-3</v>
      </c>
      <c r="E14">
        <v>6.4688462830586602E-4</v>
      </c>
      <c r="F14">
        <v>6.2794738148423956E-3</v>
      </c>
      <c r="G14">
        <v>6.2656245055536797E-3</v>
      </c>
      <c r="H14">
        <v>-7.2984348321349923E-3</v>
      </c>
      <c r="I14">
        <v>-3.3348502855081064E-2</v>
      </c>
      <c r="J14">
        <v>-1.5597855042587927E-2</v>
      </c>
      <c r="K14">
        <v>-1.7348382365178439E-2</v>
      </c>
      <c r="L14">
        <v>1.0434130850706991E-2</v>
      </c>
      <c r="M14">
        <v>-1.4799960669028556E-3</v>
      </c>
      <c r="N14">
        <v>-3.615007412475757E-2</v>
      </c>
      <c r="O14">
        <v>1.700118604137657E-4</v>
      </c>
      <c r="P14">
        <v>-2.8399794031672698E-3</v>
      </c>
      <c r="Q14">
        <v>1.85550084221352E-2</v>
      </c>
      <c r="R14">
        <v>5.4076539101497456E-3</v>
      </c>
      <c r="S14">
        <v>3.0099912635810355E-3</v>
      </c>
      <c r="T14">
        <v>-1.0189610172925967E-3</v>
      </c>
      <c r="V14" t="s">
        <v>117</v>
      </c>
      <c r="W14">
        <v>15</v>
      </c>
      <c r="X14">
        <v>5.903914956492228E-3</v>
      </c>
      <c r="Y14">
        <v>3.9359433043281521E-4</v>
      </c>
      <c r="Z14">
        <v>43.315666391910582</v>
      </c>
      <c r="AA14">
        <v>8.643782042570097E-38</v>
      </c>
      <c r="AH14" s="65"/>
      <c r="AI14" s="65"/>
      <c r="AJ14" s="65"/>
      <c r="AK14" s="65"/>
      <c r="AL14" s="65"/>
      <c r="AM14" s="65"/>
      <c r="AN14" s="65"/>
      <c r="AO14" s="65"/>
      <c r="AP14" s="65"/>
      <c r="AQ14" s="65"/>
      <c r="AR14" s="65"/>
      <c r="AS14" s="65"/>
      <c r="AT14" s="65"/>
      <c r="AU14" s="65"/>
      <c r="AV14" s="65"/>
      <c r="AW14" s="65"/>
      <c r="AX14" s="65"/>
      <c r="AY14" s="65"/>
      <c r="AZ14" s="65"/>
      <c r="BA14" s="65"/>
      <c r="BB14" s="65"/>
      <c r="BC14" s="73" t="s">
        <v>0</v>
      </c>
      <c r="BD14" s="76">
        <f t="shared" ref="BD14:BH18" si="2">BD$4*BD6*$BB6</f>
        <v>7.1213529578595204E-6</v>
      </c>
      <c r="BE14" s="76">
        <f t="shared" si="2"/>
        <v>-4.1595476718998789E-6</v>
      </c>
      <c r="BF14" s="76">
        <f t="shared" si="2"/>
        <v>-1.3002084383458598E-6</v>
      </c>
      <c r="BG14" s="76">
        <f t="shared" si="2"/>
        <v>1.2128747224495109E-7</v>
      </c>
      <c r="BH14" s="76">
        <f t="shared" si="2"/>
        <v>8.9824849123806688E-6</v>
      </c>
      <c r="BI14" s="81">
        <f>SUM(BD14:BH14)</f>
        <v>1.0765369232239401E-5</v>
      </c>
      <c r="BJ14" s="82">
        <f>BI14/SUM($BI$14:$BI$18)</f>
        <v>3.2239439620296309E-2</v>
      </c>
      <c r="BK14" s="65"/>
      <c r="BL14" s="65"/>
      <c r="BM14" s="65"/>
      <c r="BN14" s="65"/>
    </row>
    <row r="15" spans="1:66" x14ac:dyDescent="0.2">
      <c r="A15">
        <v>-6.2576927518297465E-3</v>
      </c>
      <c r="B15">
        <v>-1.1927351422400534E-3</v>
      </c>
      <c r="C15">
        <v>5.8021073335708495E-2</v>
      </c>
      <c r="D15">
        <v>1.6437410909368344E-2</v>
      </c>
      <c r="E15">
        <v>-7.4695158433850661E-3</v>
      </c>
      <c r="F15">
        <v>-5.9031974282449662E-3</v>
      </c>
      <c r="G15">
        <v>6.6668763168653555E-3</v>
      </c>
      <c r="H15">
        <v>2.0187179048355541E-2</v>
      </c>
      <c r="I15">
        <v>1.06425047805494E-2</v>
      </c>
      <c r="J15">
        <v>-2.2499515418030303E-2</v>
      </c>
      <c r="K15">
        <v>-4.1057787242657628E-3</v>
      </c>
      <c r="L15">
        <v>7.0644959787616202E-2</v>
      </c>
      <c r="M15">
        <v>1.384999414646737E-2</v>
      </c>
      <c r="N15">
        <v>3.0880265026029141E-2</v>
      </c>
      <c r="O15">
        <v>1.4190008623000905E-2</v>
      </c>
      <c r="P15">
        <v>6.3600110545871669E-3</v>
      </c>
      <c r="Q15">
        <v>2.3578104194732497E-4</v>
      </c>
      <c r="R15">
        <v>-7.1714246310853325E-3</v>
      </c>
      <c r="S15">
        <v>7.829997568413738E-3</v>
      </c>
      <c r="T15">
        <v>1.4283981620110575E-2</v>
      </c>
      <c r="V15" t="s">
        <v>118</v>
      </c>
      <c r="W15">
        <v>106</v>
      </c>
      <c r="X15">
        <v>1.1113672781822709E-3</v>
      </c>
      <c r="Y15">
        <v>1.0484596963983688E-5</v>
      </c>
      <c r="AH15" s="65"/>
      <c r="AI15" s="65"/>
      <c r="AJ15" s="65"/>
      <c r="AK15" s="65"/>
      <c r="AL15" s="65"/>
      <c r="AM15" s="65"/>
      <c r="AN15" s="65"/>
      <c r="AO15" s="65"/>
      <c r="AP15" s="65"/>
      <c r="AQ15" s="65"/>
      <c r="AR15" s="65"/>
      <c r="AS15" s="65"/>
      <c r="AT15" s="65"/>
      <c r="AU15" s="65"/>
      <c r="AV15" s="65"/>
      <c r="AW15" s="65"/>
      <c r="AX15" s="65"/>
      <c r="AY15" s="65"/>
      <c r="AZ15" s="65"/>
      <c r="BA15" s="65"/>
      <c r="BB15" s="65"/>
      <c r="BC15" s="73" t="s">
        <v>1</v>
      </c>
      <c r="BD15" s="76">
        <f t="shared" si="2"/>
        <v>-4.1595476718998789E-6</v>
      </c>
      <c r="BE15" s="76">
        <f t="shared" si="2"/>
        <v>1.2238518762601252E-4</v>
      </c>
      <c r="BF15" s="76">
        <f t="shared" si="2"/>
        <v>3.7439493270876678E-5</v>
      </c>
      <c r="BG15" s="76">
        <f t="shared" si="2"/>
        <v>3.4922908426853399E-6</v>
      </c>
      <c r="BH15" s="76">
        <f t="shared" si="2"/>
        <v>6.9984058937924441E-6</v>
      </c>
      <c r="BI15" s="81">
        <f>SUM(BD15:BH15)</f>
        <v>1.6615582996146712E-4</v>
      </c>
      <c r="BJ15" s="82">
        <f t="shared" ref="BJ15:BJ18" si="3">BI15/SUM($BI$14:$BI$18)</f>
        <v>0.49759285836298528</v>
      </c>
      <c r="BK15" s="65"/>
      <c r="BL15" s="65"/>
      <c r="BM15" s="65"/>
      <c r="BN15" s="65"/>
    </row>
    <row r="16" spans="1:66" ht="16" thickBot="1" x14ac:dyDescent="0.25">
      <c r="A16">
        <v>-4.1361703030331487E-3</v>
      </c>
      <c r="B16">
        <v>-2.519602429492529E-2</v>
      </c>
      <c r="C16">
        <v>9.7695927373870894E-3</v>
      </c>
      <c r="D16">
        <v>-8.2899574515765684E-3</v>
      </c>
      <c r="E16">
        <v>-5.1539433197589357E-3</v>
      </c>
      <c r="F16">
        <v>-5.1360091306827949E-3</v>
      </c>
      <c r="G16">
        <v>-2.5459998125644367E-2</v>
      </c>
      <c r="H16">
        <v>-2.2176904370909911E-2</v>
      </c>
      <c r="I16">
        <v>-1.821934407955017E-2</v>
      </c>
      <c r="J16">
        <v>-4.4976356246436699E-3</v>
      </c>
      <c r="K16">
        <v>-1.0918705421756991E-2</v>
      </c>
      <c r="L16">
        <v>3.5651904388571687E-2</v>
      </c>
      <c r="M16">
        <v>-1.9799979756719432E-3</v>
      </c>
      <c r="N16">
        <v>-1.675657064156999E-2</v>
      </c>
      <c r="O16">
        <v>-5.1600136702056876E-3</v>
      </c>
      <c r="P16">
        <v>-1.6600209895392126E-3</v>
      </c>
      <c r="Q16">
        <v>7.1780439117846706E-3</v>
      </c>
      <c r="R16">
        <v>-4.4377508572096547E-3</v>
      </c>
      <c r="S16">
        <v>-3.499992680666475E-3</v>
      </c>
      <c r="T16">
        <v>-2.7312913501592706E-2</v>
      </c>
      <c r="V16" s="4" t="s">
        <v>119</v>
      </c>
      <c r="W16" s="4">
        <v>121</v>
      </c>
      <c r="X16" s="4">
        <v>7.0152822346744989E-3</v>
      </c>
      <c r="Y16" s="4"/>
      <c r="Z16" s="4"/>
      <c r="AA16" s="4"/>
      <c r="AH16" s="65"/>
      <c r="AI16" s="67" t="s">
        <v>196</v>
      </c>
      <c r="AJ16" s="65"/>
      <c r="AK16" s="65"/>
      <c r="AL16" s="65"/>
      <c r="AM16" s="65"/>
      <c r="AN16" s="65"/>
      <c r="AO16" s="65"/>
      <c r="AP16" s="65"/>
      <c r="AQ16" s="65"/>
      <c r="AR16" s="65"/>
      <c r="AS16" s="65"/>
      <c r="AT16" s="65"/>
      <c r="AU16" s="65"/>
      <c r="AV16" s="65"/>
      <c r="AW16" s="65"/>
      <c r="AX16" s="65"/>
      <c r="AY16" s="65"/>
      <c r="AZ16" s="65"/>
      <c r="BA16" s="65"/>
      <c r="BB16" s="65"/>
      <c r="BC16" s="73" t="s">
        <v>158</v>
      </c>
      <c r="BD16" s="76">
        <f t="shared" si="2"/>
        <v>-1.3002084383458598E-6</v>
      </c>
      <c r="BE16" s="76">
        <f t="shared" si="2"/>
        <v>3.7439493270876671E-5</v>
      </c>
      <c r="BF16" s="76">
        <f t="shared" si="2"/>
        <v>4.8413835882921675E-5</v>
      </c>
      <c r="BG16" s="76">
        <f t="shared" si="2"/>
        <v>3.710719818987698E-6</v>
      </c>
      <c r="BH16" s="76">
        <f t="shared" si="2"/>
        <v>7.8996252960218941E-6</v>
      </c>
      <c r="BI16" s="81">
        <f>SUM(BD16:BH16)</f>
        <v>9.6163465830462089E-5</v>
      </c>
      <c r="BJ16" s="82">
        <f t="shared" si="3"/>
        <v>0.28798420039650585</v>
      </c>
      <c r="BK16" s="65"/>
      <c r="BL16" s="65"/>
      <c r="BM16" s="65"/>
      <c r="BN16" s="65"/>
    </row>
    <row r="17" spans="1:70" ht="16" thickBot="1" x14ac:dyDescent="0.25">
      <c r="A17">
        <v>8.8541607298897596E-3</v>
      </c>
      <c r="B17">
        <v>-4.1792742128460514E-2</v>
      </c>
      <c r="C17">
        <v>-4.6385367414803591E-2</v>
      </c>
      <c r="D17">
        <v>-1.2824907896132887E-2</v>
      </c>
      <c r="E17">
        <v>1.9528423456501187E-2</v>
      </c>
      <c r="F17">
        <v>1.3533959597638923E-2</v>
      </c>
      <c r="G17">
        <v>1.5771252724708251E-2</v>
      </c>
      <c r="H17">
        <v>-2.4261661777440269E-2</v>
      </c>
      <c r="I17">
        <v>-1.9043376817335589E-2</v>
      </c>
      <c r="J17">
        <v>-1.132809315087524E-3</v>
      </c>
      <c r="K17">
        <v>-3.8302915145590477E-2</v>
      </c>
      <c r="L17">
        <v>-5.8346126220019001E-2</v>
      </c>
      <c r="M17">
        <v>-1.7059994942389856E-2</v>
      </c>
      <c r="N17">
        <v>1.4100618652970631E-2</v>
      </c>
      <c r="O17">
        <v>-1.5129993096155925E-2</v>
      </c>
      <c r="P17">
        <v>-6.6899932505322113E-3</v>
      </c>
      <c r="Q17">
        <v>-3.3539855990342149E-3</v>
      </c>
      <c r="R17">
        <v>2.5283828043532353E-2</v>
      </c>
      <c r="S17">
        <v>-8.4399998456237135E-3</v>
      </c>
      <c r="T17">
        <v>-1.0727702179801346E-2</v>
      </c>
      <c r="AH17" s="65"/>
      <c r="AI17" s="71" t="s">
        <v>197</v>
      </c>
      <c r="AJ17" s="71" t="s">
        <v>198</v>
      </c>
      <c r="AK17" s="71" t="s">
        <v>288</v>
      </c>
      <c r="AL17" s="65"/>
      <c r="AM17" s="65"/>
      <c r="AN17" s="65"/>
      <c r="AO17" s="65"/>
      <c r="AP17" s="65"/>
      <c r="AQ17" s="65"/>
      <c r="AR17" s="65"/>
      <c r="AS17" s="65"/>
      <c r="AT17" s="65"/>
      <c r="AU17" s="65"/>
      <c r="AV17" s="65"/>
      <c r="AW17" s="65"/>
      <c r="AX17" s="65"/>
      <c r="AY17" s="65"/>
      <c r="AZ17" s="65"/>
      <c r="BA17" s="65"/>
      <c r="BB17" s="65"/>
      <c r="BC17" s="73" t="s">
        <v>3</v>
      </c>
      <c r="BD17" s="76">
        <f t="shared" si="2"/>
        <v>1.2128747224495109E-7</v>
      </c>
      <c r="BE17" s="76">
        <f t="shared" si="2"/>
        <v>3.4922908426853399E-6</v>
      </c>
      <c r="BF17" s="76">
        <f t="shared" si="2"/>
        <v>3.7107198189876984E-6</v>
      </c>
      <c r="BG17" s="76">
        <f t="shared" si="2"/>
        <v>1.9495627852423255E-6</v>
      </c>
      <c r="BH17" s="76">
        <f t="shared" si="2"/>
        <v>1.0721524982999877E-6</v>
      </c>
      <c r="BI17" s="81">
        <f>SUM(BD17:BH17)</f>
        <v>1.0346013417460303E-5</v>
      </c>
      <c r="BJ17" s="82">
        <f t="shared" si="3"/>
        <v>3.0983579632744493E-2</v>
      </c>
      <c r="BK17" s="65"/>
      <c r="BL17" s="65"/>
      <c r="BM17" s="65"/>
      <c r="BN17" s="65"/>
    </row>
    <row r="18" spans="1:70" x14ac:dyDescent="0.2">
      <c r="A18">
        <v>5.4878374212958825E-3</v>
      </c>
      <c r="B18">
        <v>7.544962702649971E-2</v>
      </c>
      <c r="C18">
        <v>-1.408737248880787E-2</v>
      </c>
      <c r="D18">
        <v>1.0608021571816284E-3</v>
      </c>
      <c r="E18">
        <v>3.2890234520837058E-3</v>
      </c>
      <c r="F18">
        <v>1.0818747026689834E-2</v>
      </c>
      <c r="G18">
        <v>2.9916687705125122E-2</v>
      </c>
      <c r="H18">
        <v>7.0841965285153297E-3</v>
      </c>
      <c r="I18">
        <v>4.8382484297935013E-2</v>
      </c>
      <c r="J18">
        <v>2.4309576317880888E-2</v>
      </c>
      <c r="K18">
        <v>3.3632219756530413E-2</v>
      </c>
      <c r="L18">
        <v>-7.7624597574791343E-3</v>
      </c>
      <c r="M18">
        <v>1.2000003710082918E-2</v>
      </c>
      <c r="N18">
        <v>-3.9457630240106734E-2</v>
      </c>
      <c r="O18">
        <v>2.1699911997266064E-3</v>
      </c>
      <c r="P18">
        <v>3.2099952196215087E-3</v>
      </c>
      <c r="Q18">
        <v>-1.6298994743119799E-2</v>
      </c>
      <c r="R18">
        <v>6.918928210748021E-3</v>
      </c>
      <c r="S18">
        <v>-1.0400040198949023E-3</v>
      </c>
      <c r="T18">
        <v>1.7902943555205164E-2</v>
      </c>
      <c r="V18" s="5"/>
      <c r="W18" s="5" t="s">
        <v>120</v>
      </c>
      <c r="X18" s="5" t="s">
        <v>109</v>
      </c>
      <c r="Y18" s="5" t="s">
        <v>121</v>
      </c>
      <c r="Z18" s="5" t="s">
        <v>122</v>
      </c>
      <c r="AA18" s="5" t="s">
        <v>123</v>
      </c>
      <c r="AB18" s="5" t="s">
        <v>124</v>
      </c>
      <c r="AC18" s="5" t="s">
        <v>125</v>
      </c>
      <c r="AD18" s="5" t="s">
        <v>126</v>
      </c>
      <c r="AH18" s="73" t="s">
        <v>0</v>
      </c>
      <c r="AI18" s="68">
        <v>0.1</v>
      </c>
      <c r="AJ18" s="68">
        <v>0.35</v>
      </c>
      <c r="AK18" t="s">
        <v>268</v>
      </c>
      <c r="AL18" s="65" t="s">
        <v>289</v>
      </c>
      <c r="AM18" s="65"/>
      <c r="AN18" s="68"/>
      <c r="AO18" s="65"/>
      <c r="AP18" s="65"/>
      <c r="AQ18" s="65"/>
      <c r="AR18" s="65"/>
      <c r="AS18" s="65"/>
      <c r="AT18" s="65"/>
      <c r="AU18" s="65"/>
      <c r="AV18" s="65"/>
      <c r="AW18" s="65"/>
      <c r="AX18" s="65"/>
      <c r="AY18" s="65"/>
      <c r="AZ18" s="65"/>
      <c r="BA18" s="65"/>
      <c r="BB18" s="65"/>
      <c r="BC18" s="73" t="s">
        <v>4</v>
      </c>
      <c r="BD18" s="76">
        <f t="shared" si="2"/>
        <v>8.9824849123806671E-6</v>
      </c>
      <c r="BE18" s="76">
        <f t="shared" si="2"/>
        <v>6.9984058937924441E-6</v>
      </c>
      <c r="BF18" s="76">
        <f t="shared" si="2"/>
        <v>7.8996252960218941E-6</v>
      </c>
      <c r="BG18" s="76">
        <f t="shared" si="2"/>
        <v>1.0721524982999879E-6</v>
      </c>
      <c r="BH18" s="76">
        <f t="shared" si="2"/>
        <v>2.5535894701211879E-5</v>
      </c>
      <c r="BI18" s="81">
        <f>SUM(BD18:BH18)</f>
        <v>5.048856330170687E-5</v>
      </c>
      <c r="BJ18" s="82">
        <f t="shared" si="3"/>
        <v>0.15119992198746809</v>
      </c>
      <c r="BK18" s="65"/>
      <c r="BL18" s="65"/>
      <c r="BM18" s="65"/>
      <c r="BN18" s="65"/>
    </row>
    <row r="19" spans="1:70" x14ac:dyDescent="0.2">
      <c r="A19">
        <v>1.3617323913872603E-3</v>
      </c>
      <c r="B19">
        <v>-1.9681493107627235E-2</v>
      </c>
      <c r="C19">
        <v>-6.402115128348318E-3</v>
      </c>
      <c r="D19">
        <v>8.2856708716096961E-3</v>
      </c>
      <c r="E19">
        <v>8.51542047518139E-4</v>
      </c>
      <c r="F19">
        <v>5.4529078117773189E-3</v>
      </c>
      <c r="G19">
        <v>1.77717857580586E-2</v>
      </c>
      <c r="H19">
        <v>1.3578147492161241E-2</v>
      </c>
      <c r="I19">
        <v>-3.6864905444146112E-3</v>
      </c>
      <c r="J19">
        <v>-1.4634831591553321E-2</v>
      </c>
      <c r="K19">
        <v>3.7151268662191983E-2</v>
      </c>
      <c r="L19">
        <v>1.6833418122208954E-2</v>
      </c>
      <c r="M19">
        <v>1.3249994311450353E-2</v>
      </c>
      <c r="N19">
        <v>4.3738765727980855E-2</v>
      </c>
      <c r="O19">
        <v>1.3040001049762218E-2</v>
      </c>
      <c r="P19">
        <v>3.449991045725298E-3</v>
      </c>
      <c r="Q19">
        <v>1.8180603069193113E-2</v>
      </c>
      <c r="R19">
        <v>3.6562030971027948E-3</v>
      </c>
      <c r="S19">
        <v>9.5900100040369196E-3</v>
      </c>
      <c r="T19">
        <v>1.903105530393856E-2</v>
      </c>
      <c r="V19" t="s">
        <v>127</v>
      </c>
      <c r="W19">
        <v>-1.7480918008870366E-4</v>
      </c>
      <c r="X19">
        <v>3.931050864709897E-4</v>
      </c>
      <c r="Y19">
        <v>-0.44468816635778685</v>
      </c>
      <c r="Z19">
        <v>0.65745178337467691</v>
      </c>
      <c r="AA19">
        <v>-9.5417824811217758E-4</v>
      </c>
      <c r="AB19">
        <v>6.0455988793477026E-4</v>
      </c>
      <c r="AC19">
        <v>-9.5417824811217758E-4</v>
      </c>
      <c r="AD19">
        <v>6.0455988793477026E-4</v>
      </c>
      <c r="AH19" s="73" t="s">
        <v>1</v>
      </c>
      <c r="AI19" s="68">
        <v>0.6</v>
      </c>
      <c r="AJ19" s="68">
        <v>0.15</v>
      </c>
      <c r="AK19" t="s">
        <v>269</v>
      </c>
      <c r="AL19" s="65" t="s">
        <v>289</v>
      </c>
      <c r="AM19" s="65"/>
      <c r="AN19" s="68"/>
      <c r="AO19" s="65"/>
      <c r="AP19" s="65"/>
      <c r="AQ19" s="65"/>
      <c r="AR19" s="65"/>
      <c r="AS19" s="65"/>
      <c r="AT19" s="65"/>
      <c r="AU19" s="65"/>
      <c r="AV19" s="65"/>
      <c r="AW19" s="65"/>
      <c r="AX19" s="65"/>
      <c r="AY19" s="65"/>
      <c r="AZ19" s="65"/>
      <c r="BA19" s="65"/>
      <c r="BB19" s="65"/>
      <c r="BC19" s="65"/>
      <c r="BD19" s="65"/>
      <c r="BE19" s="65"/>
      <c r="BF19" s="65"/>
      <c r="BG19" s="65"/>
      <c r="BH19" s="65"/>
      <c r="BI19" s="65"/>
      <c r="BJ19" s="65"/>
      <c r="BK19" s="65"/>
      <c r="BL19" s="65"/>
      <c r="BM19" s="65"/>
      <c r="BN19" s="65"/>
    </row>
    <row r="20" spans="1:70" x14ac:dyDescent="0.2">
      <c r="A20">
        <v>-7.449867875414129E-3</v>
      </c>
      <c r="B20">
        <v>5.6072297423153339E-2</v>
      </c>
      <c r="C20">
        <v>6.0050126615346588E-2</v>
      </c>
      <c r="D20">
        <v>4.9724202396477235E-3</v>
      </c>
      <c r="E20">
        <v>-1.9395521777643143E-2</v>
      </c>
      <c r="F20">
        <v>-9.0953845160560709E-3</v>
      </c>
      <c r="G20">
        <v>-2.4686897880541459E-3</v>
      </c>
      <c r="H20">
        <v>2.4795568738883111E-2</v>
      </c>
      <c r="I20">
        <v>4.8875218404193399E-2</v>
      </c>
      <c r="J20">
        <v>1.9943220107236037E-2</v>
      </c>
      <c r="K20">
        <v>2.6166996830751632E-2</v>
      </c>
      <c r="L20">
        <v>4.4831598920809901E-2</v>
      </c>
      <c r="M20">
        <v>2.3509999328833242E-2</v>
      </c>
      <c r="N20">
        <v>-1.3088404133180243E-2</v>
      </c>
      <c r="O20">
        <v>1.8030012270868534E-2</v>
      </c>
      <c r="P20">
        <v>4.6300243355219539E-3</v>
      </c>
      <c r="Q20">
        <v>-7.6985043331008196E-3</v>
      </c>
      <c r="R20">
        <v>-1.8193157898467094E-2</v>
      </c>
      <c r="S20">
        <v>1.339998793534658E-2</v>
      </c>
      <c r="T20">
        <v>1.5700184222827041E-2</v>
      </c>
      <c r="V20" t="s">
        <v>223</v>
      </c>
      <c r="W20">
        <v>0</v>
      </c>
      <c r="X20">
        <v>0</v>
      </c>
      <c r="Y20">
        <v>65535</v>
      </c>
      <c r="Z20" t="e">
        <v>#NUM!</v>
      </c>
      <c r="AA20">
        <v>0</v>
      </c>
      <c r="AB20">
        <v>0</v>
      </c>
      <c r="AC20">
        <v>0</v>
      </c>
      <c r="AD20">
        <v>0</v>
      </c>
      <c r="AH20" s="73" t="s">
        <v>158</v>
      </c>
      <c r="AI20" s="68">
        <v>0.35</v>
      </c>
      <c r="AJ20" s="68">
        <v>0.05</v>
      </c>
      <c r="AK20" t="s">
        <v>270</v>
      </c>
      <c r="AL20" s="65" t="s">
        <v>289</v>
      </c>
      <c r="AM20" s="65"/>
      <c r="AN20" s="68"/>
      <c r="AO20" s="65"/>
      <c r="AP20" s="65"/>
      <c r="AQ20" s="65"/>
      <c r="AR20" s="65"/>
      <c r="AS20" s="65"/>
      <c r="AT20" s="65"/>
      <c r="AU20" s="65"/>
      <c r="AV20" s="65"/>
      <c r="AW20" s="65"/>
      <c r="AX20" s="65"/>
      <c r="AY20" s="65"/>
      <c r="AZ20" s="65"/>
      <c r="BA20" s="65"/>
      <c r="BB20" s="65"/>
      <c r="BC20" s="65"/>
      <c r="BD20" s="65"/>
      <c r="BE20" s="65"/>
      <c r="BF20" s="65"/>
      <c r="BG20" s="65"/>
      <c r="BH20" s="65"/>
      <c r="BI20" s="65"/>
      <c r="BJ20" s="65"/>
      <c r="BK20" s="65"/>
      <c r="BL20" s="65"/>
      <c r="BM20" s="65"/>
      <c r="BN20" s="65"/>
    </row>
    <row r="21" spans="1:70" x14ac:dyDescent="0.2">
      <c r="A21">
        <v>6.0719039164913724E-3</v>
      </c>
      <c r="B21">
        <v>-5.1019974355649422E-3</v>
      </c>
      <c r="C21">
        <v>1.888226457106934E-2</v>
      </c>
      <c r="D21">
        <v>4.4625004696154935E-3</v>
      </c>
      <c r="E21">
        <v>1.9822141378918579E-2</v>
      </c>
      <c r="F21">
        <v>1.2811324135459712E-2</v>
      </c>
      <c r="G21">
        <v>1.940604816804492E-2</v>
      </c>
      <c r="H21">
        <v>-9.1915546250564972E-3</v>
      </c>
      <c r="I21">
        <v>-1.2878843090505909E-2</v>
      </c>
      <c r="J21">
        <v>-8.5300653654503122E-3</v>
      </c>
      <c r="K21">
        <v>-9.4164056039929278E-3</v>
      </c>
      <c r="L21">
        <v>7.5479996736767196E-2</v>
      </c>
      <c r="M21">
        <v>8.8700061158561994E-3</v>
      </c>
      <c r="N21">
        <v>1.2563983248022215E-2</v>
      </c>
      <c r="O21">
        <v>8.4599893882217891E-3</v>
      </c>
      <c r="P21">
        <v>1.5499907765241794E-3</v>
      </c>
      <c r="Q21">
        <v>1.6534063539796917E-2</v>
      </c>
      <c r="R21">
        <v>2.4976539377752127E-2</v>
      </c>
      <c r="S21">
        <v>6.9099986116976098E-3</v>
      </c>
      <c r="T21">
        <v>3.6197695104032146E-3</v>
      </c>
      <c r="V21" t="s">
        <v>224</v>
      </c>
      <c r="W21">
        <v>5.4089789210211688E-2</v>
      </c>
      <c r="X21">
        <v>2.7837467230033087E-2</v>
      </c>
      <c r="Y21">
        <v>1.9430571309970213</v>
      </c>
      <c r="Z21" t="e">
        <v>#NUM!</v>
      </c>
      <c r="AA21">
        <v>-1.1006970945387281E-3</v>
      </c>
      <c r="AB21">
        <v>0.1092802755149621</v>
      </c>
      <c r="AC21">
        <v>-1.1006970945387281E-3</v>
      </c>
      <c r="AD21">
        <v>0.1092802755149621</v>
      </c>
      <c r="AH21" s="73" t="s">
        <v>3</v>
      </c>
      <c r="AI21" s="68">
        <v>0.12</v>
      </c>
      <c r="AJ21" s="68">
        <v>0.1</v>
      </c>
      <c r="AK21" t="s">
        <v>271</v>
      </c>
      <c r="AL21" s="65" t="s">
        <v>289</v>
      </c>
      <c r="AM21" s="65"/>
      <c r="AN21" s="68"/>
      <c r="AO21" s="65"/>
      <c r="AP21" s="65"/>
      <c r="AQ21" s="65"/>
      <c r="AR21" s="65"/>
      <c r="AS21" s="65"/>
      <c r="AT21" s="65"/>
      <c r="AU21" s="65"/>
      <c r="AV21" s="65"/>
      <c r="AW21" s="65"/>
      <c r="AX21" s="65"/>
      <c r="AY21" s="65"/>
      <c r="AZ21" s="65"/>
      <c r="BA21" s="65"/>
      <c r="BB21" s="65"/>
      <c r="BC21" s="67" t="s">
        <v>199</v>
      </c>
      <c r="BD21" s="65"/>
      <c r="BE21" s="65"/>
      <c r="BF21" s="65"/>
      <c r="BG21" s="65"/>
      <c r="BH21" s="65"/>
      <c r="BI21" s="65"/>
      <c r="BJ21" s="65"/>
      <c r="BK21" s="65"/>
      <c r="BL21" s="65"/>
      <c r="BM21" s="65"/>
      <c r="BN21" s="65"/>
    </row>
    <row r="22" spans="1:70" x14ac:dyDescent="0.2">
      <c r="A22">
        <v>-8.2182653288597196E-3</v>
      </c>
      <c r="B22">
        <v>-9.1459509103053449E-5</v>
      </c>
      <c r="C22">
        <v>1.5243661121291385E-2</v>
      </c>
      <c r="D22">
        <v>1.8122825517558283E-2</v>
      </c>
      <c r="E22">
        <v>-6.3266938194502798E-3</v>
      </c>
      <c r="F22">
        <v>-1.0301153954404674E-2</v>
      </c>
      <c r="G22">
        <v>1.6904994522900285E-2</v>
      </c>
      <c r="H22">
        <v>2.8635717886849044E-4</v>
      </c>
      <c r="I22">
        <v>4.6048521083328353E-3</v>
      </c>
      <c r="J22">
        <v>-9.4355618191159785E-3</v>
      </c>
      <c r="K22">
        <v>-4.9627077149831944E-3</v>
      </c>
      <c r="L22">
        <v>4.6525663816047613E-2</v>
      </c>
      <c r="M22">
        <v>9.9799919184655472E-3</v>
      </c>
      <c r="N22">
        <v>7.8354779411764719E-2</v>
      </c>
      <c r="O22">
        <v>1.5259997371717793E-2</v>
      </c>
      <c r="P22">
        <v>3.5099832824203592E-3</v>
      </c>
      <c r="Q22">
        <v>1.4430686244480517E-2</v>
      </c>
      <c r="R22">
        <v>-5.2538911190929127E-3</v>
      </c>
      <c r="S22">
        <v>1.1750014089297434E-2</v>
      </c>
      <c r="T22">
        <v>-1.0014796775536183E-2</v>
      </c>
      <c r="V22" t="s">
        <v>225</v>
      </c>
      <c r="W22">
        <v>-0.62446761018778774</v>
      </c>
      <c r="X22">
        <v>6.8184199527154724E-2</v>
      </c>
      <c r="Y22">
        <v>-9.158538407994218</v>
      </c>
      <c r="Z22">
        <v>4.3922344430578528E-15</v>
      </c>
      <c r="AA22">
        <v>-0.75964941746599712</v>
      </c>
      <c r="AB22">
        <v>-0.48928580290957835</v>
      </c>
      <c r="AC22">
        <v>-0.75964941746599712</v>
      </c>
      <c r="AD22">
        <v>-0.48928580290957835</v>
      </c>
      <c r="AH22" s="73" t="s">
        <v>4</v>
      </c>
      <c r="AI22" s="68">
        <v>0.35</v>
      </c>
      <c r="AJ22" s="68">
        <v>0.15</v>
      </c>
      <c r="AK22" t="s">
        <v>272</v>
      </c>
      <c r="AL22" s="65" t="s">
        <v>289</v>
      </c>
      <c r="AM22" s="65"/>
      <c r="AN22" s="68"/>
      <c r="AO22" s="65"/>
      <c r="AP22" s="65"/>
      <c r="AQ22" s="65"/>
      <c r="AR22" s="65"/>
      <c r="AS22" s="65"/>
      <c r="AT22" s="65"/>
      <c r="AU22" s="65"/>
      <c r="AV22" s="65"/>
      <c r="AW22" s="65"/>
      <c r="AX22" s="65"/>
      <c r="AY22" s="65"/>
      <c r="AZ22" s="65"/>
      <c r="BA22" s="65"/>
      <c r="BB22" s="65"/>
      <c r="BC22" s="65"/>
      <c r="BD22" s="74">
        <f t="shared" ref="BD22:BR22" si="4">SUMPRODUCT($AX$6:$AX$10,AI6:AI10)</f>
        <v>0</v>
      </c>
      <c r="BE22" s="74">
        <f t="shared" si="4"/>
        <v>4.3819372486339409E-2</v>
      </c>
      <c r="BF22" s="74">
        <f t="shared" si="4"/>
        <v>-0.19945904061422282</v>
      </c>
      <c r="BG22" s="74">
        <f t="shared" si="4"/>
        <v>0.17355259048281327</v>
      </c>
      <c r="BH22" s="74">
        <f t="shared" si="4"/>
        <v>0.13710191281706965</v>
      </c>
      <c r="BI22" s="74">
        <f t="shared" si="4"/>
        <v>2.6891640522455358E-2</v>
      </c>
      <c r="BJ22" s="74">
        <f t="shared" si="4"/>
        <v>6.2918682204045201E-2</v>
      </c>
      <c r="BK22" s="74">
        <f t="shared" si="4"/>
        <v>0.33876185754826665</v>
      </c>
      <c r="BL22" s="74">
        <f t="shared" si="4"/>
        <v>2.0666359311543325E-2</v>
      </c>
      <c r="BM22" s="74">
        <f t="shared" si="4"/>
        <v>0</v>
      </c>
      <c r="BN22" s="74">
        <f t="shared" si="4"/>
        <v>-5.8089475500618944E-2</v>
      </c>
      <c r="BO22" s="74">
        <f t="shared" si="4"/>
        <v>-7.578198262468859E-2</v>
      </c>
      <c r="BP22" s="74">
        <f t="shared" si="4"/>
        <v>0.19692900359911586</v>
      </c>
      <c r="BQ22" s="74">
        <f t="shared" si="4"/>
        <v>-0.24733409803848397</v>
      </c>
      <c r="BR22" s="74">
        <f t="shared" si="4"/>
        <v>0.21411720194650874</v>
      </c>
    </row>
    <row r="23" spans="1:70" x14ac:dyDescent="0.2">
      <c r="A23">
        <v>-9.6210420905453731E-3</v>
      </c>
      <c r="B23">
        <v>-2.456135736307441E-2</v>
      </c>
      <c r="C23">
        <v>4.5082190092773367E-2</v>
      </c>
      <c r="D23">
        <v>-8.9936197122291173E-3</v>
      </c>
      <c r="E23">
        <v>-1.466662051025347E-2</v>
      </c>
      <c r="F23">
        <v>-7.9139379560264622E-3</v>
      </c>
      <c r="G23">
        <v>-1.4789798532665821E-2</v>
      </c>
      <c r="H23">
        <v>6.1975345286024996E-4</v>
      </c>
      <c r="I23">
        <v>-9.7199283778962586E-3</v>
      </c>
      <c r="J23">
        <v>1.5677610355328442E-2</v>
      </c>
      <c r="K23">
        <v>-1.4378494274390419E-2</v>
      </c>
      <c r="L23">
        <v>-6.2839566867097796E-2</v>
      </c>
      <c r="M23">
        <v>-1.7979998465396774E-2</v>
      </c>
      <c r="N23">
        <v>-8.7577242701897262E-3</v>
      </c>
      <c r="O23">
        <v>-1.5100003441222198E-2</v>
      </c>
      <c r="P23">
        <v>-1.1550001434881607E-2</v>
      </c>
      <c r="Q23">
        <v>-2.0591313627064123E-3</v>
      </c>
      <c r="R23">
        <v>-1.2573985443629532E-2</v>
      </c>
      <c r="S23">
        <v>-3.5500020063405913E-3</v>
      </c>
      <c r="T23">
        <v>-7.2941845031662123E-3</v>
      </c>
      <c r="V23" t="s">
        <v>226</v>
      </c>
      <c r="W23">
        <v>2.4456066277914716E-4</v>
      </c>
      <c r="X23">
        <v>4.7155448512836741E-2</v>
      </c>
      <c r="Y23">
        <v>5.1862652247400935E-3</v>
      </c>
      <c r="Z23">
        <v>0.99587172561645121</v>
      </c>
      <c r="AA23">
        <v>-9.3245702436094952E-2</v>
      </c>
      <c r="AB23">
        <v>9.3734823761653249E-2</v>
      </c>
      <c r="AC23">
        <v>-9.3245702436094952E-2</v>
      </c>
      <c r="AD23">
        <v>9.3734823761653249E-2</v>
      </c>
      <c r="AH23" s="65"/>
      <c r="AI23" s="65"/>
      <c r="AJ23" s="65"/>
      <c r="AK23" s="65"/>
      <c r="AL23" s="65"/>
      <c r="AM23" s="65"/>
      <c r="AN23" s="65"/>
      <c r="AO23" s="65"/>
      <c r="AP23" s="65"/>
      <c r="AQ23" s="65"/>
      <c r="AR23" s="65"/>
      <c r="AS23" s="65"/>
      <c r="AT23" s="65"/>
      <c r="AU23" s="65"/>
      <c r="AV23" s="65"/>
      <c r="AW23" s="65"/>
      <c r="AX23" s="65"/>
      <c r="AY23" s="65"/>
      <c r="AZ23" s="65"/>
      <c r="BA23" s="65"/>
      <c r="BB23" s="65"/>
      <c r="BC23" s="65"/>
      <c r="BD23" s="70" t="s">
        <v>7</v>
      </c>
      <c r="BE23" s="70" t="s">
        <v>15</v>
      </c>
      <c r="BF23" s="70" t="s">
        <v>128</v>
      </c>
      <c r="BG23" s="70" t="s">
        <v>25</v>
      </c>
      <c r="BH23" s="70" t="s">
        <v>147</v>
      </c>
      <c r="BI23" s="70" t="s">
        <v>148</v>
      </c>
      <c r="BJ23" s="70" t="s">
        <v>10</v>
      </c>
      <c r="BK23" s="70" t="s">
        <v>12</v>
      </c>
      <c r="BL23" s="70" t="s">
        <v>29</v>
      </c>
      <c r="BM23" s="70" t="s">
        <v>13</v>
      </c>
      <c r="BN23" s="70" t="s">
        <v>153</v>
      </c>
      <c r="BO23" s="70" t="s">
        <v>154</v>
      </c>
      <c r="BP23" s="70" t="s">
        <v>16</v>
      </c>
      <c r="BQ23" s="70" t="s">
        <v>157</v>
      </c>
      <c r="BR23" s="70" t="s">
        <v>17</v>
      </c>
    </row>
    <row r="24" spans="1:70" x14ac:dyDescent="0.2">
      <c r="A24">
        <v>1.9473397960201311E-4</v>
      </c>
      <c r="B24">
        <v>6.0937264303516869E-2</v>
      </c>
      <c r="C24">
        <v>8.9889095832339727E-2</v>
      </c>
      <c r="D24">
        <v>1.1561723282379477E-2</v>
      </c>
      <c r="E24">
        <v>-1.5948265783225501E-3</v>
      </c>
      <c r="F24">
        <v>4.4226044226045591E-3</v>
      </c>
      <c r="G24">
        <v>1.5277777777777724E-2</v>
      </c>
      <c r="H24">
        <v>4.0207220055310522E-4</v>
      </c>
      <c r="I24">
        <v>4.3145157320719996E-2</v>
      </c>
      <c r="J24">
        <v>1.0445096759038597E-2</v>
      </c>
      <c r="K24">
        <v>1.0723679481014603E-2</v>
      </c>
      <c r="L24">
        <v>2.5825890455182243E-3</v>
      </c>
      <c r="M24">
        <v>1.2900004676325239E-2</v>
      </c>
      <c r="N24">
        <v>5.9953997291429362E-2</v>
      </c>
      <c r="O24">
        <v>1.7020022033619187E-2</v>
      </c>
      <c r="P24">
        <v>8.7800296204909589E-3</v>
      </c>
      <c r="Q24">
        <v>-1.6472298093219262E-2</v>
      </c>
      <c r="R24">
        <v>1.9717784724810894E-3</v>
      </c>
      <c r="S24">
        <v>8.2399924131282276E-3</v>
      </c>
      <c r="T24">
        <v>4.8246766231576643E-3</v>
      </c>
      <c r="V24" t="s">
        <v>227</v>
      </c>
      <c r="W24">
        <v>2.0857845214218185E-2</v>
      </c>
      <c r="X24">
        <v>3.4232077745720971E-2</v>
      </c>
      <c r="Y24">
        <v>0.60930701808847776</v>
      </c>
      <c r="Z24">
        <v>0.54362472657307126</v>
      </c>
      <c r="AA24">
        <v>-4.7010578388991899E-2</v>
      </c>
      <c r="AB24">
        <v>8.8726268817428261E-2</v>
      </c>
      <c r="AC24">
        <v>-4.7010578388991899E-2</v>
      </c>
      <c r="AD24">
        <v>8.8726268817428261E-2</v>
      </c>
      <c r="AH24" s="65"/>
      <c r="AI24" s="65" t="s">
        <v>200</v>
      </c>
      <c r="AJ24" s="65"/>
      <c r="AK24" s="65"/>
      <c r="AL24" s="65"/>
      <c r="AM24" s="65"/>
      <c r="AN24" s="65"/>
      <c r="AO24" s="65"/>
      <c r="AP24" s="65"/>
      <c r="AQ24" s="65"/>
      <c r="AR24" s="65"/>
      <c r="AS24" s="65"/>
      <c r="AT24" s="65"/>
      <c r="AU24" s="65"/>
      <c r="AV24" s="65"/>
      <c r="AW24" s="65"/>
      <c r="AX24" s="65"/>
      <c r="AY24" s="65"/>
      <c r="AZ24" s="65"/>
      <c r="BA24" s="65"/>
      <c r="BB24" s="90">
        <f>BD22</f>
        <v>0</v>
      </c>
      <c r="BC24" s="70" t="s">
        <v>7</v>
      </c>
      <c r="BD24">
        <f>VARP(Factors!D4:D123)</f>
        <v>9.4000669550685709E-5</v>
      </c>
      <c r="BE24">
        <v>1.6214518095523584E-4</v>
      </c>
      <c r="BF24">
        <v>-1.9712824933947751E-5</v>
      </c>
      <c r="BG24">
        <v>1.1906100882103766E-5</v>
      </c>
      <c r="BH24">
        <v>-1.221833451629063E-5</v>
      </c>
      <c r="BI24">
        <v>-3.4684330168194632E-5</v>
      </c>
      <c r="BJ24">
        <v>2.9889884262497238E-5</v>
      </c>
      <c r="BK24">
        <v>-6.5964894062799903E-6</v>
      </c>
      <c r="BL24">
        <v>1.7635052277603996E-4</v>
      </c>
      <c r="BM24">
        <v>-5.5294172825989147E-6</v>
      </c>
      <c r="BN24">
        <v>-2.1251380167812904E-5</v>
      </c>
      <c r="BO24">
        <v>-2.1290613355403411E-5</v>
      </c>
      <c r="BP24">
        <v>1.6443892666704154E-4</v>
      </c>
      <c r="BQ24">
        <v>1.572196288521398E-5</v>
      </c>
      <c r="BR24">
        <v>7.4287844616738002E-5</v>
      </c>
    </row>
    <row r="25" spans="1:70" x14ac:dyDescent="0.2">
      <c r="A25">
        <v>6.558179865697511E-3</v>
      </c>
      <c r="B25">
        <v>-3.2513563673520096E-2</v>
      </c>
      <c r="C25">
        <v>7.0228117799173262E-2</v>
      </c>
      <c r="D25">
        <v>9.5251369491837767E-3</v>
      </c>
      <c r="E25">
        <v>4.5252174104537524E-3</v>
      </c>
      <c r="F25">
        <v>9.5075016307892835E-3</v>
      </c>
      <c r="G25">
        <v>1.8482405332246765E-2</v>
      </c>
      <c r="H25">
        <v>-3.5321919425168602E-4</v>
      </c>
      <c r="I25">
        <v>-3.134922161733944E-3</v>
      </c>
      <c r="J25">
        <v>-9.276035706300978E-3</v>
      </c>
      <c r="K25">
        <v>-4.9183165392930883E-3</v>
      </c>
      <c r="L25">
        <v>3.18839218632605E-2</v>
      </c>
      <c r="M25">
        <v>1.5669995623428523E-2</v>
      </c>
      <c r="N25">
        <v>4.8511397744787965E-2</v>
      </c>
      <c r="O25">
        <v>2.0079989311307056E-2</v>
      </c>
      <c r="P25">
        <v>5.3299862399158737E-3</v>
      </c>
      <c r="Q25">
        <v>2.2811883108241782E-2</v>
      </c>
      <c r="R25">
        <v>8.4798523002940218E-3</v>
      </c>
      <c r="S25">
        <v>1.4750003071391182E-2</v>
      </c>
      <c r="T25">
        <v>9.1542824365375974E-3</v>
      </c>
      <c r="V25" t="s">
        <v>228</v>
      </c>
      <c r="W25">
        <v>-2.5605164923490555E-2</v>
      </c>
      <c r="X25">
        <v>1.7346065842109678E-2</v>
      </c>
      <c r="Y25">
        <v>-1.4761367307468021</v>
      </c>
      <c r="Z25">
        <v>0.14287173577811726</v>
      </c>
      <c r="AA25">
        <v>-5.9995427564461259E-2</v>
      </c>
      <c r="AB25">
        <v>8.7850977174801503E-3</v>
      </c>
      <c r="AC25">
        <v>-5.9995427564461259E-2</v>
      </c>
      <c r="AD25">
        <v>8.7850977174801503E-3</v>
      </c>
      <c r="AH25" s="65"/>
      <c r="AI25" s="70" t="s">
        <v>7</v>
      </c>
      <c r="AJ25" s="70" t="s">
        <v>15</v>
      </c>
      <c r="AK25" s="70" t="s">
        <v>128</v>
      </c>
      <c r="AL25" s="70" t="s">
        <v>25</v>
      </c>
      <c r="AM25" s="70" t="s">
        <v>147</v>
      </c>
      <c r="AN25" s="70" t="s">
        <v>148</v>
      </c>
      <c r="AO25" s="70" t="s">
        <v>10</v>
      </c>
      <c r="AP25" s="70" t="s">
        <v>12</v>
      </c>
      <c r="AQ25" s="70" t="s">
        <v>29</v>
      </c>
      <c r="AR25" s="70" t="s">
        <v>13</v>
      </c>
      <c r="AS25" s="70" t="s">
        <v>153</v>
      </c>
      <c r="AT25" s="70" t="s">
        <v>154</v>
      </c>
      <c r="AU25" s="70" t="s">
        <v>16</v>
      </c>
      <c r="AV25" s="70" t="s">
        <v>157</v>
      </c>
      <c r="AW25" s="70" t="s">
        <v>17</v>
      </c>
      <c r="AX25" s="65"/>
      <c r="AY25" s="65"/>
      <c r="AZ25" s="65"/>
      <c r="BA25" s="65"/>
      <c r="BB25" s="90">
        <f>BE22</f>
        <v>4.3819372486339409E-2</v>
      </c>
      <c r="BC25" s="70" t="s">
        <v>15</v>
      </c>
      <c r="BD25">
        <v>1.6214518095523584E-4</v>
      </c>
      <c r="BE25">
        <f>VARP(Factors!L4:L123)</f>
        <v>6.6590094700644828E-4</v>
      </c>
      <c r="BF25">
        <v>4.1758465368878553E-4</v>
      </c>
      <c r="BG25">
        <v>6.1471036796735936E-4</v>
      </c>
      <c r="BH25">
        <v>-1.9312926205781851E-5</v>
      </c>
      <c r="BI25">
        <v>1.2140522037261365E-4</v>
      </c>
      <c r="BJ25">
        <v>5.587831926793939E-4</v>
      </c>
      <c r="BK25">
        <v>2.6241264236228831E-4</v>
      </c>
      <c r="BL25">
        <v>5.5191496880495079E-4</v>
      </c>
      <c r="BM25">
        <v>1.821639332065277E-4</v>
      </c>
      <c r="BN25">
        <v>-5.6889361196359155E-5</v>
      </c>
      <c r="BO25">
        <v>-2.3767982272692169E-4</v>
      </c>
      <c r="BP25">
        <v>3.2049664091521931E-4</v>
      </c>
      <c r="BQ25">
        <v>2.3905329440288673E-4</v>
      </c>
      <c r="BR25">
        <v>5.7972983464402118E-4</v>
      </c>
    </row>
    <row r="26" spans="1:70" x14ac:dyDescent="0.2">
      <c r="A26">
        <v>4.431894774059586E-6</v>
      </c>
      <c r="B26">
        <v>2.884369520748109E-2</v>
      </c>
      <c r="C26">
        <v>0.11377116633568907</v>
      </c>
      <c r="D26">
        <v>2.0795498712823823E-2</v>
      </c>
      <c r="E26">
        <v>-2.1828451795853354E-3</v>
      </c>
      <c r="F26">
        <v>5.6540070755950467E-5</v>
      </c>
      <c r="G26">
        <v>1.197416552354813E-2</v>
      </c>
      <c r="H26">
        <v>1.5792999503792648E-2</v>
      </c>
      <c r="I26">
        <v>1.7555911799518542E-2</v>
      </c>
      <c r="J26">
        <v>-2.1283242067911212E-2</v>
      </c>
      <c r="K26">
        <v>6.3194492052989659E-2</v>
      </c>
      <c r="L26">
        <v>1.8495043068421868E-2</v>
      </c>
      <c r="M26">
        <v>3.3220002740831589E-2</v>
      </c>
      <c r="N26">
        <v>0.10038684719535773</v>
      </c>
      <c r="O26">
        <v>2.8360008065332343E-2</v>
      </c>
      <c r="P26">
        <v>6.370002523866658E-3</v>
      </c>
      <c r="Q26">
        <v>1.3042470905215708E-2</v>
      </c>
      <c r="R26">
        <v>7.8054041780206695E-4</v>
      </c>
      <c r="S26">
        <v>2.1990005541465685E-2</v>
      </c>
      <c r="T26">
        <v>1.5849539574548599E-2</v>
      </c>
      <c r="V26" t="s">
        <v>229</v>
      </c>
      <c r="W26">
        <v>-1.2377290413744411E-2</v>
      </c>
      <c r="X26">
        <v>9.2915206456991185E-3</v>
      </c>
      <c r="Y26">
        <v>-1.3321060013436703</v>
      </c>
      <c r="Z26">
        <v>0.18568236245132991</v>
      </c>
      <c r="AA26">
        <v>-3.0798633803545087E-2</v>
      </c>
      <c r="AB26">
        <v>6.0440529760562647E-3</v>
      </c>
      <c r="AC26">
        <v>-3.0798633803545087E-2</v>
      </c>
      <c r="AD26">
        <v>6.0440529760562647E-3</v>
      </c>
      <c r="AH26" s="84" t="s">
        <v>201</v>
      </c>
      <c r="AI26" s="83">
        <v>-0.05</v>
      </c>
      <c r="AJ26" s="83">
        <v>0</v>
      </c>
      <c r="AK26" s="83">
        <v>-0.35</v>
      </c>
      <c r="AL26" s="83">
        <v>0.25</v>
      </c>
      <c r="AM26" s="83">
        <v>-0.05</v>
      </c>
      <c r="AN26" s="83">
        <v>-0.05</v>
      </c>
      <c r="AO26" s="83">
        <v>0.05</v>
      </c>
      <c r="AP26" s="83">
        <v>0.2</v>
      </c>
      <c r="AQ26" s="83">
        <v>0</v>
      </c>
      <c r="AR26" s="83">
        <v>-0.05</v>
      </c>
      <c r="AS26" s="83">
        <v>-0.08</v>
      </c>
      <c r="AT26" s="83">
        <v>0</v>
      </c>
      <c r="AU26" s="83">
        <v>0.05</v>
      </c>
      <c r="AV26" s="83">
        <v>-0.25</v>
      </c>
      <c r="AW26" s="83">
        <v>0.15</v>
      </c>
      <c r="AX26" s="65"/>
      <c r="AY26" s="65"/>
      <c r="AZ26" s="65"/>
      <c r="BA26" s="65"/>
      <c r="BB26" s="90">
        <f>BF22</f>
        <v>-0.19945904061422282</v>
      </c>
      <c r="BC26" s="70" t="s">
        <v>128</v>
      </c>
      <c r="BD26">
        <v>-1.9712824933947751E-5</v>
      </c>
      <c r="BE26">
        <v>4.1758465368878553E-4</v>
      </c>
      <c r="BF26" cm="1">
        <f t="array" ref="BF26">VARP(Factors!N4:N123-Factors!D4:D123)</f>
        <v>8.2915004559702525E-4</v>
      </c>
      <c r="BG26">
        <v>9.4509692788326835E-4</v>
      </c>
      <c r="BH26">
        <v>1.9736718094612587E-5</v>
      </c>
      <c r="BI26">
        <v>2.9687686769428519E-4</v>
      </c>
      <c r="BJ26">
        <v>6.9786404267787065E-4</v>
      </c>
      <c r="BK26">
        <v>4.4256458805069202E-4</v>
      </c>
      <c r="BL26">
        <v>8.8380036918996524E-5</v>
      </c>
      <c r="BM26">
        <v>2.9487888859238218E-4</v>
      </c>
      <c r="BN26">
        <v>-5.1055287332915529E-5</v>
      </c>
      <c r="BO26">
        <v>-3.3569882454304571E-4</v>
      </c>
      <c r="BP26">
        <v>-2.0441879981602876E-6</v>
      </c>
      <c r="BQ26">
        <v>3.4593417592529787E-4</v>
      </c>
      <c r="BR26">
        <v>8.0943722066307731E-4</v>
      </c>
    </row>
    <row r="27" spans="1:70" x14ac:dyDescent="0.2">
      <c r="A27">
        <v>1.455725399174046E-3</v>
      </c>
      <c r="B27">
        <v>-1.2340190405542906E-2</v>
      </c>
      <c r="C27">
        <v>-2.1024685553196254E-2</v>
      </c>
      <c r="D27">
        <v>-7.9241859652037228E-3</v>
      </c>
      <c r="E27">
        <v>-6.1157803872965433E-3</v>
      </c>
      <c r="F27">
        <v>3.3195221826463062E-3</v>
      </c>
      <c r="G27">
        <v>2.2224732427776672E-2</v>
      </c>
      <c r="H27">
        <v>3.0028342558992005E-3</v>
      </c>
      <c r="I27">
        <v>-1.5890373835297789E-3</v>
      </c>
      <c r="J27">
        <v>-7.6931104759693225E-3</v>
      </c>
      <c r="K27">
        <v>-5.4668283774368387E-3</v>
      </c>
      <c r="L27">
        <v>-6.2602923342056527E-2</v>
      </c>
      <c r="M27">
        <v>9.6500029984780689E-3</v>
      </c>
      <c r="N27">
        <v>-1.2919669537704404E-2</v>
      </c>
      <c r="O27">
        <v>3.4699830436075718E-3</v>
      </c>
      <c r="P27">
        <v>-2.7600065209820723E-3</v>
      </c>
      <c r="Q27">
        <v>-2.5137164949309287E-3</v>
      </c>
      <c r="R27">
        <v>-3.4033381074605185E-3</v>
      </c>
      <c r="S27">
        <v>6.2299895645896441E-3</v>
      </c>
      <c r="T27">
        <v>6.3223564385455067E-3</v>
      </c>
      <c r="V27" t="s">
        <v>230</v>
      </c>
      <c r="W27">
        <v>0.17049632659291425</v>
      </c>
      <c r="X27">
        <v>6.9141551853941802E-2</v>
      </c>
      <c r="Y27">
        <v>2.4659025147870492</v>
      </c>
      <c r="Z27">
        <v>1.5270674965924489E-2</v>
      </c>
      <c r="AA27">
        <v>3.3416475213071957E-2</v>
      </c>
      <c r="AB27">
        <v>0.30757617797275655</v>
      </c>
      <c r="AC27">
        <v>3.3416475213071957E-2</v>
      </c>
      <c r="AD27">
        <v>0.30757617797275655</v>
      </c>
      <c r="AH27" s="84" t="s">
        <v>202</v>
      </c>
      <c r="AI27" s="83">
        <v>0.1</v>
      </c>
      <c r="AJ27" s="83">
        <v>0.15</v>
      </c>
      <c r="AK27" s="83">
        <v>-0.1</v>
      </c>
      <c r="AL27" s="83">
        <v>0.5</v>
      </c>
      <c r="AM27" s="83">
        <v>0.1</v>
      </c>
      <c r="AN27" s="83">
        <v>0.08</v>
      </c>
      <c r="AO27" s="83">
        <v>0.2</v>
      </c>
      <c r="AP27" s="83">
        <v>0.4</v>
      </c>
      <c r="AQ27" s="83">
        <v>0.1</v>
      </c>
      <c r="AR27" s="83">
        <v>0.05</v>
      </c>
      <c r="AS27" s="83">
        <v>0.05</v>
      </c>
      <c r="AT27" s="83">
        <v>0.15</v>
      </c>
      <c r="AU27" s="83">
        <v>0.2</v>
      </c>
      <c r="AV27" s="83">
        <v>-0.05</v>
      </c>
      <c r="AW27" s="83">
        <v>0.4</v>
      </c>
      <c r="AX27" s="65"/>
      <c r="AY27" s="65"/>
      <c r="AZ27" s="65"/>
      <c r="BA27" s="65"/>
      <c r="BB27" s="90">
        <f>BG22</f>
        <v>0.17355259048281327</v>
      </c>
      <c r="BC27" s="70" t="s">
        <v>25</v>
      </c>
      <c r="BD27">
        <v>1.1906100882103766E-5</v>
      </c>
      <c r="BE27">
        <v>6.1471036796735936E-4</v>
      </c>
      <c r="BF27">
        <v>9.4509692788326835E-4</v>
      </c>
      <c r="BG27">
        <f>VARP(Factors!V4:V123)</f>
        <v>1.8573815677965209E-3</v>
      </c>
      <c r="BH27">
        <v>9.0194683515282958E-5</v>
      </c>
      <c r="BI27">
        <v>4.6134509354100469E-4</v>
      </c>
      <c r="BJ27">
        <v>1.120049246461317E-3</v>
      </c>
      <c r="BK27">
        <v>6.7625369625950007E-4</v>
      </c>
      <c r="BL27">
        <v>2.5446496953336904E-4</v>
      </c>
      <c r="BM27">
        <v>4.6937815221308773E-4</v>
      </c>
      <c r="BN27">
        <v>2.2748502608164089E-5</v>
      </c>
      <c r="BO27">
        <v>-8.1778792261735463E-4</v>
      </c>
      <c r="BP27">
        <v>9.8194974857879943E-5</v>
      </c>
      <c r="BQ27">
        <v>4.4662964960492393E-4</v>
      </c>
      <c r="BR27">
        <v>9.570030287653717E-4</v>
      </c>
    </row>
    <row r="28" spans="1:70" x14ac:dyDescent="0.2">
      <c r="A28">
        <v>-1.2312887545774309E-2</v>
      </c>
      <c r="B28">
        <v>1.4344275837760545E-2</v>
      </c>
      <c r="C28">
        <v>7.2205330554120373E-2</v>
      </c>
      <c r="D28">
        <v>7.6372396051327396E-3</v>
      </c>
      <c r="E28">
        <v>-2.057989034887131E-2</v>
      </c>
      <c r="F28">
        <v>-9.8129185986605139E-3</v>
      </c>
      <c r="G28">
        <v>-1.8978949113210741E-2</v>
      </c>
      <c r="H28">
        <v>1.6063403223981143E-2</v>
      </c>
      <c r="I28">
        <v>1.476565552060416E-2</v>
      </c>
      <c r="J28">
        <v>1.218724922272596E-3</v>
      </c>
      <c r="K28">
        <v>3.6069976843303264E-2</v>
      </c>
      <c r="L28">
        <v>2.2241968650842381E-2</v>
      </c>
      <c r="M28">
        <v>2.4759997125974209E-2</v>
      </c>
      <c r="N28">
        <v>3.9355355711868878E-2</v>
      </c>
      <c r="O28">
        <v>1.6610014203980672E-2</v>
      </c>
      <c r="P28">
        <v>3.270006321279384E-3</v>
      </c>
      <c r="Q28">
        <v>1.301292538724752E-2</v>
      </c>
      <c r="R28">
        <v>-2.0532449238036987E-2</v>
      </c>
      <c r="S28">
        <v>1.3340007882701288E-2</v>
      </c>
      <c r="T28">
        <v>6.2504846253206292E-3</v>
      </c>
      <c r="V28" t="s">
        <v>231</v>
      </c>
      <c r="W28">
        <v>1.536770304289131E-2</v>
      </c>
      <c r="X28">
        <v>7.354479090280296E-3</v>
      </c>
      <c r="Y28">
        <v>2.0895705670305484</v>
      </c>
      <c r="Z28">
        <v>3.9049652689235138E-2</v>
      </c>
      <c r="AA28">
        <v>7.8673293678997573E-4</v>
      </c>
      <c r="AB28">
        <v>2.9948673148992643E-2</v>
      </c>
      <c r="AC28">
        <v>7.8673293678997573E-4</v>
      </c>
      <c r="AD28">
        <v>2.9948673148992643E-2</v>
      </c>
      <c r="AH28" s="84" t="s">
        <v>288</v>
      </c>
      <c r="AI28" t="s">
        <v>273</v>
      </c>
      <c r="AJ28" t="s">
        <v>274</v>
      </c>
      <c r="AK28" t="s">
        <v>275</v>
      </c>
      <c r="AL28" t="s">
        <v>276</v>
      </c>
      <c r="AM28" t="s">
        <v>277</v>
      </c>
      <c r="AN28" t="s">
        <v>278</v>
      </c>
      <c r="AO28" t="s">
        <v>279</v>
      </c>
      <c r="AP28" t="s">
        <v>280</v>
      </c>
      <c r="AQ28" t="s">
        <v>281</v>
      </c>
      <c r="AR28" t="s">
        <v>282</v>
      </c>
      <c r="AS28" t="s">
        <v>283</v>
      </c>
      <c r="AT28" t="s">
        <v>284</v>
      </c>
      <c r="AU28" t="s">
        <v>285</v>
      </c>
      <c r="AV28" t="s">
        <v>286</v>
      </c>
      <c r="AW28" t="s">
        <v>287</v>
      </c>
      <c r="AX28" s="65" t="s">
        <v>289</v>
      </c>
      <c r="AY28" s="65"/>
      <c r="AZ28" s="65"/>
      <c r="BA28" s="65"/>
      <c r="BB28" s="90">
        <f>BH22</f>
        <v>0.13710191281706965</v>
      </c>
      <c r="BC28" s="70" t="s">
        <v>147</v>
      </c>
      <c r="BD28">
        <v>-1.221833451629063E-5</v>
      </c>
      <c r="BE28">
        <v>-1.9312926205781851E-5</v>
      </c>
      <c r="BF28">
        <v>1.9736718094612587E-5</v>
      </c>
      <c r="BG28">
        <v>9.0194683515282958E-5</v>
      </c>
      <c r="BH28" cm="1">
        <f t="array" ref="BH28">VARP(Factors!V4:V123-Factors!W4:W123)</f>
        <v>3.0726279254233285E-4</v>
      </c>
      <c r="BI28">
        <v>-1.5298014917986661E-5</v>
      </c>
      <c r="BJ28">
        <v>1.9494473583062963E-5</v>
      </c>
      <c r="BK28">
        <v>5.6957154696320065E-6</v>
      </c>
      <c r="BL28">
        <v>1.4270462786714318E-5</v>
      </c>
      <c r="BM28">
        <v>3.7932780371146767E-5</v>
      </c>
      <c r="BN28">
        <v>1.4537416367848067E-5</v>
      </c>
      <c r="BO28">
        <v>1.042057349755992E-4</v>
      </c>
      <c r="BP28">
        <v>2.4100639220012814E-5</v>
      </c>
      <c r="BQ28">
        <v>2.3395364003298703E-5</v>
      </c>
      <c r="BR28">
        <v>7.5183835783219464E-6</v>
      </c>
    </row>
    <row r="29" spans="1:70" x14ac:dyDescent="0.2">
      <c r="A29">
        <v>-3.7051407654056234E-3</v>
      </c>
      <c r="B29">
        <v>-1.5144485760373194E-2</v>
      </c>
      <c r="C29">
        <v>0.2180638792003764</v>
      </c>
      <c r="D29">
        <v>2.3879732286085087E-2</v>
      </c>
      <c r="E29">
        <v>-1.2021032472357973E-3</v>
      </c>
      <c r="F29">
        <v>-1.8129344335596764E-3</v>
      </c>
      <c r="G29">
        <v>-8.4480865084057832E-4</v>
      </c>
      <c r="H29">
        <v>8.2388531200333626E-3</v>
      </c>
      <c r="I29">
        <v>-1.3600246009989325E-3</v>
      </c>
      <c r="J29">
        <v>-2.6771540102067504E-2</v>
      </c>
      <c r="K29">
        <v>-1.3590947316671986E-2</v>
      </c>
      <c r="L29">
        <v>6.7798585878097617E-2</v>
      </c>
      <c r="M29">
        <v>1.6289995721916917E-2</v>
      </c>
      <c r="N29">
        <v>0.12125417630429203</v>
      </c>
      <c r="O29">
        <v>1.7169992265817502E-2</v>
      </c>
      <c r="P29">
        <v>6.0199914344778449E-3</v>
      </c>
      <c r="Q29">
        <v>4.1719547542262703E-3</v>
      </c>
      <c r="R29">
        <v>1.0169097565237983E-4</v>
      </c>
      <c r="S29">
        <v>1.1150000831339657E-2</v>
      </c>
      <c r="T29">
        <v>6.4259186864736861E-3</v>
      </c>
      <c r="V29" t="s">
        <v>232</v>
      </c>
      <c r="W29">
        <v>0</v>
      </c>
      <c r="X29">
        <v>0</v>
      </c>
      <c r="Y29">
        <v>65535</v>
      </c>
      <c r="Z29" t="e">
        <v>#NUM!</v>
      </c>
      <c r="AA29">
        <v>0</v>
      </c>
      <c r="AB29">
        <v>0</v>
      </c>
      <c r="AC29">
        <v>0</v>
      </c>
      <c r="AD29">
        <v>0</v>
      </c>
      <c r="AH29" s="65"/>
      <c r="AI29" s="65"/>
      <c r="AJ29" s="65"/>
      <c r="AK29" s="65"/>
      <c r="AL29" s="65"/>
      <c r="AM29" s="65"/>
      <c r="AN29" s="65"/>
      <c r="AO29" s="65"/>
      <c r="AP29" s="65"/>
      <c r="AQ29" s="65"/>
      <c r="AR29" s="65"/>
      <c r="AS29" s="65"/>
      <c r="AT29" s="65"/>
      <c r="AU29" s="65"/>
      <c r="AV29" s="65"/>
      <c r="AW29" s="65"/>
      <c r="AX29" s="65"/>
      <c r="AY29" s="65"/>
      <c r="AZ29" s="65"/>
      <c r="BA29" s="65"/>
      <c r="BB29" s="90">
        <f>BI22</f>
        <v>2.6891640522455358E-2</v>
      </c>
      <c r="BC29" s="70" t="s">
        <v>148</v>
      </c>
      <c r="BD29">
        <v>-3.4684330168194632E-5</v>
      </c>
      <c r="BE29">
        <v>1.2140522037261365E-4</v>
      </c>
      <c r="BF29">
        <v>2.9687686769428519E-4</v>
      </c>
      <c r="BG29">
        <v>4.6134509354100469E-4</v>
      </c>
      <c r="BH29">
        <v>-1.5298014917986661E-5</v>
      </c>
      <c r="BI29" cm="1">
        <f t="array" ref="BI29">VARP(Factors!X4:X123-Factors!AA4:AA123)</f>
        <v>5.6511428190302374E-4</v>
      </c>
      <c r="BJ29">
        <v>1.7045015140628795E-4</v>
      </c>
      <c r="BK29">
        <v>2.0353557954137533E-4</v>
      </c>
      <c r="BL29">
        <v>8.111236631787609E-5</v>
      </c>
      <c r="BM29">
        <v>1.0791933640905081E-4</v>
      </c>
      <c r="BN29">
        <v>9.0552521639667438E-6</v>
      </c>
      <c r="BO29">
        <v>-1.5904358970516294E-4</v>
      </c>
      <c r="BP29">
        <v>-6.6752464165238784E-5</v>
      </c>
      <c r="BQ29">
        <v>9.8864084245083993E-5</v>
      </c>
      <c r="BR29">
        <v>2.6219253752609044E-4</v>
      </c>
    </row>
    <row r="30" spans="1:70" x14ac:dyDescent="0.2">
      <c r="A30">
        <v>-5.8745779916202778E-3</v>
      </c>
      <c r="B30">
        <v>-7.4900557965618675E-2</v>
      </c>
      <c r="C30">
        <v>8.4328786915763176E-2</v>
      </c>
      <c r="D30">
        <v>-1.7616716771781227E-2</v>
      </c>
      <c r="E30">
        <v>-1.725702350031888E-3</v>
      </c>
      <c r="F30">
        <v>-1.0669316349301017E-3</v>
      </c>
      <c r="G30">
        <v>-2.0489839632479301E-2</v>
      </c>
      <c r="H30">
        <v>4.3572578899297998E-4</v>
      </c>
      <c r="I30">
        <v>-3.389554763432856E-2</v>
      </c>
      <c r="J30">
        <v>-8.6361784064806768E-3</v>
      </c>
      <c r="K30">
        <v>-2.7378886812217118E-2</v>
      </c>
      <c r="L30">
        <v>9.5660201987437521E-3</v>
      </c>
      <c r="M30">
        <v>-5.4199986073308892E-3</v>
      </c>
      <c r="N30">
        <v>-1.4088811466642093E-2</v>
      </c>
      <c r="O30">
        <v>-1.9659986305595956E-2</v>
      </c>
      <c r="P30">
        <v>-2.16999772446127E-2</v>
      </c>
      <c r="Q30">
        <v>5.5513250984435825E-3</v>
      </c>
      <c r="R30">
        <v>2.1352933486338266E-3</v>
      </c>
      <c r="S30">
        <v>2.0399909390167448E-3</v>
      </c>
      <c r="T30">
        <v>-6.312058459371217E-4</v>
      </c>
      <c r="V30" t="s">
        <v>233</v>
      </c>
      <c r="W30">
        <v>-0.1855195532879495</v>
      </c>
      <c r="X30">
        <v>7.4138162303199515E-2</v>
      </c>
      <c r="Y30">
        <v>-2.5023489593556221</v>
      </c>
      <c r="Z30" t="e">
        <v>#NUM!</v>
      </c>
      <c r="AA30">
        <v>-0.33250567086259902</v>
      </c>
      <c r="AB30">
        <v>-3.8533435713299986E-2</v>
      </c>
      <c r="AC30">
        <v>-0.33250567086259902</v>
      </c>
      <c r="AD30">
        <v>-3.8533435713299986E-2</v>
      </c>
      <c r="AH30" s="65"/>
      <c r="AI30" s="65"/>
      <c r="AZ30" s="65"/>
      <c r="BA30" s="65"/>
      <c r="BB30" s="90">
        <f>BJ22</f>
        <v>6.2918682204045201E-2</v>
      </c>
      <c r="BC30" s="70" t="s">
        <v>10</v>
      </c>
      <c r="BD30">
        <v>2.9889884262497238E-5</v>
      </c>
      <c r="BE30">
        <v>5.587831926793939E-4</v>
      </c>
      <c r="BF30">
        <v>6.9786404267787065E-4</v>
      </c>
      <c r="BG30">
        <v>1.120049246461317E-3</v>
      </c>
      <c r="BH30">
        <v>1.9494473583062963E-5</v>
      </c>
      <c r="BI30">
        <v>1.7045015140628795E-4</v>
      </c>
      <c r="BJ30">
        <f>VARP(Factors!G4:G123)</f>
        <v>2.6896114643771888E-3</v>
      </c>
      <c r="BK30">
        <v>5.8294605846568952E-4</v>
      </c>
      <c r="BL30">
        <v>1.435701905059063E-3</v>
      </c>
      <c r="BM30">
        <v>4.9710573648227238E-4</v>
      </c>
      <c r="BN30">
        <v>6.3200434634369407E-5</v>
      </c>
      <c r="BO30">
        <v>-2.0847519765986613E-4</v>
      </c>
      <c r="BP30">
        <v>2.7341639756534513E-4</v>
      </c>
      <c r="BQ30">
        <v>4.339053018479029E-4</v>
      </c>
      <c r="BR30">
        <v>7.277539269403676E-4</v>
      </c>
    </row>
    <row r="31" spans="1:70" x14ac:dyDescent="0.2">
      <c r="A31">
        <v>-2.0279340483140285E-3</v>
      </c>
      <c r="B31">
        <v>-2.0439837648162151E-2</v>
      </c>
      <c r="C31">
        <v>-5.5746010201437657E-2</v>
      </c>
      <c r="D31">
        <v>-8.8009587418047541E-3</v>
      </c>
      <c r="E31">
        <v>1.5052875097909535E-4</v>
      </c>
      <c r="F31">
        <v>2.1198359573098013E-3</v>
      </c>
      <c r="G31">
        <v>-5.7547332681262553E-5</v>
      </c>
      <c r="H31">
        <v>-5.9113317201404669E-3</v>
      </c>
      <c r="I31">
        <v>-3.9456266437060128E-3</v>
      </c>
      <c r="J31">
        <v>-1.0341834374350989E-2</v>
      </c>
      <c r="K31">
        <v>5.0737944709020599E-3</v>
      </c>
      <c r="L31">
        <v>-1.5536902073337577E-2</v>
      </c>
      <c r="M31">
        <v>-1.1599962117382345E-3</v>
      </c>
      <c r="N31">
        <v>-4.5489770613763247E-2</v>
      </c>
      <c r="O31">
        <v>-6.2600113383721734E-3</v>
      </c>
      <c r="P31">
        <v>-1.1780019686965515E-2</v>
      </c>
      <c r="Q31">
        <v>-6.7056015019577586E-3</v>
      </c>
      <c r="R31">
        <v>3.594723873025174E-3</v>
      </c>
      <c r="S31">
        <v>5.5200083485933416E-3</v>
      </c>
      <c r="T31">
        <v>-3.7914957628306656E-3</v>
      </c>
      <c r="V31" t="s">
        <v>234</v>
      </c>
      <c r="W31">
        <v>6.307398036529588E-3</v>
      </c>
      <c r="X31">
        <v>5.5031388828036591E-2</v>
      </c>
      <c r="Y31">
        <v>0.11461455309149288</v>
      </c>
      <c r="Z31">
        <v>0.90896746752251634</v>
      </c>
      <c r="AA31">
        <v>-0.10279768276508824</v>
      </c>
      <c r="AB31">
        <v>0.11541247883814743</v>
      </c>
      <c r="AC31">
        <v>-0.10279768276508824</v>
      </c>
      <c r="AD31">
        <v>0.11541247883814743</v>
      </c>
      <c r="AH31" s="65"/>
      <c r="AI31" s="65"/>
      <c r="AZ31" s="65"/>
      <c r="BA31" s="65"/>
      <c r="BB31" s="90">
        <f>BK22</f>
        <v>0.33876185754826665</v>
      </c>
      <c r="BC31" s="70" t="s">
        <v>12</v>
      </c>
      <c r="BD31">
        <v>-6.5964894062799903E-6</v>
      </c>
      <c r="BE31">
        <v>2.6241264236228831E-4</v>
      </c>
      <c r="BF31">
        <v>4.4256458805069202E-4</v>
      </c>
      <c r="BG31">
        <v>6.7625369625950007E-4</v>
      </c>
      <c r="BH31">
        <v>5.6957154696320065E-6</v>
      </c>
      <c r="BI31">
        <v>2.0353557954137533E-4</v>
      </c>
      <c r="BJ31">
        <v>5.8294605846568952E-4</v>
      </c>
      <c r="BK31">
        <f>VARP(Factors!I4:I123)</f>
        <v>3.6154829519264426E-4</v>
      </c>
      <c r="BL31">
        <v>1.9126553535347006E-4</v>
      </c>
      <c r="BM31">
        <v>2.6789334877314156E-4</v>
      </c>
      <c r="BN31">
        <v>2.4338497686632194E-5</v>
      </c>
      <c r="BO31">
        <v>-2.0016056641592462E-4</v>
      </c>
      <c r="BP31">
        <v>2.3429247024472585E-5</v>
      </c>
      <c r="BQ31">
        <v>2.4355485108650942E-4</v>
      </c>
      <c r="BR31">
        <v>4.3596809864441209E-4</v>
      </c>
    </row>
    <row r="32" spans="1:70" x14ac:dyDescent="0.2">
      <c r="A32">
        <v>1.0264380648391525E-2</v>
      </c>
      <c r="B32">
        <v>-4.1865795195076494E-2</v>
      </c>
      <c r="C32">
        <v>6.0117687693855837E-2</v>
      </c>
      <c r="D32">
        <v>-6.6596944235139954E-3</v>
      </c>
      <c r="E32">
        <v>1.0643187624292949E-2</v>
      </c>
      <c r="F32">
        <v>1.3521979318368738E-2</v>
      </c>
      <c r="G32">
        <v>3.2717541436463993E-2</v>
      </c>
      <c r="H32">
        <v>-2.8526315591568263E-3</v>
      </c>
      <c r="I32">
        <v>-1.9046225927594751E-2</v>
      </c>
      <c r="J32">
        <v>-4.3349556362262565E-2</v>
      </c>
      <c r="K32">
        <v>-3.8707189226529715E-2</v>
      </c>
      <c r="L32">
        <v>3.2100849829908462E-2</v>
      </c>
      <c r="M32">
        <v>-4.3700025114713492E-3</v>
      </c>
      <c r="N32">
        <v>3.3936835268328247E-2</v>
      </c>
      <c r="O32">
        <v>-2.2099992923791945E-3</v>
      </c>
      <c r="P32">
        <v>-6.3899906906006443E-3</v>
      </c>
      <c r="Q32">
        <v>-1.1588534564024866E-2</v>
      </c>
      <c r="R32">
        <v>1.6696033969785473E-2</v>
      </c>
      <c r="S32">
        <v>4.1799913982214498E-3</v>
      </c>
      <c r="T32">
        <v>1.0669347759211911E-2</v>
      </c>
      <c r="V32" t="s">
        <v>235</v>
      </c>
      <c r="W32">
        <v>5.2707103927123163E-3</v>
      </c>
      <c r="X32">
        <v>2.7409537781205317E-2</v>
      </c>
      <c r="Y32">
        <v>0.19229475647438446</v>
      </c>
      <c r="Z32">
        <v>0.84787924204137899</v>
      </c>
      <c r="AA32">
        <v>-4.9071364158563342E-2</v>
      </c>
      <c r="AB32">
        <v>5.9612784943987973E-2</v>
      </c>
      <c r="AC32">
        <v>-4.9071364158563342E-2</v>
      </c>
      <c r="AD32">
        <v>5.9612784943987973E-2</v>
      </c>
      <c r="AH32" s="65"/>
      <c r="AI32" s="65"/>
      <c r="AZ32" s="65"/>
      <c r="BA32" s="65"/>
      <c r="BB32" s="90">
        <f>BL22</f>
        <v>2.0666359311543325E-2</v>
      </c>
      <c r="BC32" s="70" t="s">
        <v>29</v>
      </c>
      <c r="BD32">
        <v>1.7635052277603996E-4</v>
      </c>
      <c r="BE32">
        <v>5.5191496880495079E-4</v>
      </c>
      <c r="BF32">
        <v>8.8380036918996524E-5</v>
      </c>
      <c r="BG32">
        <v>2.5446496953336904E-4</v>
      </c>
      <c r="BH32">
        <v>1.4270462786714318E-5</v>
      </c>
      <c r="BI32">
        <v>8.111236631787609E-5</v>
      </c>
      <c r="BJ32">
        <v>1.435701905059063E-3</v>
      </c>
      <c r="BK32">
        <v>1.9126553535347006E-4</v>
      </c>
      <c r="BL32">
        <f>VARP(Factors!Z4:Z123)</f>
        <v>3.0418000016622193E-3</v>
      </c>
      <c r="BM32">
        <v>2.0809488828579632E-4</v>
      </c>
      <c r="BN32">
        <v>3.5206510601980071E-5</v>
      </c>
      <c r="BO32">
        <v>1.4246390132640138E-4</v>
      </c>
      <c r="BP32">
        <v>5.1305060460684335E-4</v>
      </c>
      <c r="BQ32">
        <v>1.7288837768381622E-4</v>
      </c>
      <c r="BR32">
        <v>2.6473055969503638E-4</v>
      </c>
    </row>
    <row r="33" spans="1:72" x14ac:dyDescent="0.2">
      <c r="A33">
        <v>1.0262188188766785E-2</v>
      </c>
      <c r="B33">
        <v>7.9521160371719635E-2</v>
      </c>
      <c r="C33">
        <v>1.0469313648652001E-2</v>
      </c>
      <c r="D33">
        <v>-1.9510745344661906E-3</v>
      </c>
      <c r="E33">
        <v>1.1870237635127401E-2</v>
      </c>
      <c r="F33">
        <v>1.5308293129329797E-2</v>
      </c>
      <c r="G33">
        <v>2.6024687230070676E-2</v>
      </c>
      <c r="H33">
        <v>8.7198764067197843E-4</v>
      </c>
      <c r="I33">
        <v>3.1199326197662636E-2</v>
      </c>
      <c r="J33">
        <v>1.446050450075953E-2</v>
      </c>
      <c r="K33">
        <v>5.8143468033713397E-3</v>
      </c>
      <c r="L33">
        <v>-3.6037350895916642E-2</v>
      </c>
      <c r="M33">
        <v>1.0550003534475216E-2</v>
      </c>
      <c r="N33">
        <v>-1.4840989399293347E-2</v>
      </c>
      <c r="O33">
        <v>8.1299984132738867E-3</v>
      </c>
      <c r="P33">
        <v>1.0199931029595266E-3</v>
      </c>
      <c r="Q33">
        <v>-1.3492987674589951E-2</v>
      </c>
      <c r="R33">
        <v>1.8765803903741718E-2</v>
      </c>
      <c r="S33">
        <v>7.1100053103143601E-3</v>
      </c>
      <c r="T33">
        <v>1.6180280770001776E-2</v>
      </c>
      <c r="V33" t="s">
        <v>236</v>
      </c>
      <c r="W33">
        <v>-0.21113983963184074</v>
      </c>
      <c r="X33">
        <v>8.4622117847261674E-2</v>
      </c>
      <c r="Y33">
        <v>-2.4950904681083106</v>
      </c>
      <c r="Z33">
        <v>1.4135136114327849E-2</v>
      </c>
      <c r="AA33">
        <v>-0.37891141876061912</v>
      </c>
      <c r="AB33">
        <v>-4.3368260503062368E-2</v>
      </c>
      <c r="AC33">
        <v>-0.37891141876061912</v>
      </c>
      <c r="AD33">
        <v>-4.3368260503062368E-2</v>
      </c>
      <c r="AH33" s="65"/>
      <c r="AI33" s="65"/>
      <c r="AZ33" s="65"/>
      <c r="BA33" s="65"/>
      <c r="BB33" s="90">
        <f>BM22</f>
        <v>0</v>
      </c>
      <c r="BC33" s="70" t="s">
        <v>13</v>
      </c>
      <c r="BD33">
        <v>-5.5294172825989147E-6</v>
      </c>
      <c r="BE33">
        <v>1.821639332065277E-4</v>
      </c>
      <c r="BF33">
        <v>2.9487888859238218E-4</v>
      </c>
      <c r="BG33">
        <v>4.6937815221308773E-4</v>
      </c>
      <c r="BH33">
        <v>3.7932780371146767E-5</v>
      </c>
      <c r="BI33">
        <v>1.0791933640905081E-4</v>
      </c>
      <c r="BJ33">
        <v>4.9710573648227238E-4</v>
      </c>
      <c r="BK33">
        <v>2.6789334877314156E-4</v>
      </c>
      <c r="BL33">
        <v>2.0809488828579632E-4</v>
      </c>
      <c r="BM33">
        <f>VARP(Factors!J4:J123)</f>
        <v>2.358022262630979E-4</v>
      </c>
      <c r="BN33">
        <v>4.5680886572362151E-5</v>
      </c>
      <c r="BO33">
        <v>-8.5250710007766446E-5</v>
      </c>
      <c r="BP33">
        <v>2.5910576919365055E-5</v>
      </c>
      <c r="BQ33">
        <v>1.9012133969073601E-4</v>
      </c>
      <c r="BR33">
        <v>2.8934947130978319E-4</v>
      </c>
    </row>
    <row r="34" spans="1:72" ht="16" thickBot="1" x14ac:dyDescent="0.25">
      <c r="A34">
        <v>2.6278672836397288E-3</v>
      </c>
      <c r="B34">
        <v>3.5732556952460026E-2</v>
      </c>
      <c r="C34">
        <v>7.8607684956157886E-3</v>
      </c>
      <c r="D34">
        <v>-1.1966320285637044E-2</v>
      </c>
      <c r="E34">
        <v>-1.2218406622386269E-3</v>
      </c>
      <c r="F34">
        <v>8.7839974699557288E-3</v>
      </c>
      <c r="G34">
        <v>5.5943296309370893E-3</v>
      </c>
      <c r="H34">
        <v>4.3698118746915426E-3</v>
      </c>
      <c r="I34">
        <v>2.7478553725654331E-2</v>
      </c>
      <c r="J34">
        <v>7.5458035242990107E-3</v>
      </c>
      <c r="K34">
        <v>-1.7444759684054789E-2</v>
      </c>
      <c r="L34">
        <v>-6.021215724744422E-2</v>
      </c>
      <c r="M34">
        <v>2.3299989251119868E-3</v>
      </c>
      <c r="N34">
        <v>-4.6229874063446474E-2</v>
      </c>
      <c r="O34">
        <v>7.499931159544726E-4</v>
      </c>
      <c r="P34">
        <v>-2.9499987938994554E-3</v>
      </c>
      <c r="Q34">
        <v>-2.4190310455007635E-2</v>
      </c>
      <c r="R34">
        <v>2.5169072021193895E-3</v>
      </c>
      <c r="S34">
        <v>3.699991909853928E-3</v>
      </c>
      <c r="T34">
        <v>1.3153809344647271E-2</v>
      </c>
      <c r="V34" s="4" t="s">
        <v>237</v>
      </c>
      <c r="W34" s="4">
        <v>0.55837101491847996</v>
      </c>
      <c r="X34" s="4">
        <v>7.1262882549380985E-2</v>
      </c>
      <c r="Y34" s="4">
        <v>7.8353694790771575</v>
      </c>
      <c r="Z34" s="4">
        <v>3.8239673166341146E-12</v>
      </c>
      <c r="AA34" s="4">
        <v>0.41708541911056085</v>
      </c>
      <c r="AB34" s="4">
        <v>0.69965661072639906</v>
      </c>
      <c r="AC34" s="4">
        <v>0.41708541911056085</v>
      </c>
      <c r="AD34" s="4">
        <v>0.69965661072639906</v>
      </c>
      <c r="AH34" s="65"/>
      <c r="AI34" s="65"/>
      <c r="AZ34" s="65"/>
      <c r="BA34" s="65"/>
      <c r="BB34" s="90">
        <f>BN22</f>
        <v>-5.8089475500618944E-2</v>
      </c>
      <c r="BC34" s="70" t="s">
        <v>153</v>
      </c>
      <c r="BD34">
        <v>-2.1251380167812904E-5</v>
      </c>
      <c r="BE34">
        <v>-5.6889361196359155E-5</v>
      </c>
      <c r="BF34">
        <v>-5.1055287332915529E-5</v>
      </c>
      <c r="BG34">
        <v>2.2748502608164089E-5</v>
      </c>
      <c r="BH34">
        <v>1.4537416367848067E-5</v>
      </c>
      <c r="BI34">
        <v>9.0552521639667438E-6</v>
      </c>
      <c r="BJ34">
        <v>6.3200434634369407E-5</v>
      </c>
      <c r="BK34">
        <v>2.4338497686632194E-5</v>
      </c>
      <c r="BL34">
        <v>3.5206510601980071E-5</v>
      </c>
      <c r="BM34">
        <v>4.5680886572362151E-5</v>
      </c>
      <c r="BN34" cm="1">
        <f t="array" ref="BN34">VARP(Factors!J4:J123-Factors!K4:K123)</f>
        <v>5.894860928184063E-5</v>
      </c>
      <c r="BO34">
        <v>2.6584779583395666E-5</v>
      </c>
      <c r="BP34">
        <v>-3.3485723440039701E-5</v>
      </c>
      <c r="BQ34">
        <v>-1.3267722709478468E-5</v>
      </c>
      <c r="BR34">
        <v>-7.2306667500728446E-5</v>
      </c>
    </row>
    <row r="35" spans="1:72" x14ac:dyDescent="0.2">
      <c r="A35">
        <v>3.353906692478148E-3</v>
      </c>
      <c r="B35">
        <v>3.7297892948562339E-2</v>
      </c>
      <c r="C35">
        <v>7.5776419655426031E-2</v>
      </c>
      <c r="D35">
        <v>7.4743409557123108E-3</v>
      </c>
      <c r="E35">
        <v>-6.0934197098991838E-3</v>
      </c>
      <c r="F35">
        <v>6.61488662993448E-3</v>
      </c>
      <c r="G35">
        <v>1.8553026006643547E-2</v>
      </c>
      <c r="H35">
        <v>7.9869694282130865E-3</v>
      </c>
      <c r="I35">
        <v>3.5153351092670704E-2</v>
      </c>
      <c r="J35">
        <v>2.4202850356591643E-3</v>
      </c>
      <c r="K35">
        <v>2.4991520918881349E-2</v>
      </c>
      <c r="L35">
        <v>4.7435725313821564E-2</v>
      </c>
      <c r="M35">
        <v>2.3289996694176418E-2</v>
      </c>
      <c r="N35">
        <v>1.3872639144242083E-2</v>
      </c>
      <c r="O35">
        <v>1.6250018524567089E-2</v>
      </c>
      <c r="P35">
        <v>3.9800122674329419E-3</v>
      </c>
      <c r="Q35">
        <v>-1.3955950911594517E-2</v>
      </c>
      <c r="R35">
        <v>-1.5995437822950986E-3</v>
      </c>
      <c r="S35">
        <v>1.2270006257134147E-2</v>
      </c>
      <c r="T35">
        <v>1.4601856058147566E-2</v>
      </c>
      <c r="AH35" s="65"/>
      <c r="AI35" s="65"/>
      <c r="AZ35" s="65"/>
      <c r="BA35" s="65"/>
      <c r="BB35" s="90">
        <f>BO22</f>
        <v>-7.578198262468859E-2</v>
      </c>
      <c r="BC35" s="70" t="s">
        <v>154</v>
      </c>
      <c r="BD35">
        <v>-2.1290613355403411E-5</v>
      </c>
      <c r="BE35">
        <v>-2.3767982272692169E-4</v>
      </c>
      <c r="BF35">
        <v>-3.3569882454304571E-4</v>
      </c>
      <c r="BG35">
        <v>-8.1778792261735463E-4</v>
      </c>
      <c r="BH35">
        <v>1.042057349755992E-4</v>
      </c>
      <c r="BI35">
        <v>-1.5904358970516294E-4</v>
      </c>
      <c r="BJ35">
        <v>-2.0847519765986613E-4</v>
      </c>
      <c r="BK35">
        <v>-2.0016056641592462E-4</v>
      </c>
      <c r="BL35">
        <v>1.4246390132640138E-4</v>
      </c>
      <c r="BM35">
        <v>-8.5250710007766446E-5</v>
      </c>
      <c r="BN35">
        <v>2.6584779583395666E-5</v>
      </c>
      <c r="BO35" cm="1">
        <f t="array" ref="BO35">VARP(Factors!H4:H123-Factors!AA4:AA123)</f>
        <v>5.9308326848852828E-4</v>
      </c>
      <c r="BP35">
        <v>-4.0077071831732446E-5</v>
      </c>
      <c r="BQ35">
        <v>-1.118354895911621E-4</v>
      </c>
      <c r="BR35">
        <v>-3.5698943789844921E-4</v>
      </c>
    </row>
    <row r="36" spans="1:72" x14ac:dyDescent="0.2">
      <c r="A36">
        <v>7.305798149582543E-3</v>
      </c>
      <c r="B36">
        <v>2.8300846251479994E-2</v>
      </c>
      <c r="C36">
        <v>2.705609524757957E-3</v>
      </c>
      <c r="D36">
        <v>1.9408257670699758E-2</v>
      </c>
      <c r="E36">
        <v>7.1053826811888765E-3</v>
      </c>
      <c r="F36">
        <v>1.1601199050103261E-2</v>
      </c>
      <c r="G36">
        <v>1.2673666348499202E-2</v>
      </c>
      <c r="H36">
        <v>4.3611621853807403E-3</v>
      </c>
      <c r="I36">
        <v>1.9844377737549213E-2</v>
      </c>
      <c r="J36">
        <v>-2.9841881146486227E-3</v>
      </c>
      <c r="K36">
        <v>7.2892806854385483E-3</v>
      </c>
      <c r="L36">
        <v>5.4689127223438216E-2</v>
      </c>
      <c r="M36">
        <v>1.8690004151639572E-2</v>
      </c>
      <c r="N36">
        <v>6.8249258160237414E-2</v>
      </c>
      <c r="O36">
        <v>1.7829984452331971E-2</v>
      </c>
      <c r="P36">
        <v>4.0999812460860152E-3</v>
      </c>
      <c r="Q36">
        <v>9.8412905992528721E-4</v>
      </c>
      <c r="R36">
        <v>1.241284192782155E-2</v>
      </c>
      <c r="S36">
        <v>1.3730003206245955E-2</v>
      </c>
      <c r="T36">
        <v>1.5962361235484002E-2</v>
      </c>
      <c r="V36" s="24" t="s">
        <v>1</v>
      </c>
      <c r="AH36" s="65"/>
      <c r="AI36" s="65"/>
      <c r="AZ36" s="65"/>
      <c r="BA36" s="65"/>
      <c r="BB36" s="90">
        <f>BP22</f>
        <v>0.19692900359911586</v>
      </c>
      <c r="BC36" s="70" t="s">
        <v>16</v>
      </c>
      <c r="BD36">
        <v>1.6443892666704154E-4</v>
      </c>
      <c r="BE36">
        <v>3.2049664091521931E-4</v>
      </c>
      <c r="BF36">
        <v>-2.0441879981602876E-6</v>
      </c>
      <c r="BG36">
        <v>9.8194974857879943E-5</v>
      </c>
      <c r="BH36">
        <v>2.4100639220012814E-5</v>
      </c>
      <c r="BI36">
        <v>-6.6752464165238784E-5</v>
      </c>
      <c r="BJ36">
        <v>2.7341639756534513E-4</v>
      </c>
      <c r="BK36">
        <v>2.3429247024472585E-5</v>
      </c>
      <c r="BL36">
        <v>5.1305060460684335E-4</v>
      </c>
      <c r="BM36">
        <v>2.5910576919365055E-5</v>
      </c>
      <c r="BN36">
        <v>-3.3485723440039701E-5</v>
      </c>
      <c r="BO36">
        <v>-4.0077071831732446E-5</v>
      </c>
      <c r="BP36">
        <f>VARP(Factors!M4:M123)</f>
        <v>4.3909188248927519E-4</v>
      </c>
      <c r="BQ36">
        <v>5.9396300359404793E-5</v>
      </c>
      <c r="BR36">
        <v>1.6239473866888138E-4</v>
      </c>
    </row>
    <row r="37" spans="1:72" x14ac:dyDescent="0.2">
      <c r="A37">
        <v>-7.0648521382550289E-3</v>
      </c>
      <c r="B37">
        <v>-1.7699891611655638E-2</v>
      </c>
      <c r="C37">
        <v>-2.9856111481327385E-2</v>
      </c>
      <c r="D37">
        <v>8.3874781696628986E-3</v>
      </c>
      <c r="E37">
        <v>-2.696569697531781E-2</v>
      </c>
      <c r="F37">
        <v>-5.8033480854339237E-3</v>
      </c>
      <c r="G37">
        <v>6.6502592030162067E-3</v>
      </c>
      <c r="H37">
        <v>1.6812288149231525E-2</v>
      </c>
      <c r="I37">
        <v>3.3862167312690428E-3</v>
      </c>
      <c r="J37">
        <v>-1.9062226737888599E-2</v>
      </c>
      <c r="K37">
        <v>-1.0679034298714196E-2</v>
      </c>
      <c r="L37">
        <v>-4.5928784104028564E-2</v>
      </c>
      <c r="M37">
        <v>1.6500000131154158E-2</v>
      </c>
      <c r="N37">
        <v>-1.743827160493816E-2</v>
      </c>
      <c r="O37">
        <v>1.7860009511927233E-2</v>
      </c>
      <c r="P37">
        <v>1.7500130235001965E-3</v>
      </c>
      <c r="Q37">
        <v>-5.6765241684675338E-4</v>
      </c>
      <c r="R37">
        <v>-2.4954762183249102E-2</v>
      </c>
      <c r="S37">
        <v>1.6109996488427036E-2</v>
      </c>
      <c r="T37">
        <v>1.1008940063797601E-2</v>
      </c>
      <c r="V37" t="s">
        <v>104</v>
      </c>
      <c r="AH37" s="65"/>
      <c r="AI37" s="65"/>
      <c r="AZ37" s="65"/>
      <c r="BA37" s="65"/>
      <c r="BB37" s="90">
        <f>BQ22</f>
        <v>-0.24733409803848397</v>
      </c>
      <c r="BC37" s="70" t="s">
        <v>157</v>
      </c>
      <c r="BD37">
        <v>1.572196288521398E-5</v>
      </c>
      <c r="BE37">
        <v>2.3905329440288673E-4</v>
      </c>
      <c r="BF37">
        <v>3.4593417592529787E-4</v>
      </c>
      <c r="BG37">
        <v>4.4662964960492393E-4</v>
      </c>
      <c r="BH37">
        <v>2.3395364003298703E-5</v>
      </c>
      <c r="BI37">
        <v>9.8864084245083993E-5</v>
      </c>
      <c r="BJ37">
        <v>4.339053018479029E-4</v>
      </c>
      <c r="BK37">
        <v>2.4355485108650942E-4</v>
      </c>
      <c r="BL37">
        <v>1.7288837768381622E-4</v>
      </c>
      <c r="BM37">
        <v>1.9012133969073601E-4</v>
      </c>
      <c r="BN37">
        <v>-1.3267722709478468E-5</v>
      </c>
      <c r="BO37">
        <v>-1.118354895911621E-4</v>
      </c>
      <c r="BP37">
        <v>5.9396300359404793E-5</v>
      </c>
      <c r="BQ37">
        <f>VARP(Factors!K4:K123)</f>
        <v>2.0338906240021425E-4</v>
      </c>
      <c r="BR37">
        <v>3.6165613881051188E-4</v>
      </c>
    </row>
    <row r="38" spans="1:72" ht="16" thickBot="1" x14ac:dyDescent="0.25">
      <c r="A38">
        <v>-3.4834649444790422E-3</v>
      </c>
      <c r="B38">
        <v>1.1683083768413427E-2</v>
      </c>
      <c r="C38">
        <v>-4.6084104764591682E-2</v>
      </c>
      <c r="D38">
        <v>-4.0867297795266211E-4</v>
      </c>
      <c r="E38">
        <v>-1.4838814816586776E-3</v>
      </c>
      <c r="F38">
        <v>-4.1030881544612541E-4</v>
      </c>
      <c r="G38">
        <v>-3.0430711610487382E-3</v>
      </c>
      <c r="H38">
        <v>1.1154069010428813E-2</v>
      </c>
      <c r="I38">
        <v>2.5705948254719502E-2</v>
      </c>
      <c r="J38">
        <v>1.2918129661763089E-2</v>
      </c>
      <c r="K38">
        <v>1.6108121746425397E-3</v>
      </c>
      <c r="L38">
        <v>2.1049413577987064E-3</v>
      </c>
      <c r="M38">
        <v>1.5743450899027067E-2</v>
      </c>
      <c r="N38">
        <v>2.5914873566828867E-2</v>
      </c>
      <c r="O38">
        <v>1.2942254448817581E-2</v>
      </c>
      <c r="P38">
        <v>-7.2645542786409223E-4</v>
      </c>
      <c r="Q38">
        <v>-3.5490453753015405E-3</v>
      </c>
      <c r="R38">
        <v>2.3074317649383058E-3</v>
      </c>
      <c r="S38">
        <v>1.3668709876681673E-2</v>
      </c>
      <c r="T38">
        <v>1.0743760194982688E-2</v>
      </c>
      <c r="AH38" s="65"/>
      <c r="AI38" s="65"/>
      <c r="AZ38" s="65"/>
      <c r="BA38" s="65"/>
      <c r="BB38" s="90">
        <f>BR22</f>
        <v>0.21411720194650874</v>
      </c>
      <c r="BC38" s="70" t="s">
        <v>17</v>
      </c>
      <c r="BD38">
        <v>7.4287844616738002E-5</v>
      </c>
      <c r="BE38">
        <v>5.7972983464402118E-4</v>
      </c>
      <c r="BF38">
        <v>8.0943722066307731E-4</v>
      </c>
      <c r="BG38">
        <v>9.570030287653717E-4</v>
      </c>
      <c r="BH38">
        <v>7.5183835783219464E-6</v>
      </c>
      <c r="BI38">
        <v>2.6219253752609044E-4</v>
      </c>
      <c r="BJ38">
        <v>7.277539269403676E-4</v>
      </c>
      <c r="BK38">
        <v>4.3596809864441209E-4</v>
      </c>
      <c r="BL38">
        <v>2.6473055969503638E-4</v>
      </c>
      <c r="BM38">
        <v>2.8934947130978319E-4</v>
      </c>
      <c r="BN38">
        <v>-7.2306667500728446E-5</v>
      </c>
      <c r="BO38">
        <v>-3.5698943789844921E-4</v>
      </c>
      <c r="BP38">
        <v>1.6239473866888138E-4</v>
      </c>
      <c r="BQ38">
        <v>3.6165613881051188E-4</v>
      </c>
      <c r="BR38">
        <f>VARP(Factors!N4:N123)</f>
        <v>8.8372506527981554E-4</v>
      </c>
    </row>
    <row r="39" spans="1:72" x14ac:dyDescent="0.2">
      <c r="A39">
        <v>8.5567022750085986E-3</v>
      </c>
      <c r="B39">
        <v>-3.4536322859700319E-2</v>
      </c>
      <c r="C39">
        <v>5.2680187394763767E-2</v>
      </c>
      <c r="D39">
        <v>-1.5428829245927034E-3</v>
      </c>
      <c r="E39">
        <v>1.7089465731175313E-2</v>
      </c>
      <c r="F39">
        <v>1.5420003407735416E-2</v>
      </c>
      <c r="G39">
        <v>1.7166262294226575E-2</v>
      </c>
      <c r="H39">
        <v>-1.4908488778080375E-3</v>
      </c>
      <c r="I39">
        <v>-1.8796556083841787E-2</v>
      </c>
      <c r="J39">
        <v>-3.2067182550092888E-3</v>
      </c>
      <c r="K39">
        <v>1.162390225569887E-2</v>
      </c>
      <c r="L39">
        <v>3.3675051797994016E-2</v>
      </c>
      <c r="M39">
        <v>1.0238926024925155E-2</v>
      </c>
      <c r="N39">
        <v>2.4724433557868908E-2</v>
      </c>
      <c r="O39">
        <v>8.1972118953617112E-3</v>
      </c>
      <c r="P39">
        <v>6.3454804920937136E-4</v>
      </c>
      <c r="Q39">
        <v>2.5829046521955057E-2</v>
      </c>
      <c r="R39">
        <v>2.2753673183472545E-2</v>
      </c>
      <c r="S39">
        <v>7.5626638461523399E-3</v>
      </c>
      <c r="T39">
        <v>1.3929154529927379E-2</v>
      </c>
      <c r="V39" s="6" t="s">
        <v>105</v>
      </c>
      <c r="W39" s="6"/>
      <c r="AH39" s="65"/>
      <c r="AI39" s="65"/>
      <c r="BC39" s="65"/>
      <c r="BD39" s="65"/>
      <c r="BE39" s="65"/>
      <c r="BF39" s="65"/>
      <c r="BG39" s="65"/>
      <c r="BH39" s="65"/>
      <c r="BI39" s="65"/>
      <c r="BJ39" s="65"/>
      <c r="BK39" s="65"/>
      <c r="BL39" s="65"/>
      <c r="BM39" s="65"/>
      <c r="BN39" s="65"/>
    </row>
    <row r="40" spans="1:72" x14ac:dyDescent="0.2">
      <c r="A40">
        <v>-1.8456249190437202E-3</v>
      </c>
      <c r="B40">
        <v>1.208144827337998E-3</v>
      </c>
      <c r="C40">
        <v>5.2787084017367869E-2</v>
      </c>
      <c r="D40">
        <v>-5.3784363693408777E-3</v>
      </c>
      <c r="E40">
        <v>3.4742056430658863E-4</v>
      </c>
      <c r="F40">
        <v>3.0508965822573231E-5</v>
      </c>
      <c r="G40">
        <v>9.7463387109184563E-3</v>
      </c>
      <c r="H40">
        <v>2.2920381391797751E-3</v>
      </c>
      <c r="I40">
        <v>5.423695981131349E-3</v>
      </c>
      <c r="J40">
        <v>-1.0037373126347449E-2</v>
      </c>
      <c r="K40">
        <v>-4.795475412939787E-4</v>
      </c>
      <c r="L40">
        <v>9.748494378706285E-3</v>
      </c>
      <c r="M40">
        <v>1.3578598692955968E-2</v>
      </c>
      <c r="N40">
        <v>-8.3065660715621048E-3</v>
      </c>
      <c r="O40">
        <v>1.1549314300771663E-2</v>
      </c>
      <c r="P40">
        <v>4.0145878304049809E-3</v>
      </c>
      <c r="Q40">
        <v>-1.0966703826464919E-3</v>
      </c>
      <c r="R40">
        <v>3.0425055928411382E-3</v>
      </c>
      <c r="S40">
        <v>7.5347264703666816E-3</v>
      </c>
      <c r="T40">
        <v>2.3225471050023483E-3</v>
      </c>
      <c r="V40" t="s">
        <v>106</v>
      </c>
      <c r="W40">
        <v>0.95469452323180615</v>
      </c>
      <c r="AH40" s="65"/>
      <c r="AI40" s="65"/>
      <c r="BC40" s="65"/>
      <c r="BD40" s="70" t="s">
        <v>7</v>
      </c>
      <c r="BE40" s="70" t="s">
        <v>15</v>
      </c>
      <c r="BF40" s="70" t="s">
        <v>128</v>
      </c>
      <c r="BG40" s="70" t="s">
        <v>25</v>
      </c>
      <c r="BH40" s="70" t="s">
        <v>147</v>
      </c>
      <c r="BI40" s="70" t="s">
        <v>148</v>
      </c>
      <c r="BJ40" s="70" t="s">
        <v>10</v>
      </c>
      <c r="BK40" s="70" t="s">
        <v>12</v>
      </c>
      <c r="BL40" s="70" t="s">
        <v>29</v>
      </c>
      <c r="BM40" s="70" t="s">
        <v>13</v>
      </c>
      <c r="BN40" s="70" t="s">
        <v>153</v>
      </c>
      <c r="BO40" s="70" t="s">
        <v>154</v>
      </c>
      <c r="BP40" s="70" t="s">
        <v>16</v>
      </c>
      <c r="BQ40" s="70" t="s">
        <v>157</v>
      </c>
      <c r="BR40" s="70" t="s">
        <v>17</v>
      </c>
    </row>
    <row r="41" spans="1:72" x14ac:dyDescent="0.2">
      <c r="A41">
        <v>6.3767963425309659E-4</v>
      </c>
      <c r="B41">
        <v>4.9764512789630899E-2</v>
      </c>
      <c r="C41">
        <v>8.602996400092322E-2</v>
      </c>
      <c r="D41">
        <v>1.1976878489052156E-2</v>
      </c>
      <c r="E41">
        <v>3.6137696440816658E-3</v>
      </c>
      <c r="F41">
        <v>5.3922951957470211E-3</v>
      </c>
      <c r="G41">
        <v>8.6616373288628257E-3</v>
      </c>
      <c r="H41">
        <v>7.8404704657482061E-3</v>
      </c>
      <c r="I41">
        <v>4.707987296336702E-2</v>
      </c>
      <c r="J41">
        <v>1.0127429963334267E-2</v>
      </c>
      <c r="K41">
        <v>-2.6332883781123639E-2</v>
      </c>
      <c r="L41">
        <v>1.1551155115511413E-2</v>
      </c>
      <c r="M41">
        <v>1.9871204607506243E-2</v>
      </c>
      <c r="N41">
        <v>2.2085298061133907E-2</v>
      </c>
      <c r="O41">
        <v>1.67607619123884E-2</v>
      </c>
      <c r="P41">
        <v>2.5702188138221338E-3</v>
      </c>
      <c r="Q41">
        <v>-2.5716111725691437E-2</v>
      </c>
      <c r="R41">
        <v>7.8096584475386699E-3</v>
      </c>
      <c r="S41">
        <v>1.4190543098566266E-2</v>
      </c>
      <c r="T41">
        <v>1.3232765661495227E-2</v>
      </c>
      <c r="V41" t="s">
        <v>107</v>
      </c>
      <c r="W41">
        <v>0.91144163268880563</v>
      </c>
      <c r="AH41" s="65"/>
      <c r="AI41" s="65"/>
      <c r="BC41" s="70" t="s">
        <v>7</v>
      </c>
      <c r="BD41" s="76">
        <f t="shared" ref="BD41:BR41" si="5">BD$22*BD24*$BB24</f>
        <v>0</v>
      </c>
      <c r="BE41" s="76">
        <f t="shared" si="5"/>
        <v>0</v>
      </c>
      <c r="BF41" s="76">
        <f t="shared" si="5"/>
        <v>0</v>
      </c>
      <c r="BG41" s="76">
        <f t="shared" si="5"/>
        <v>0</v>
      </c>
      <c r="BH41" s="76">
        <f t="shared" si="5"/>
        <v>0</v>
      </c>
      <c r="BI41" s="76">
        <f t="shared" si="5"/>
        <v>0</v>
      </c>
      <c r="BJ41" s="76">
        <f t="shared" si="5"/>
        <v>0</v>
      </c>
      <c r="BK41" s="76">
        <f t="shared" si="5"/>
        <v>0</v>
      </c>
      <c r="BL41" s="76">
        <f t="shared" si="5"/>
        <v>0</v>
      </c>
      <c r="BM41" s="76">
        <f t="shared" si="5"/>
        <v>0</v>
      </c>
      <c r="BN41" s="76">
        <f t="shared" si="5"/>
        <v>0</v>
      </c>
      <c r="BO41" s="76">
        <f t="shared" si="5"/>
        <v>0</v>
      </c>
      <c r="BP41" s="76">
        <f t="shared" si="5"/>
        <v>0</v>
      </c>
      <c r="BQ41" s="76">
        <f t="shared" si="5"/>
        <v>0</v>
      </c>
      <c r="BR41" s="76">
        <f t="shared" si="5"/>
        <v>0</v>
      </c>
      <c r="BS41" s="81">
        <f>SUM(BD41:BR41)</f>
        <v>0</v>
      </c>
      <c r="BT41" s="82">
        <f>BS41/SUM($BS$41:$BS$55)</f>
        <v>0</v>
      </c>
    </row>
    <row r="42" spans="1:72" x14ac:dyDescent="0.2">
      <c r="A42">
        <v>-9.9683010767914748E-3</v>
      </c>
      <c r="B42">
        <v>3.5495399510492742E-2</v>
      </c>
      <c r="C42">
        <v>-3.3641716351753503E-2</v>
      </c>
      <c r="D42">
        <v>1.3884227015438677E-2</v>
      </c>
      <c r="E42">
        <v>-1.8720259364302771E-2</v>
      </c>
      <c r="F42">
        <v>-7.5785161583977745E-3</v>
      </c>
      <c r="G42">
        <v>-3.8529337698313126E-3</v>
      </c>
      <c r="H42">
        <v>1.4693511164106554E-2</v>
      </c>
      <c r="I42">
        <v>3.5975204898190061E-2</v>
      </c>
      <c r="J42">
        <v>-9.3881959599917408E-5</v>
      </c>
      <c r="K42">
        <v>6.0604239015225048E-3</v>
      </c>
      <c r="L42">
        <v>1.2942217513529641E-3</v>
      </c>
      <c r="M42">
        <v>2.1749318823270469E-2</v>
      </c>
      <c r="N42">
        <v>-2.6457366054978282E-2</v>
      </c>
      <c r="O42">
        <v>2.1465347532600321E-2</v>
      </c>
      <c r="P42">
        <v>6.5919347317506816E-3</v>
      </c>
      <c r="Q42">
        <v>-1.2519771390311574E-2</v>
      </c>
      <c r="R42">
        <v>-1.6758026624902E-2</v>
      </c>
      <c r="S42">
        <v>1.4873412800849639E-2</v>
      </c>
      <c r="T42">
        <v>7.1149950057087796E-3</v>
      </c>
      <c r="V42" t="s">
        <v>108</v>
      </c>
      <c r="W42">
        <v>0.88171277632045153</v>
      </c>
      <c r="AH42" s="65"/>
      <c r="AI42" s="65"/>
      <c r="BC42" s="70" t="s">
        <v>15</v>
      </c>
      <c r="BD42" s="76">
        <f t="shared" ref="BD42:BR42" si="6">BD$22*BD25*$BB25</f>
        <v>0</v>
      </c>
      <c r="BE42" s="76">
        <f t="shared" si="6"/>
        <v>1.2786213164363028E-6</v>
      </c>
      <c r="BF42" s="76">
        <f t="shared" si="6"/>
        <v>-3.6497608611455677E-6</v>
      </c>
      <c r="BG42" s="76">
        <f t="shared" si="6"/>
        <v>4.6748512074790391E-6</v>
      </c>
      <c r="BH42" s="76">
        <f t="shared" si="6"/>
        <v>-1.1602664889822924E-7</v>
      </c>
      <c r="BI42" s="76">
        <f t="shared" si="6"/>
        <v>1.4306085383221779E-7</v>
      </c>
      <c r="BJ42" s="76">
        <f t="shared" si="6"/>
        <v>1.5405972088852207E-6</v>
      </c>
      <c r="BK42" s="76">
        <f t="shared" si="6"/>
        <v>3.8953403894901522E-6</v>
      </c>
      <c r="BL42" s="76">
        <f t="shared" si="6"/>
        <v>4.998069637921537E-7</v>
      </c>
      <c r="BM42" s="76">
        <f t="shared" si="6"/>
        <v>0</v>
      </c>
      <c r="BN42" s="76">
        <f t="shared" si="6"/>
        <v>1.4480870385714704E-7</v>
      </c>
      <c r="BO42" s="76">
        <f t="shared" si="6"/>
        <v>7.8926788527364932E-7</v>
      </c>
      <c r="BP42" s="76">
        <f t="shared" si="6"/>
        <v>2.7656633819761933E-6</v>
      </c>
      <c r="BQ42" s="76">
        <f t="shared" si="6"/>
        <v>-2.5908655740238227E-6</v>
      </c>
      <c r="BR42" s="76">
        <f t="shared" si="6"/>
        <v>5.4393044067046449E-6</v>
      </c>
      <c r="BS42" s="81">
        <f t="shared" ref="BS42:BS55" si="7">SUM(BD42:BR42)</f>
        <v>1.48146692336591E-5</v>
      </c>
      <c r="BT42" s="82">
        <f t="shared" ref="BT42:BT55" si="8">BS42/SUM($BS$41:$BS$55)</f>
        <v>4.9139667207917986E-2</v>
      </c>
    </row>
    <row r="43" spans="1:72" x14ac:dyDescent="0.2">
      <c r="A43">
        <v>-8.1880156562094131E-3</v>
      </c>
      <c r="B43">
        <v>2.552054476876231E-3</v>
      </c>
      <c r="C43">
        <v>-5.3664388369268345E-2</v>
      </c>
      <c r="D43">
        <v>1.1078126401868227E-2</v>
      </c>
      <c r="E43">
        <v>-5.6159440627415735E-3</v>
      </c>
      <c r="F43">
        <v>-2.9582406494370606E-3</v>
      </c>
      <c r="G43">
        <v>-1.8884141871223781E-2</v>
      </c>
      <c r="H43">
        <v>-1.3895784645628018E-2</v>
      </c>
      <c r="I43">
        <v>-1.492726451014581E-2</v>
      </c>
      <c r="J43">
        <v>8.4383637363861785E-3</v>
      </c>
      <c r="K43">
        <v>1.9844549717619175E-3</v>
      </c>
      <c r="L43">
        <v>-1.3968545972658064E-2</v>
      </c>
      <c r="M43">
        <v>3.5466971581854523E-5</v>
      </c>
      <c r="N43">
        <v>-1.6426949280847869E-2</v>
      </c>
      <c r="O43">
        <v>5.2586548845623415E-3</v>
      </c>
      <c r="P43">
        <v>-3.6297874574997557E-4</v>
      </c>
      <c r="Q43">
        <v>2.5493860280509706E-2</v>
      </c>
      <c r="R43">
        <v>-2.3823704586062311E-3</v>
      </c>
      <c r="S43">
        <v>5.6216336303123171E-3</v>
      </c>
      <c r="T43">
        <v>-1.6854025295065078E-2</v>
      </c>
      <c r="V43" t="s">
        <v>109</v>
      </c>
      <c r="W43">
        <v>1.7005852760922771E-2</v>
      </c>
      <c r="AH43" s="65"/>
      <c r="AI43" s="65"/>
      <c r="BC43" s="70" t="s">
        <v>128</v>
      </c>
      <c r="BD43" s="76">
        <f t="shared" ref="BD43:BR43" si="9">BD$22*BD26*$BB26</f>
        <v>0</v>
      </c>
      <c r="BE43" s="76">
        <f t="shared" si="9"/>
        <v>-3.6497608611455673E-6</v>
      </c>
      <c r="BF43" s="76">
        <f t="shared" si="9"/>
        <v>3.2986829864156897E-5</v>
      </c>
      <c r="BG43" s="76">
        <f t="shared" si="9"/>
        <v>-3.2716073685136561E-5</v>
      </c>
      <c r="BH43" s="76">
        <f t="shared" si="9"/>
        <v>-5.3972455608455954E-7</v>
      </c>
      <c r="BI43" s="76">
        <f t="shared" si="9"/>
        <v>-1.5923824485883856E-6</v>
      </c>
      <c r="BJ43" s="76">
        <f t="shared" si="9"/>
        <v>-8.7579843688087122E-6</v>
      </c>
      <c r="BK43" s="76">
        <f t="shared" si="9"/>
        <v>-2.9903697590628161E-5</v>
      </c>
      <c r="BL43" s="76">
        <f t="shared" si="9"/>
        <v>-3.6431066093168322E-7</v>
      </c>
      <c r="BM43" s="76">
        <f t="shared" si="9"/>
        <v>0</v>
      </c>
      <c r="BN43" s="76">
        <f t="shared" si="9"/>
        <v>-5.915506087924105E-7</v>
      </c>
      <c r="BO43" s="76">
        <f t="shared" si="9"/>
        <v>-5.0742225328862155E-6</v>
      </c>
      <c r="BP43" s="76">
        <f t="shared" si="9"/>
        <v>8.0294212570098032E-8</v>
      </c>
      <c r="BQ43" s="76">
        <f t="shared" si="9"/>
        <v>1.706597827893607E-5</v>
      </c>
      <c r="BR43" s="76">
        <f t="shared" si="9"/>
        <v>-3.4569130498812074E-5</v>
      </c>
      <c r="BS43" s="81">
        <f t="shared" si="7"/>
        <v>-6.7625735456151265E-5</v>
      </c>
      <c r="BT43" s="82">
        <f t="shared" si="8"/>
        <v>-0.22431186836462319</v>
      </c>
    </row>
    <row r="44" spans="1:72" ht="16" thickBot="1" x14ac:dyDescent="0.25">
      <c r="A44">
        <v>2.9644939267479131E-3</v>
      </c>
      <c r="B44">
        <v>-8.366790057031781E-3</v>
      </c>
      <c r="C44">
        <v>1.1986668980533466E-2</v>
      </c>
      <c r="D44">
        <v>4.1229099206852027E-3</v>
      </c>
      <c r="E44">
        <v>1.9022065056875759E-2</v>
      </c>
      <c r="F44">
        <v>8.3413833816337046E-3</v>
      </c>
      <c r="G44">
        <v>-9.0182942540582012E-3</v>
      </c>
      <c r="H44">
        <v>-3.9741875194543308E-2</v>
      </c>
      <c r="I44">
        <v>-1.5502960114456732E-2</v>
      </c>
      <c r="J44">
        <v>3.0741080384877773E-2</v>
      </c>
      <c r="K44">
        <v>-3.7389864487917479E-2</v>
      </c>
      <c r="L44">
        <v>2.0751214069487878E-2</v>
      </c>
      <c r="M44">
        <v>-8.8229959797648805E-3</v>
      </c>
      <c r="N44">
        <v>2.2550604171476918E-2</v>
      </c>
      <c r="O44">
        <v>1.9128343868641817E-3</v>
      </c>
      <c r="P44">
        <v>7.7167154955903872E-3</v>
      </c>
      <c r="Q44">
        <v>3.2678176144706694E-2</v>
      </c>
      <c r="R44">
        <v>2.3700104130510047E-2</v>
      </c>
      <c r="S44">
        <v>-5.8038811087262054E-3</v>
      </c>
      <c r="T44">
        <v>-3.1400491812909603E-2</v>
      </c>
      <c r="V44" s="4" t="s">
        <v>110</v>
      </c>
      <c r="W44" s="4">
        <v>120</v>
      </c>
      <c r="AH44" s="65"/>
      <c r="AI44" s="65"/>
      <c r="BC44" s="70" t="s">
        <v>25</v>
      </c>
      <c r="BD44" s="76">
        <f t="shared" ref="BD44:BR44" si="10">BD$22*BD27*$BB27</f>
        <v>0</v>
      </c>
      <c r="BE44" s="76">
        <f t="shared" si="10"/>
        <v>4.6748512074790391E-6</v>
      </c>
      <c r="BF44" s="76">
        <f t="shared" si="10"/>
        <v>-3.2716073685136561E-5</v>
      </c>
      <c r="BG44" s="76">
        <f t="shared" si="10"/>
        <v>5.5945264602188739E-5</v>
      </c>
      <c r="BH44" s="76">
        <f t="shared" si="10"/>
        <v>2.1461276675634156E-6</v>
      </c>
      <c r="BI44" s="76">
        <f t="shared" si="10"/>
        <v>2.1531500872305741E-6</v>
      </c>
      <c r="BJ44" s="76">
        <f t="shared" si="10"/>
        <v>1.2230602077227902E-5</v>
      </c>
      <c r="BK44" s="76">
        <f t="shared" si="10"/>
        <v>3.9758982167228218E-5</v>
      </c>
      <c r="BL44" s="76">
        <f t="shared" si="10"/>
        <v>9.1268955568491569E-7</v>
      </c>
      <c r="BM44" s="76">
        <f t="shared" si="10"/>
        <v>0</v>
      </c>
      <c r="BN44" s="76">
        <f t="shared" si="10"/>
        <v>-2.293408251049204E-7</v>
      </c>
      <c r="BO44" s="76">
        <f t="shared" si="10"/>
        <v>1.0755677110745556E-5</v>
      </c>
      <c r="BP44" s="76">
        <f t="shared" si="10"/>
        <v>3.3560625549047344E-6</v>
      </c>
      <c r="BQ44" s="76">
        <f t="shared" si="10"/>
        <v>-1.9171789156857747E-5</v>
      </c>
      <c r="BR44" s="76">
        <f t="shared" si="10"/>
        <v>3.5562802027687606E-5</v>
      </c>
      <c r="BS44" s="81">
        <f t="shared" si="7"/>
        <v>1.1537900539084145E-4</v>
      </c>
      <c r="BT44" s="82">
        <f t="shared" si="8"/>
        <v>0.38270756088194885</v>
      </c>
    </row>
    <row r="45" spans="1:72" x14ac:dyDescent="0.2">
      <c r="A45">
        <v>6.8386208361557177E-3</v>
      </c>
      <c r="B45">
        <v>2.3463331563384315E-2</v>
      </c>
      <c r="C45">
        <v>-7.9842709300193992E-2</v>
      </c>
      <c r="D45">
        <v>-2.6040932352910162E-2</v>
      </c>
      <c r="E45">
        <v>5.2633421729244567E-3</v>
      </c>
      <c r="F45">
        <v>1.225650461519745E-2</v>
      </c>
      <c r="G45">
        <v>1.2116484659386195E-2</v>
      </c>
      <c r="H45">
        <v>-1.1101181794070936E-3</v>
      </c>
      <c r="I45">
        <v>1.5934412506347861E-2</v>
      </c>
      <c r="J45">
        <v>4.7294606771688397E-3</v>
      </c>
      <c r="K45">
        <v>7.675689118750384E-3</v>
      </c>
      <c r="L45">
        <v>-3.6310313108506853E-2</v>
      </c>
      <c r="M45">
        <v>-1.6983800572715091E-2</v>
      </c>
      <c r="N45">
        <v>1.3548095739876587E-2</v>
      </c>
      <c r="O45">
        <v>-2.1834293319518805E-2</v>
      </c>
      <c r="P45">
        <v>-1.4952908364068818E-2</v>
      </c>
      <c r="Q45">
        <v>-3.1664313031336211E-2</v>
      </c>
      <c r="R45">
        <v>1.3345630119893537E-2</v>
      </c>
      <c r="S45">
        <v>-6.8813849554499873E-3</v>
      </c>
      <c r="T45">
        <v>1.1146386435790356E-2</v>
      </c>
      <c r="AH45" s="65"/>
      <c r="AI45" s="65"/>
      <c r="BC45" s="70" t="s">
        <v>147</v>
      </c>
      <c r="BD45" s="76">
        <f t="shared" ref="BD45:BR45" si="11">BD$22*BD28*$BB28</f>
        <v>0</v>
      </c>
      <c r="BE45" s="76">
        <f t="shared" si="11"/>
        <v>-1.1602664889822924E-7</v>
      </c>
      <c r="BF45" s="76">
        <f t="shared" si="11"/>
        <v>-5.3972455608455964E-7</v>
      </c>
      <c r="BG45" s="76">
        <f t="shared" si="11"/>
        <v>2.1461276675634156E-6</v>
      </c>
      <c r="BH45" s="76">
        <f t="shared" si="11"/>
        <v>5.7755985851213261E-6</v>
      </c>
      <c r="BI45" s="76">
        <f t="shared" si="11"/>
        <v>-5.6402180132936959E-8</v>
      </c>
      <c r="BJ45" s="76">
        <f t="shared" si="11"/>
        <v>1.6816462542709891E-7</v>
      </c>
      <c r="BK45" s="76">
        <f t="shared" si="11"/>
        <v>2.6453692777944251E-7</v>
      </c>
      <c r="BL45" s="76">
        <f t="shared" si="11"/>
        <v>4.0433892050749855E-8</v>
      </c>
      <c r="BM45" s="76">
        <f t="shared" si="11"/>
        <v>0</v>
      </c>
      <c r="BN45" s="76">
        <f t="shared" si="11"/>
        <v>-1.1577857460364095E-7</v>
      </c>
      <c r="BO45" s="76">
        <f t="shared" si="11"/>
        <v>-1.0826824531097295E-6</v>
      </c>
      <c r="BP45" s="76">
        <f t="shared" si="11"/>
        <v>6.5070142681105211E-7</v>
      </c>
      <c r="BQ45" s="76">
        <f t="shared" si="11"/>
        <v>-7.9333627738958389E-7</v>
      </c>
      <c r="BR45" s="76">
        <f t="shared" si="11"/>
        <v>2.2070875073586365E-7</v>
      </c>
      <c r="BS45" s="81">
        <f t="shared" si="7"/>
        <v>6.5623211852702678E-6</v>
      </c>
      <c r="BT45" s="82">
        <f t="shared" si="8"/>
        <v>2.1766957740979778E-2</v>
      </c>
    </row>
    <row r="46" spans="1:72" ht="16" thickBot="1" x14ac:dyDescent="0.25">
      <c r="A46">
        <v>4.1751695745824158E-3</v>
      </c>
      <c r="B46">
        <v>3.4348307870654571E-2</v>
      </c>
      <c r="C46">
        <v>2.528625265133666E-2</v>
      </c>
      <c r="D46">
        <v>2.8787165507307311E-2</v>
      </c>
      <c r="E46">
        <v>6.5596173542554759E-3</v>
      </c>
      <c r="F46">
        <v>7.5863415806631807E-3</v>
      </c>
      <c r="G46">
        <v>2.2709756974772732E-2</v>
      </c>
      <c r="H46">
        <v>1.6853227899010559E-2</v>
      </c>
      <c r="I46">
        <v>4.1890197461662781E-2</v>
      </c>
      <c r="J46">
        <v>7.5423621526020668E-3</v>
      </c>
      <c r="K46">
        <v>-2.0233866446087267E-2</v>
      </c>
      <c r="L46">
        <v>8.0045742195005598E-2</v>
      </c>
      <c r="M46">
        <v>1.5478596362731967E-2</v>
      </c>
      <c r="N46">
        <v>0.1044111094608644</v>
      </c>
      <c r="O46">
        <v>1.8790037969382833E-2</v>
      </c>
      <c r="P46">
        <v>5.2881996361964223E-3</v>
      </c>
      <c r="Q46">
        <v>-5.6349190990199194E-3</v>
      </c>
      <c r="R46">
        <v>8.8736013705232875E-3</v>
      </c>
      <c r="S46">
        <v>1.3501838333186411E-2</v>
      </c>
      <c r="T46">
        <v>2.4439569479673739E-2</v>
      </c>
      <c r="V46" t="s">
        <v>111</v>
      </c>
      <c r="AH46" s="65"/>
      <c r="AI46" s="65"/>
      <c r="BC46" s="70" t="s">
        <v>148</v>
      </c>
      <c r="BD46" s="76">
        <f t="shared" ref="BD46:BR46" si="12">BD$22*BD29*$BB29</f>
        <v>0</v>
      </c>
      <c r="BE46" s="76">
        <f t="shared" si="12"/>
        <v>1.4306085383221779E-7</v>
      </c>
      <c r="BF46" s="76">
        <f t="shared" si="12"/>
        <v>-1.5923824485883856E-6</v>
      </c>
      <c r="BG46" s="76">
        <f t="shared" si="12"/>
        <v>2.1531500872305741E-6</v>
      </c>
      <c r="BH46" s="76">
        <f t="shared" si="12"/>
        <v>-5.6402180132936959E-8</v>
      </c>
      <c r="BI46" s="76">
        <f t="shared" si="12"/>
        <v>4.0866823058246655E-7</v>
      </c>
      <c r="BJ46" s="76">
        <f t="shared" si="12"/>
        <v>2.8839936941642273E-7</v>
      </c>
      <c r="BK46" s="76">
        <f t="shared" si="12"/>
        <v>1.8541810612324836E-6</v>
      </c>
      <c r="BL46" s="76">
        <f t="shared" si="12"/>
        <v>4.5078384586849352E-8</v>
      </c>
      <c r="BM46" s="76">
        <f t="shared" si="12"/>
        <v>0</v>
      </c>
      <c r="BN46" s="76">
        <f t="shared" si="12"/>
        <v>-1.4145402221538987E-8</v>
      </c>
      <c r="BO46" s="76">
        <f t="shared" si="12"/>
        <v>3.2411522327684219E-7</v>
      </c>
      <c r="BP46" s="76">
        <f t="shared" si="12"/>
        <v>-3.5350395980149783E-7</v>
      </c>
      <c r="BQ46" s="76">
        <f t="shared" si="12"/>
        <v>-6.575667401459639E-7</v>
      </c>
      <c r="BR46" s="76">
        <f t="shared" si="12"/>
        <v>1.5096948839154413E-6</v>
      </c>
      <c r="BS46" s="81">
        <f t="shared" si="7"/>
        <v>4.0523473631829745E-6</v>
      </c>
      <c r="BT46" s="82">
        <f t="shared" si="8"/>
        <v>1.3441474642259808E-2</v>
      </c>
    </row>
    <row r="47" spans="1:72" x14ac:dyDescent="0.2">
      <c r="A47">
        <v>7.0930245773785927E-3</v>
      </c>
      <c r="B47">
        <v>6.8327326465340565E-2</v>
      </c>
      <c r="C47">
        <v>-2.1165601894573949E-2</v>
      </c>
      <c r="D47">
        <v>2.956701257864891E-2</v>
      </c>
      <c r="E47">
        <v>1.1182572119771583E-2</v>
      </c>
      <c r="F47">
        <v>8.9828840648855657E-3</v>
      </c>
      <c r="G47">
        <v>2.3838231600100457E-2</v>
      </c>
      <c r="H47">
        <v>-2.9284122209400909E-3</v>
      </c>
      <c r="I47">
        <v>3.403417935361297E-2</v>
      </c>
      <c r="J47">
        <v>3.3923203075998609E-2</v>
      </c>
      <c r="K47">
        <v>1.2783871691648407E-2</v>
      </c>
      <c r="L47">
        <v>3.3336489654440138E-2</v>
      </c>
      <c r="M47">
        <v>2.258997329142054E-2</v>
      </c>
      <c r="N47">
        <v>7.1543840774609846E-2</v>
      </c>
      <c r="O47">
        <v>3.0656165055060747E-2</v>
      </c>
      <c r="P47">
        <v>9.6536195957961368E-3</v>
      </c>
      <c r="Q47">
        <v>1.5021690124761955E-2</v>
      </c>
      <c r="R47">
        <v>1.3770413510393986E-2</v>
      </c>
      <c r="S47">
        <v>2.100254545926461E-2</v>
      </c>
      <c r="T47">
        <v>6.0544718439454748E-3</v>
      </c>
      <c r="V47" s="5"/>
      <c r="W47" s="5" t="s">
        <v>112</v>
      </c>
      <c r="X47" s="5" t="s">
        <v>113</v>
      </c>
      <c r="Y47" s="5" t="s">
        <v>114</v>
      </c>
      <c r="Z47" s="5" t="s">
        <v>115</v>
      </c>
      <c r="AA47" s="5" t="s">
        <v>116</v>
      </c>
      <c r="AH47" s="65"/>
      <c r="AI47" s="65"/>
      <c r="BC47" s="70" t="s">
        <v>10</v>
      </c>
      <c r="BD47" s="76">
        <f t="shared" ref="BD47:BR47" si="13">BD$22*BD30*$BB30</f>
        <v>0</v>
      </c>
      <c r="BE47" s="76">
        <f t="shared" si="13"/>
        <v>1.540597208885221E-6</v>
      </c>
      <c r="BF47" s="76">
        <f t="shared" si="13"/>
        <v>-8.7579843688087122E-6</v>
      </c>
      <c r="BG47" s="76">
        <f t="shared" si="13"/>
        <v>1.22306020772279E-5</v>
      </c>
      <c r="BH47" s="76">
        <f t="shared" si="13"/>
        <v>1.6816462542709893E-7</v>
      </c>
      <c r="BI47" s="76">
        <f t="shared" si="13"/>
        <v>2.8839936941642268E-7</v>
      </c>
      <c r="BJ47" s="76">
        <f t="shared" si="13"/>
        <v>1.0647527814586137E-5</v>
      </c>
      <c r="BK47" s="76">
        <f t="shared" si="13"/>
        <v>1.2425174416456486E-5</v>
      </c>
      <c r="BL47" s="76">
        <f t="shared" si="13"/>
        <v>1.8668433218711276E-6</v>
      </c>
      <c r="BM47" s="76">
        <f t="shared" si="13"/>
        <v>0</v>
      </c>
      <c r="BN47" s="76">
        <f t="shared" si="13"/>
        <v>-2.3099210585125569E-7</v>
      </c>
      <c r="BO47" s="76">
        <f t="shared" si="13"/>
        <v>9.9403110730473049E-7</v>
      </c>
      <c r="BP47" s="76">
        <f t="shared" si="13"/>
        <v>3.3877695362306141E-6</v>
      </c>
      <c r="BQ47" s="76">
        <f t="shared" si="13"/>
        <v>-6.7524063259789616E-6</v>
      </c>
      <c r="BR47" s="76">
        <f t="shared" si="13"/>
        <v>9.804280660313071E-6</v>
      </c>
      <c r="BS47" s="81">
        <f t="shared" si="7"/>
        <v>3.7612007337079883E-5</v>
      </c>
      <c r="BT47" s="82">
        <f t="shared" si="8"/>
        <v>0.12475752879899937</v>
      </c>
    </row>
    <row r="48" spans="1:72" x14ac:dyDescent="0.2">
      <c r="A48">
        <v>1.3575159317060326E-2</v>
      </c>
      <c r="B48">
        <v>-8.4061752820858371E-2</v>
      </c>
      <c r="C48">
        <v>-7.9259554850268921E-2</v>
      </c>
      <c r="D48">
        <v>-1.2781412924715574E-2</v>
      </c>
      <c r="E48">
        <v>4.014690588583858E-2</v>
      </c>
      <c r="F48">
        <v>1.7983139882821408E-2</v>
      </c>
      <c r="G48">
        <v>-3.7047032557225856E-3</v>
      </c>
      <c r="H48">
        <v>-3.8446789715949392E-2</v>
      </c>
      <c r="I48">
        <v>-3.6837044372011407E-2</v>
      </c>
      <c r="J48">
        <v>1.2036550788029898E-2</v>
      </c>
      <c r="K48">
        <v>-2.9999415934236828E-2</v>
      </c>
      <c r="L48">
        <v>-3.1361332870531E-2</v>
      </c>
      <c r="M48">
        <v>-2.5234798615809684E-2</v>
      </c>
      <c r="N48">
        <v>-1.6629016064257041E-2</v>
      </c>
      <c r="O48">
        <v>-1.4675704327976047E-2</v>
      </c>
      <c r="P48">
        <v>-9.3557817349954053E-3</v>
      </c>
      <c r="Q48">
        <v>1.2904033139819027E-2</v>
      </c>
      <c r="R48">
        <v>4.6900558776188594E-2</v>
      </c>
      <c r="S48">
        <v>-5.3199225929806415E-3</v>
      </c>
      <c r="T48">
        <v>-2.0463649833127984E-2</v>
      </c>
      <c r="V48" t="s">
        <v>117</v>
      </c>
      <c r="W48">
        <v>15</v>
      </c>
      <c r="X48">
        <v>0.31550188300961129</v>
      </c>
      <c r="Y48">
        <v>2.1033458867307418E-2</v>
      </c>
      <c r="Z48">
        <v>83.919284837757559</v>
      </c>
      <c r="AA48">
        <v>5.6579693116564305E-51</v>
      </c>
      <c r="AH48" s="65"/>
      <c r="AI48" s="65"/>
      <c r="BC48" s="70" t="s">
        <v>12</v>
      </c>
      <c r="BD48" s="76">
        <f t="shared" ref="BD48:BR48" si="14">BD$22*BD31*$BB31</f>
        <v>0</v>
      </c>
      <c r="BE48" s="76">
        <f t="shared" si="14"/>
        <v>3.8953403894901514E-6</v>
      </c>
      <c r="BF48" s="76">
        <f t="shared" si="14"/>
        <v>-2.9903697590628164E-5</v>
      </c>
      <c r="BG48" s="76">
        <f t="shared" si="14"/>
        <v>3.9758982167228218E-5</v>
      </c>
      <c r="BH48" s="76">
        <f t="shared" si="14"/>
        <v>2.6453692777944256E-7</v>
      </c>
      <c r="BI48" s="76">
        <f t="shared" si="14"/>
        <v>1.8541810612324836E-6</v>
      </c>
      <c r="BJ48" s="76">
        <f t="shared" si="14"/>
        <v>1.2425174416456486E-5</v>
      </c>
      <c r="BK48" s="76">
        <f t="shared" si="14"/>
        <v>4.1491136337635937E-5</v>
      </c>
      <c r="BL48" s="76">
        <f t="shared" si="14"/>
        <v>1.3390450915826121E-6</v>
      </c>
      <c r="BM48" s="76">
        <f t="shared" si="14"/>
        <v>0</v>
      </c>
      <c r="BN48" s="76">
        <f t="shared" si="14"/>
        <v>-4.7894509325108076E-7</v>
      </c>
      <c r="BO48" s="76">
        <f t="shared" si="14"/>
        <v>5.1385311088136359E-6</v>
      </c>
      <c r="BP48" s="76">
        <f t="shared" si="14"/>
        <v>1.5630127490283028E-6</v>
      </c>
      <c r="BQ48" s="76">
        <f t="shared" si="14"/>
        <v>-2.04068176191217E-5</v>
      </c>
      <c r="BR48" s="76">
        <f t="shared" si="14"/>
        <v>3.1622833147527202E-5</v>
      </c>
      <c r="BS48" s="81">
        <f t="shared" si="7"/>
        <v>8.8563313093773508E-5</v>
      </c>
      <c r="BT48" s="82">
        <f t="shared" si="8"/>
        <v>0.29376097863669787</v>
      </c>
    </row>
    <row r="49" spans="1:72" x14ac:dyDescent="0.2">
      <c r="A49">
        <v>5.9352799370859799E-5</v>
      </c>
      <c r="B49">
        <v>1.2356464674060152E-2</v>
      </c>
      <c r="C49">
        <v>-4.8411691407560187E-2</v>
      </c>
      <c r="D49">
        <v>7.0711374109098113E-3</v>
      </c>
      <c r="E49">
        <v>-4.7841931562234707E-3</v>
      </c>
      <c r="F49">
        <v>2.8087645065066891E-3</v>
      </c>
      <c r="G49">
        <v>6.2302994483847129E-3</v>
      </c>
      <c r="H49">
        <v>1.2305996429651245E-4</v>
      </c>
      <c r="I49">
        <v>-3.6159777309874297E-3</v>
      </c>
      <c r="J49">
        <v>6.0546061181483424E-3</v>
      </c>
      <c r="K49">
        <v>6.3138124493357095E-3</v>
      </c>
      <c r="L49">
        <v>4.632329122125034E-2</v>
      </c>
      <c r="M49">
        <v>-2.6816447868270865E-3</v>
      </c>
      <c r="N49">
        <v>6.4003573479676001E-2</v>
      </c>
      <c r="O49">
        <v>3.3379196444245363E-3</v>
      </c>
      <c r="P49">
        <v>-3.0985504013767429E-3</v>
      </c>
      <c r="Q49">
        <v>1.2219170967191273E-2</v>
      </c>
      <c r="R49">
        <v>-4.6936913288584403E-3</v>
      </c>
      <c r="S49">
        <v>6.4364700458012791E-3</v>
      </c>
      <c r="T49">
        <v>2.9318244708032015E-3</v>
      </c>
      <c r="V49" t="s">
        <v>118</v>
      </c>
      <c r="W49">
        <v>106</v>
      </c>
      <c r="X49">
        <v>3.0655096981375571E-2</v>
      </c>
      <c r="Y49">
        <v>2.8919902812618462E-4</v>
      </c>
      <c r="AH49" s="65"/>
      <c r="AI49" s="65"/>
      <c r="BC49" s="70" t="s">
        <v>29</v>
      </c>
      <c r="BD49" s="76">
        <f t="shared" ref="BD49:BR49" si="15">BD$22*BD32*$BB32</f>
        <v>0</v>
      </c>
      <c r="BE49" s="76">
        <f t="shared" si="15"/>
        <v>4.998069637921537E-7</v>
      </c>
      <c r="BF49" s="76">
        <f t="shared" si="15"/>
        <v>-3.6431066093168322E-7</v>
      </c>
      <c r="BG49" s="76">
        <f t="shared" si="15"/>
        <v>9.1268955568491558E-7</v>
      </c>
      <c r="BH49" s="76">
        <f t="shared" si="15"/>
        <v>4.0433892050749855E-8</v>
      </c>
      <c r="BI49" s="76">
        <f t="shared" si="15"/>
        <v>4.5078384586849352E-8</v>
      </c>
      <c r="BJ49" s="76">
        <f t="shared" si="15"/>
        <v>1.8668433218711276E-6</v>
      </c>
      <c r="BK49" s="76">
        <f t="shared" si="15"/>
        <v>1.3390450915826121E-6</v>
      </c>
      <c r="BL49" s="76">
        <f t="shared" si="15"/>
        <v>1.299147935712073E-6</v>
      </c>
      <c r="BM49" s="76">
        <f t="shared" si="15"/>
        <v>0</v>
      </c>
      <c r="BN49" s="76">
        <f t="shared" si="15"/>
        <v>-4.2265344611083455E-8</v>
      </c>
      <c r="BO49" s="76">
        <f t="shared" si="15"/>
        <v>-2.2311808422946749E-7</v>
      </c>
      <c r="BP49" s="76">
        <f t="shared" si="15"/>
        <v>2.0880161966455815E-6</v>
      </c>
      <c r="BQ49" s="76">
        <f t="shared" si="15"/>
        <v>-8.8371813688132395E-7</v>
      </c>
      <c r="BR49" s="76">
        <f t="shared" si="15"/>
        <v>1.1714388234506103E-6</v>
      </c>
      <c r="BS49" s="81">
        <f t="shared" si="7"/>
        <v>7.7490879387231147E-6</v>
      </c>
      <c r="BT49" s="82">
        <f t="shared" si="8"/>
        <v>2.5703415747453287E-2</v>
      </c>
    </row>
    <row r="50" spans="1:72" ht="16" thickBot="1" x14ac:dyDescent="0.25">
      <c r="A50">
        <v>1.4678038656049885E-2</v>
      </c>
      <c r="B50">
        <v>-0.12881902122584132</v>
      </c>
      <c r="C50">
        <v>8.896567442729908E-2</v>
      </c>
      <c r="D50">
        <v>7.0476875638760816E-3</v>
      </c>
      <c r="E50">
        <v>4.205616702548487E-2</v>
      </c>
      <c r="F50">
        <v>1.6798147209958758E-2</v>
      </c>
      <c r="G50">
        <v>8.4432588531850872E-3</v>
      </c>
      <c r="H50">
        <v>-3.0385269319711861E-2</v>
      </c>
      <c r="I50">
        <v>-7.7976795890217332E-2</v>
      </c>
      <c r="J50">
        <v>-3.792434701698455E-2</v>
      </c>
      <c r="K50">
        <v>-8.2128785200686893E-3</v>
      </c>
      <c r="L50">
        <v>4.2236773610235812E-2</v>
      </c>
      <c r="M50">
        <v>-2.5282621069873668E-2</v>
      </c>
      <c r="N50">
        <v>0.11083123425692687</v>
      </c>
      <c r="O50">
        <v>-2.8342341803256788E-2</v>
      </c>
      <c r="P50">
        <v>-1.5423060983967729E-2</v>
      </c>
      <c r="Q50">
        <v>1.5242318009432432E-2</v>
      </c>
      <c r="R50">
        <v>4.7007554112689975E-2</v>
      </c>
      <c r="S50">
        <v>-1.2919280819289058E-2</v>
      </c>
      <c r="T50">
        <v>-1.3587122109753103E-2</v>
      </c>
      <c r="V50" s="4" t="s">
        <v>119</v>
      </c>
      <c r="W50" s="4">
        <v>121</v>
      </c>
      <c r="X50" s="4">
        <v>0.34615697999098688</v>
      </c>
      <c r="Y50" s="4"/>
      <c r="Z50" s="4"/>
      <c r="AA50" s="4"/>
      <c r="AH50" s="65"/>
      <c r="AI50" s="65"/>
      <c r="BC50" s="70" t="s">
        <v>13</v>
      </c>
      <c r="BD50" s="76">
        <f t="shared" ref="BD50:BR50" si="16">BD$22*BD33*$BB33</f>
        <v>0</v>
      </c>
      <c r="BE50" s="76">
        <f t="shared" si="16"/>
        <v>0</v>
      </c>
      <c r="BF50" s="76">
        <f t="shared" si="16"/>
        <v>0</v>
      </c>
      <c r="BG50" s="76">
        <f t="shared" si="16"/>
        <v>0</v>
      </c>
      <c r="BH50" s="76">
        <f t="shared" si="16"/>
        <v>0</v>
      </c>
      <c r="BI50" s="76">
        <f t="shared" si="16"/>
        <v>0</v>
      </c>
      <c r="BJ50" s="76">
        <f t="shared" si="16"/>
        <v>0</v>
      </c>
      <c r="BK50" s="76">
        <f t="shared" si="16"/>
        <v>0</v>
      </c>
      <c r="BL50" s="76">
        <f t="shared" si="16"/>
        <v>0</v>
      </c>
      <c r="BM50" s="76">
        <f t="shared" si="16"/>
        <v>0</v>
      </c>
      <c r="BN50" s="76">
        <f t="shared" si="16"/>
        <v>0</v>
      </c>
      <c r="BO50" s="76">
        <f t="shared" si="16"/>
        <v>0</v>
      </c>
      <c r="BP50" s="76">
        <f t="shared" si="16"/>
        <v>0</v>
      </c>
      <c r="BQ50" s="76">
        <f t="shared" si="16"/>
        <v>0</v>
      </c>
      <c r="BR50" s="76">
        <f t="shared" si="16"/>
        <v>0</v>
      </c>
      <c r="BS50" s="81">
        <f t="shared" si="7"/>
        <v>0</v>
      </c>
      <c r="BT50" s="82">
        <f t="shared" si="8"/>
        <v>0</v>
      </c>
    </row>
    <row r="51" spans="1:72" ht="16" thickBot="1" x14ac:dyDescent="0.25">
      <c r="A51">
        <v>-1.1606830682744373E-3</v>
      </c>
      <c r="B51">
        <v>-4.1771689838375314E-2</v>
      </c>
      <c r="C51">
        <v>0.14348214073065968</v>
      </c>
      <c r="D51">
        <v>4.0866911003281547E-2</v>
      </c>
      <c r="E51">
        <v>1.7563790912744848E-2</v>
      </c>
      <c r="F51">
        <v>1.3879892662163051E-3</v>
      </c>
      <c r="G51">
        <v>-1.6745134203757228E-3</v>
      </c>
      <c r="H51">
        <v>-1.3260944017200127E-2</v>
      </c>
      <c r="I51">
        <v>-1.9860994839332013E-2</v>
      </c>
      <c r="J51">
        <v>2.2037328694160085E-2</v>
      </c>
      <c r="K51">
        <v>-4.5811369785929701E-3</v>
      </c>
      <c r="L51">
        <v>0.12283980799461625</v>
      </c>
      <c r="M51">
        <v>4.0779079798907159E-3</v>
      </c>
      <c r="N51">
        <v>5.1614296512255686E-2</v>
      </c>
      <c r="O51">
        <v>1.2406877158998464E-2</v>
      </c>
      <c r="P51">
        <v>1.3329300345202411E-2</v>
      </c>
      <c r="Q51">
        <v>4.557574409849563E-2</v>
      </c>
      <c r="R51">
        <v>1.8790070590211094E-2</v>
      </c>
      <c r="S51">
        <v>-9.224231862039467E-4</v>
      </c>
      <c r="T51">
        <v>-1.1872954750983822E-2</v>
      </c>
      <c r="AH51" s="65"/>
      <c r="AI51" s="65"/>
      <c r="BC51" s="70" t="s">
        <v>153</v>
      </c>
      <c r="BD51" s="76">
        <f t="shared" ref="BD51:BR51" si="17">BD$22*BD34*$BB34</f>
        <v>0</v>
      </c>
      <c r="BE51" s="76">
        <f t="shared" si="17"/>
        <v>1.4480870385714704E-7</v>
      </c>
      <c r="BF51" s="76">
        <f t="shared" si="17"/>
        <v>-5.915506087924105E-7</v>
      </c>
      <c r="BG51" s="76">
        <f t="shared" si="17"/>
        <v>-2.293408251049204E-7</v>
      </c>
      <c r="BH51" s="76">
        <f t="shared" si="17"/>
        <v>-1.1577857460364094E-7</v>
      </c>
      <c r="BI51" s="76">
        <f t="shared" si="17"/>
        <v>-1.4145402221538987E-8</v>
      </c>
      <c r="BJ51" s="76">
        <f t="shared" si="17"/>
        <v>-2.3099210585125569E-7</v>
      </c>
      <c r="BK51" s="76">
        <f t="shared" si="17"/>
        <v>-4.7894509325108076E-7</v>
      </c>
      <c r="BL51" s="76">
        <f t="shared" si="17"/>
        <v>-4.2265344611083455E-8</v>
      </c>
      <c r="BM51" s="76">
        <f t="shared" si="17"/>
        <v>0</v>
      </c>
      <c r="BN51" s="76">
        <f t="shared" si="17"/>
        <v>1.9891543049258103E-7</v>
      </c>
      <c r="BO51" s="76">
        <f t="shared" si="17"/>
        <v>1.1702980523540191E-7</v>
      </c>
      <c r="BP51" s="76">
        <f t="shared" si="17"/>
        <v>3.8306001800894213E-7</v>
      </c>
      <c r="BQ51" s="76">
        <f t="shared" si="17"/>
        <v>-1.9062411254800132E-7</v>
      </c>
      <c r="BR51" s="76">
        <f t="shared" si="17"/>
        <v>8.9934714575218319E-7</v>
      </c>
      <c r="BS51" s="81">
        <f t="shared" si="7"/>
        <v>-1.5048096363767653E-7</v>
      </c>
      <c r="BT51" s="82">
        <f t="shared" si="8"/>
        <v>-4.9913935692075067E-4</v>
      </c>
    </row>
    <row r="52" spans="1:72" x14ac:dyDescent="0.2">
      <c r="A52">
        <v>3.5004346205771419E-3</v>
      </c>
      <c r="B52">
        <v>7.3339541624650728E-3</v>
      </c>
      <c r="C52">
        <v>-4.8470946650621904E-2</v>
      </c>
      <c r="D52">
        <v>-1.4329799550588218E-2</v>
      </c>
      <c r="E52">
        <v>4.6754356099854011E-3</v>
      </c>
      <c r="F52">
        <v>3.4118533471703127E-3</v>
      </c>
      <c r="G52">
        <v>-4.1325327564001313E-4</v>
      </c>
      <c r="H52">
        <v>-8.6043220100139317E-3</v>
      </c>
      <c r="I52">
        <v>-6.0885267919185138E-3</v>
      </c>
      <c r="J52">
        <v>1.4310134315653755E-3</v>
      </c>
      <c r="K52">
        <v>8.5069695310904248E-3</v>
      </c>
      <c r="L52">
        <v>-6.3420230138012568E-2</v>
      </c>
      <c r="M52">
        <v>-1.4133835923330174E-2</v>
      </c>
      <c r="N52">
        <v>-5.8527569565663851E-2</v>
      </c>
      <c r="O52">
        <v>-2.5935990429313827E-2</v>
      </c>
      <c r="P52">
        <v>-6.0066705310083401E-3</v>
      </c>
      <c r="Q52">
        <v>-2.4109025855368671E-2</v>
      </c>
      <c r="R52">
        <v>7.0818861482309092E-3</v>
      </c>
      <c r="S52">
        <v>-1.9929319898305486E-2</v>
      </c>
      <c r="T52">
        <v>-5.192468662843619E-3</v>
      </c>
      <c r="V52" s="5"/>
      <c r="W52" s="5" t="s">
        <v>120</v>
      </c>
      <c r="X52" s="5" t="s">
        <v>109</v>
      </c>
      <c r="Y52" s="5" t="s">
        <v>121</v>
      </c>
      <c r="Z52" s="5" t="s">
        <v>122</v>
      </c>
      <c r="AA52" s="5" t="s">
        <v>123</v>
      </c>
      <c r="AB52" s="5" t="s">
        <v>124</v>
      </c>
      <c r="AC52" s="5" t="s">
        <v>125</v>
      </c>
      <c r="AD52" s="5" t="s">
        <v>126</v>
      </c>
      <c r="AH52" s="65"/>
      <c r="AI52" s="65"/>
      <c r="BC52" s="70" t="s">
        <v>154</v>
      </c>
      <c r="BD52" s="76">
        <f t="shared" ref="BD52:BR52" si="18">BD$22*BD35*$BB35</f>
        <v>0</v>
      </c>
      <c r="BE52" s="76">
        <f t="shared" si="18"/>
        <v>7.8926788527364922E-7</v>
      </c>
      <c r="BF52" s="76">
        <f t="shared" si="18"/>
        <v>-5.0742225328862155E-6</v>
      </c>
      <c r="BG52" s="76">
        <f t="shared" si="18"/>
        <v>1.0755677110745558E-5</v>
      </c>
      <c r="BH52" s="76">
        <f t="shared" si="18"/>
        <v>-1.0826824531097295E-6</v>
      </c>
      <c r="BI52" s="76">
        <f t="shared" si="18"/>
        <v>3.2411522327684224E-7</v>
      </c>
      <c r="BJ52" s="76">
        <f t="shared" si="18"/>
        <v>9.9403110730473049E-7</v>
      </c>
      <c r="BK52" s="76">
        <f t="shared" si="18"/>
        <v>5.1385311088136359E-6</v>
      </c>
      <c r="BL52" s="76">
        <f t="shared" si="18"/>
        <v>-2.2311808422946751E-7</v>
      </c>
      <c r="BM52" s="76">
        <f t="shared" si="18"/>
        <v>0</v>
      </c>
      <c r="BN52" s="76">
        <f t="shared" si="18"/>
        <v>1.1702980523540191E-7</v>
      </c>
      <c r="BO52" s="76">
        <f t="shared" si="18"/>
        <v>3.4060231754265315E-6</v>
      </c>
      <c r="BP52" s="76">
        <f t="shared" si="18"/>
        <v>5.9809700777024802E-7</v>
      </c>
      <c r="BQ52" s="76">
        <f t="shared" si="18"/>
        <v>-2.0961849562087157E-6</v>
      </c>
      <c r="BR52" s="76">
        <f t="shared" si="18"/>
        <v>5.7925913266403259E-6</v>
      </c>
      <c r="BS52" s="81">
        <f t="shared" si="7"/>
        <v>1.9439155724052795E-5</v>
      </c>
      <c r="BT52" s="82">
        <f t="shared" si="8"/>
        <v>6.4478904524749456E-2</v>
      </c>
    </row>
    <row r="53" spans="1:72" x14ac:dyDescent="0.2">
      <c r="A53">
        <v>-2.062515875540516E-4</v>
      </c>
      <c r="B53">
        <v>6.8051738959721497E-2</v>
      </c>
      <c r="C53">
        <v>-1.5805877325077988E-2</v>
      </c>
      <c r="D53">
        <v>-1.4906110402959083E-3</v>
      </c>
      <c r="E53">
        <v>-2.9846035133824778E-2</v>
      </c>
      <c r="F53">
        <v>-2.0897383222588939E-3</v>
      </c>
      <c r="G53">
        <v>1.0116731517509692E-2</v>
      </c>
      <c r="H53">
        <v>4.3746803771141929E-2</v>
      </c>
      <c r="I53">
        <v>5.2500067033054876E-2</v>
      </c>
      <c r="J53">
        <v>3.7542386036695241E-3</v>
      </c>
      <c r="K53">
        <v>-6.8327653463211568E-3</v>
      </c>
      <c r="L53">
        <v>3.5635901871284847E-2</v>
      </c>
      <c r="M53">
        <v>1.0000555006381306E-2</v>
      </c>
      <c r="N53">
        <v>-4.2916348565819606E-2</v>
      </c>
      <c r="O53">
        <v>9.7373502364541675E-3</v>
      </c>
      <c r="P53">
        <v>-4.1186373351576044E-3</v>
      </c>
      <c r="Q53">
        <v>-2.4249927979682173E-2</v>
      </c>
      <c r="R53">
        <v>-3.3313263928264614E-2</v>
      </c>
      <c r="S53">
        <v>1.3855987571611772E-2</v>
      </c>
      <c r="T53">
        <v>4.1657065448883035E-2</v>
      </c>
      <c r="V53" t="s">
        <v>127</v>
      </c>
      <c r="W53">
        <v>-1.980861323444133E-3</v>
      </c>
      <c r="X53">
        <v>2.0645775835093677E-3</v>
      </c>
      <c r="Y53">
        <v>-0.95945114354921268</v>
      </c>
      <c r="Z53">
        <v>0.33951490279977181</v>
      </c>
      <c r="AA53">
        <v>-6.0740871872122367E-3</v>
      </c>
      <c r="AB53">
        <v>2.1123645403239707E-3</v>
      </c>
      <c r="AC53">
        <v>-6.0740871872122367E-3</v>
      </c>
      <c r="AD53">
        <v>2.1123645403239707E-3</v>
      </c>
      <c r="AH53" s="65"/>
      <c r="AI53" s="65"/>
      <c r="BC53" s="70" t="s">
        <v>16</v>
      </c>
      <c r="BD53" s="76">
        <f t="shared" ref="BD53:BR53" si="19">BD$22*BD36*$BB36</f>
        <v>0</v>
      </c>
      <c r="BE53" s="76">
        <f t="shared" si="19"/>
        <v>2.7656633819761933E-6</v>
      </c>
      <c r="BF53" s="76">
        <f t="shared" si="19"/>
        <v>8.0294212570098032E-8</v>
      </c>
      <c r="BG53" s="76">
        <f t="shared" si="19"/>
        <v>3.3560625549047344E-6</v>
      </c>
      <c r="BH53" s="76">
        <f t="shared" si="19"/>
        <v>6.5070142681105221E-7</v>
      </c>
      <c r="BI53" s="76">
        <f t="shared" si="19"/>
        <v>-3.5350395980149783E-7</v>
      </c>
      <c r="BJ53" s="76">
        <f t="shared" si="19"/>
        <v>3.3877695362306141E-6</v>
      </c>
      <c r="BK53" s="76">
        <f t="shared" si="19"/>
        <v>1.5630127490283026E-6</v>
      </c>
      <c r="BL53" s="76">
        <f t="shared" si="19"/>
        <v>2.0880161966455815E-6</v>
      </c>
      <c r="BM53" s="76">
        <f t="shared" si="19"/>
        <v>0</v>
      </c>
      <c r="BN53" s="76">
        <f t="shared" si="19"/>
        <v>3.8306001800894213E-7</v>
      </c>
      <c r="BO53" s="76">
        <f t="shared" si="19"/>
        <v>5.9809700777024802E-7</v>
      </c>
      <c r="BP53" s="76">
        <f t="shared" si="19"/>
        <v>1.7028436547098269E-5</v>
      </c>
      <c r="BQ53" s="76">
        <f t="shared" si="19"/>
        <v>-2.8930308951315337E-6</v>
      </c>
      <c r="BR53" s="76">
        <f t="shared" si="19"/>
        <v>6.8475182379050361E-6</v>
      </c>
      <c r="BS53" s="81">
        <f t="shared" si="7"/>
        <v>3.5502097014016036E-5</v>
      </c>
      <c r="BT53" s="82">
        <f t="shared" si="8"/>
        <v>0.11775904037656836</v>
      </c>
    </row>
    <row r="54" spans="1:72" x14ac:dyDescent="0.2">
      <c r="A54">
        <v>-5.882583930907348E-3</v>
      </c>
      <c r="B54">
        <v>5.5040734930792423E-2</v>
      </c>
      <c r="C54">
        <v>-6.8520171049309631E-2</v>
      </c>
      <c r="D54">
        <v>1.1464986713504821E-2</v>
      </c>
      <c r="E54">
        <v>4.7819842674596824E-3</v>
      </c>
      <c r="F54">
        <v>-7.332950003904215E-3</v>
      </c>
      <c r="G54">
        <v>1.2278505392910866E-3</v>
      </c>
      <c r="H54">
        <v>1.1616459330927476E-2</v>
      </c>
      <c r="I54">
        <v>3.6653489461042854E-2</v>
      </c>
      <c r="J54">
        <v>3.8239878086128165E-2</v>
      </c>
      <c r="K54">
        <v>3.298415139598454E-2</v>
      </c>
      <c r="L54">
        <v>2.7339959739513642E-2</v>
      </c>
      <c r="M54">
        <v>1.5184348414409632E-2</v>
      </c>
      <c r="N54">
        <v>1.0198849068429272E-2</v>
      </c>
      <c r="O54">
        <v>1.8462281598387476E-2</v>
      </c>
      <c r="P54">
        <v>5.7464236497848376E-3</v>
      </c>
      <c r="Q54">
        <v>1.0866501792561989E-2</v>
      </c>
      <c r="R54">
        <v>7.1172010110416295E-3</v>
      </c>
      <c r="S54">
        <v>1.2715857948602638E-2</v>
      </c>
      <c r="T54">
        <v>4.2835093270232605E-3</v>
      </c>
      <c r="V54" t="s">
        <v>223</v>
      </c>
      <c r="W54">
        <v>0</v>
      </c>
      <c r="X54">
        <v>0</v>
      </c>
      <c r="Y54">
        <v>65535</v>
      </c>
      <c r="Z54" t="e">
        <v>#NUM!</v>
      </c>
      <c r="AA54">
        <v>0</v>
      </c>
      <c r="AB54">
        <v>0</v>
      </c>
      <c r="AC54">
        <v>0</v>
      </c>
      <c r="AD54">
        <v>0</v>
      </c>
      <c r="AH54" s="65"/>
      <c r="AI54" s="65"/>
      <c r="BC54" s="70" t="s">
        <v>157</v>
      </c>
      <c r="BD54" s="76">
        <f t="shared" ref="BD54:BR54" si="20">BD$22*BD37*$BB37</f>
        <v>0</v>
      </c>
      <c r="BE54" s="76">
        <f t="shared" si="20"/>
        <v>-2.5908655740238227E-6</v>
      </c>
      <c r="BF54" s="76">
        <f t="shared" si="20"/>
        <v>1.706597827893607E-5</v>
      </c>
      <c r="BG54" s="76">
        <f t="shared" si="20"/>
        <v>-1.917178915685775E-5</v>
      </c>
      <c r="BH54" s="76">
        <f t="shared" si="20"/>
        <v>-7.9333627738958389E-7</v>
      </c>
      <c r="BI54" s="76">
        <f t="shared" si="20"/>
        <v>-6.5756674014596401E-7</v>
      </c>
      <c r="BJ54" s="76">
        <f t="shared" si="20"/>
        <v>-6.7524063259789616E-6</v>
      </c>
      <c r="BK54" s="76">
        <f t="shared" si="20"/>
        <v>-2.04068176191217E-5</v>
      </c>
      <c r="BL54" s="76">
        <f t="shared" si="20"/>
        <v>-8.8371813688132406E-7</v>
      </c>
      <c r="BM54" s="76">
        <f t="shared" si="20"/>
        <v>0</v>
      </c>
      <c r="BN54" s="76">
        <f t="shared" si="20"/>
        <v>-1.9062411254800132E-7</v>
      </c>
      <c r="BO54" s="76">
        <f t="shared" si="20"/>
        <v>-2.0961849562087157E-6</v>
      </c>
      <c r="BP54" s="76">
        <f t="shared" si="20"/>
        <v>-2.8930308951315337E-6</v>
      </c>
      <c r="BQ54" s="76">
        <f t="shared" si="20"/>
        <v>1.2442154242644482E-5</v>
      </c>
      <c r="BR54" s="76">
        <f t="shared" si="20"/>
        <v>-1.9152761208851078E-5</v>
      </c>
      <c r="BS54" s="81">
        <f t="shared" si="7"/>
        <v>-4.6080968481557882E-5</v>
      </c>
      <c r="BT54" s="82">
        <f t="shared" si="8"/>
        <v>-0.15284873526960435</v>
      </c>
    </row>
    <row r="55" spans="1:72" x14ac:dyDescent="0.2">
      <c r="A55">
        <v>-2.3100761752820054E-3</v>
      </c>
      <c r="B55">
        <v>-9.4229479183864817E-2</v>
      </c>
      <c r="C55">
        <v>4.6194190970294091E-2</v>
      </c>
      <c r="D55">
        <v>1.0182424592799721E-2</v>
      </c>
      <c r="E55">
        <v>1.4255091386199181E-2</v>
      </c>
      <c r="F55">
        <v>-8.0807791873460655E-4</v>
      </c>
      <c r="G55">
        <v>-1.9260826700651656E-2</v>
      </c>
      <c r="H55">
        <v>-2.5986501422890051E-2</v>
      </c>
      <c r="I55">
        <v>-7.2021968817796989E-2</v>
      </c>
      <c r="J55">
        <v>2.369976574593613E-2</v>
      </c>
      <c r="K55">
        <v>7.3160254268300751E-3</v>
      </c>
      <c r="L55">
        <v>9.0990040622232149E-2</v>
      </c>
      <c r="M55">
        <v>-1.5989686471403308E-2</v>
      </c>
      <c r="N55">
        <v>4.3880428652002257E-2</v>
      </c>
      <c r="O55">
        <v>-8.081337807452682E-3</v>
      </c>
      <c r="P55">
        <v>-1.8010987760349595E-3</v>
      </c>
      <c r="Q55">
        <v>5.9907207281899244E-2</v>
      </c>
      <c r="R55">
        <v>1.5442717245768511E-2</v>
      </c>
      <c r="S55">
        <v>-6.2802390314177226E-3</v>
      </c>
      <c r="T55">
        <v>-2.6794579341624658E-2</v>
      </c>
      <c r="V55" t="s">
        <v>224</v>
      </c>
      <c r="W55">
        <v>0.1028291518037216</v>
      </c>
      <c r="X55">
        <v>0.14620164633520802</v>
      </c>
      <c r="Y55">
        <v>0.70333785139434823</v>
      </c>
      <c r="Z55" t="e">
        <v>#NUM!</v>
      </c>
      <c r="AA55">
        <v>-0.18702983188606975</v>
      </c>
      <c r="AB55">
        <v>0.39268813549351295</v>
      </c>
      <c r="AC55">
        <v>-0.18702983188606975</v>
      </c>
      <c r="AD55">
        <v>0.39268813549351295</v>
      </c>
      <c r="AH55" s="65"/>
      <c r="AI55" s="65"/>
      <c r="BC55" s="70" t="s">
        <v>17</v>
      </c>
      <c r="BD55" s="76">
        <f t="shared" ref="BD55:BR55" si="21">BD$22*BD38*$BB38</f>
        <v>0</v>
      </c>
      <c r="BE55" s="76">
        <f t="shared" si="21"/>
        <v>5.439304406704644E-6</v>
      </c>
      <c r="BF55" s="76">
        <f t="shared" si="21"/>
        <v>-3.4569130498812068E-5</v>
      </c>
      <c r="BG55" s="76">
        <f t="shared" si="21"/>
        <v>3.5562802027687606E-5</v>
      </c>
      <c r="BH55" s="76">
        <f t="shared" si="21"/>
        <v>2.2070875073586365E-7</v>
      </c>
      <c r="BI55" s="76">
        <f t="shared" si="21"/>
        <v>1.5096948839154413E-6</v>
      </c>
      <c r="BJ55" s="76">
        <f t="shared" si="21"/>
        <v>9.8042806603130727E-6</v>
      </c>
      <c r="BK55" s="76">
        <f t="shared" si="21"/>
        <v>3.1622833147527202E-5</v>
      </c>
      <c r="BL55" s="76">
        <f t="shared" si="21"/>
        <v>1.1714388234506103E-6</v>
      </c>
      <c r="BM55" s="76">
        <f t="shared" si="21"/>
        <v>0</v>
      </c>
      <c r="BN55" s="76">
        <f t="shared" si="21"/>
        <v>8.9934714575218319E-7</v>
      </c>
      <c r="BO55" s="76">
        <f t="shared" si="21"/>
        <v>5.7925913266403259E-6</v>
      </c>
      <c r="BP55" s="76">
        <f t="shared" si="21"/>
        <v>6.847518237905037E-6</v>
      </c>
      <c r="BQ55" s="76">
        <f t="shared" si="21"/>
        <v>-1.9152761208851081E-5</v>
      </c>
      <c r="BR55" s="76">
        <f t="shared" si="21"/>
        <v>4.051541502813471E-5</v>
      </c>
      <c r="BS55" s="81">
        <f t="shared" si="7"/>
        <v>8.5664042731103539E-5</v>
      </c>
      <c r="BT55" s="82">
        <f t="shared" si="8"/>
        <v>0.28414421443357341</v>
      </c>
    </row>
    <row r="56" spans="1:72" x14ac:dyDescent="0.2">
      <c r="A56">
        <v>-3.078397299605018E-3</v>
      </c>
      <c r="B56">
        <v>-1.4161846242371712E-2</v>
      </c>
      <c r="C56">
        <v>-6.04705983538667E-2</v>
      </c>
      <c r="D56">
        <v>-2.7922462738658171E-2</v>
      </c>
      <c r="E56">
        <v>-1.0025302209385467E-2</v>
      </c>
      <c r="F56">
        <v>-8.1588835212031974E-4</v>
      </c>
      <c r="G56">
        <v>1.1131270534006754E-2</v>
      </c>
      <c r="H56">
        <v>-1.5211038668520693E-2</v>
      </c>
      <c r="I56">
        <v>-1.9012315578744277E-2</v>
      </c>
      <c r="J56">
        <v>-1.5401811486000061E-2</v>
      </c>
      <c r="K56">
        <v>4.5412567982267005E-2</v>
      </c>
      <c r="L56">
        <v>-0.1185424145646562</v>
      </c>
      <c r="M56">
        <v>-1.4316305322182088E-2</v>
      </c>
      <c r="N56">
        <v>-1.2210935811540868E-2</v>
      </c>
      <c r="O56">
        <v>-2.6122942477532662E-2</v>
      </c>
      <c r="P56">
        <v>-1.7971957154108709E-2</v>
      </c>
      <c r="Q56">
        <v>-2.0039248375930852E-2</v>
      </c>
      <c r="R56">
        <v>-9.2004044393724227E-3</v>
      </c>
      <c r="S56">
        <v>-8.1509853234239538E-3</v>
      </c>
      <c r="T56">
        <v>-1.6026927020641013E-2</v>
      </c>
      <c r="V56" t="s">
        <v>225</v>
      </c>
      <c r="W56">
        <v>-0.21187777989614223</v>
      </c>
      <c r="X56">
        <v>0.3581016240645426</v>
      </c>
      <c r="Y56">
        <v>-0.59166941911984838</v>
      </c>
      <c r="Z56">
        <v>0.55533176013250407</v>
      </c>
      <c r="AA56">
        <v>-0.92184907920028258</v>
      </c>
      <c r="AB56">
        <v>0.49809351940799812</v>
      </c>
      <c r="AC56">
        <v>-0.92184907920028258</v>
      </c>
      <c r="AD56">
        <v>0.49809351940799812</v>
      </c>
      <c r="AH56" s="65"/>
      <c r="AI56" s="65"/>
      <c r="BC56" s="65"/>
      <c r="BD56" s="65"/>
      <c r="BE56" s="65"/>
      <c r="BF56" s="65"/>
      <c r="BG56" s="65"/>
      <c r="BH56" s="65"/>
      <c r="BI56" s="65"/>
      <c r="BJ56" s="65"/>
      <c r="BT56" s="39"/>
    </row>
    <row r="57" spans="1:72" x14ac:dyDescent="0.2">
      <c r="A57">
        <v>1.1143114197958992E-2</v>
      </c>
      <c r="B57">
        <v>2.0024276736701596E-2</v>
      </c>
      <c r="C57">
        <v>-6.4220796509821154E-2</v>
      </c>
      <c r="D57">
        <v>-1.3153990600262344E-2</v>
      </c>
      <c r="E57">
        <v>1.0665335101434303E-2</v>
      </c>
      <c r="F57">
        <v>9.4906561803869138E-3</v>
      </c>
      <c r="G57">
        <v>8.0746847720660764E-3</v>
      </c>
      <c r="H57">
        <v>-6.2633825818201316E-3</v>
      </c>
      <c r="I57">
        <v>1.0767427405425245E-2</v>
      </c>
      <c r="J57">
        <v>-6.2204602678361809E-3</v>
      </c>
      <c r="K57">
        <v>2.1679028818660129E-2</v>
      </c>
      <c r="L57">
        <v>-7.2841922156990702E-2</v>
      </c>
      <c r="M57">
        <v>-5.0456983866700167E-3</v>
      </c>
      <c r="N57">
        <v>-9.0744995077125079E-2</v>
      </c>
      <c r="O57">
        <v>-1.3897780726167874E-2</v>
      </c>
      <c r="P57">
        <v>-1.2457661602195635E-2</v>
      </c>
      <c r="Q57">
        <v>-3.6208466341929091E-2</v>
      </c>
      <c r="R57">
        <v>1.3194722111155466E-2</v>
      </c>
      <c r="S57">
        <v>-1.4401191239722388E-3</v>
      </c>
      <c r="T57">
        <v>3.2272735985667822E-3</v>
      </c>
      <c r="V57" t="s">
        <v>226</v>
      </c>
      <c r="W57">
        <v>0.71889193469151891</v>
      </c>
      <c r="X57">
        <v>0.24765917636407303</v>
      </c>
      <c r="Y57">
        <v>2.9027470140444422</v>
      </c>
      <c r="Z57">
        <v>4.5006769471059253E-3</v>
      </c>
      <c r="AA57">
        <v>0.22788352978100887</v>
      </c>
      <c r="AB57">
        <v>1.2099003396020289</v>
      </c>
      <c r="AC57">
        <v>0.22788352978100887</v>
      </c>
      <c r="AD57">
        <v>1.2099003396020289</v>
      </c>
      <c r="AH57" s="65"/>
      <c r="AI57" s="65"/>
      <c r="BC57" s="65"/>
      <c r="BD57" s="65"/>
      <c r="BE57" s="65"/>
      <c r="BF57" s="65"/>
      <c r="BG57" s="65"/>
      <c r="BH57" s="65"/>
      <c r="BI57" s="65"/>
      <c r="BJ57" s="65"/>
    </row>
    <row r="58" spans="1:72" x14ac:dyDescent="0.2">
      <c r="A58">
        <v>5.5794493136238632E-3</v>
      </c>
      <c r="B58">
        <v>-0.1291928184563631</v>
      </c>
      <c r="C58">
        <v>-0.13487168080226597</v>
      </c>
      <c r="D58">
        <v>-1.4086686970596562E-2</v>
      </c>
      <c r="E58">
        <v>-4.3280590801458407E-2</v>
      </c>
      <c r="F58">
        <v>-1.3431628540614082E-2</v>
      </c>
      <c r="G58">
        <v>-6.8433839270680585E-2</v>
      </c>
      <c r="H58">
        <v>-6.9542294139341654E-2</v>
      </c>
      <c r="I58">
        <v>-0.11580462484802945</v>
      </c>
      <c r="J58">
        <v>-4.2334276305783791E-2</v>
      </c>
      <c r="K58">
        <v>9.4270843044443886E-3</v>
      </c>
      <c r="L58">
        <v>-0.11527921242911654</v>
      </c>
      <c r="M58">
        <v>-6.0063508319736503E-2</v>
      </c>
      <c r="N58">
        <v>4.7885459904950967E-2</v>
      </c>
      <c r="O58">
        <v>-6.5295530508631461E-2</v>
      </c>
      <c r="P58">
        <v>-6.3147057827476205E-3</v>
      </c>
      <c r="Q58">
        <v>7.7036919078825594E-3</v>
      </c>
      <c r="R58">
        <v>-4.6319311100378124E-2</v>
      </c>
      <c r="S58">
        <v>-5.898082472588384E-2</v>
      </c>
      <c r="T58">
        <v>-8.2973922679955736E-2</v>
      </c>
      <c r="V58" t="s">
        <v>227</v>
      </c>
      <c r="W58">
        <v>0.74374856003199374</v>
      </c>
      <c r="X58">
        <v>0.17978597271592706</v>
      </c>
      <c r="Y58">
        <v>4.1368553330195699</v>
      </c>
      <c r="Z58">
        <v>7.0734311559290442E-5</v>
      </c>
      <c r="AA58">
        <v>0.38730538282155003</v>
      </c>
      <c r="AB58">
        <v>1.1001917372424375</v>
      </c>
      <c r="AC58">
        <v>0.38730538282155003</v>
      </c>
      <c r="AD58">
        <v>1.1001917372424375</v>
      </c>
      <c r="AH58" s="65"/>
      <c r="AI58" s="65"/>
      <c r="BC58" s="65"/>
      <c r="BD58" s="65"/>
      <c r="BE58" s="65"/>
      <c r="BF58" s="65"/>
      <c r="BG58" s="65"/>
      <c r="BJ58" s="65"/>
      <c r="BR58" s="71" t="s">
        <v>203</v>
      </c>
      <c r="BS58" s="85">
        <f>SQRT(SUM(BS41:BS55))</f>
        <v>1.7363204258153388E-2</v>
      </c>
    </row>
    <row r="59" spans="1:72" x14ac:dyDescent="0.2">
      <c r="A59">
        <v>-1.3771356405024804E-2</v>
      </c>
      <c r="B59">
        <v>-0.17914501003464267</v>
      </c>
      <c r="C59">
        <v>-0.27005163281952838</v>
      </c>
      <c r="D59">
        <v>1.5112046362782072E-2</v>
      </c>
      <c r="E59">
        <v>-9.5495321550930656E-2</v>
      </c>
      <c r="F59">
        <v>-2.3604208769948953E-2</v>
      </c>
      <c r="G59">
        <v>-0.1489103491014252</v>
      </c>
      <c r="H59">
        <v>-0.13937960384583081</v>
      </c>
      <c r="I59">
        <v>-0.17605926158179841</v>
      </c>
      <c r="J59">
        <v>-2.9459230305323159E-3</v>
      </c>
      <c r="K59">
        <v>-4.0081752802784587E-2</v>
      </c>
      <c r="L59">
        <v>-0.21283224323004146</v>
      </c>
      <c r="M59">
        <v>-8.1909506896957196E-2</v>
      </c>
      <c r="N59">
        <v>-0.16889603306734025</v>
      </c>
      <c r="O59">
        <v>-5.7196273130460606E-2</v>
      </c>
      <c r="P59">
        <v>2.3115465795631951E-2</v>
      </c>
      <c r="Q59">
        <v>7.3364066075285894E-2</v>
      </c>
      <c r="R59">
        <v>-7.6398581963264323E-2</v>
      </c>
      <c r="S59">
        <v>-8.0311738926092557E-2</v>
      </c>
      <c r="T59">
        <v>-0.16298381261577977</v>
      </c>
      <c r="V59" t="s">
        <v>228</v>
      </c>
      <c r="W59">
        <v>0.18151058218517876</v>
      </c>
      <c r="X59">
        <v>9.1101081955448304E-2</v>
      </c>
      <c r="Y59">
        <v>1.9924086332360349</v>
      </c>
      <c r="Z59">
        <v>4.8897106052275568E-2</v>
      </c>
      <c r="AA59">
        <v>8.938265564326258E-4</v>
      </c>
      <c r="AB59">
        <v>0.36212733781392492</v>
      </c>
      <c r="AC59">
        <v>8.938265564326258E-4</v>
      </c>
      <c r="AD59">
        <v>0.36212733781392492</v>
      </c>
      <c r="AH59" s="65"/>
      <c r="AI59" s="65"/>
      <c r="BC59" s="65"/>
      <c r="BD59" s="65"/>
      <c r="BE59" s="65"/>
      <c r="BF59" s="65"/>
      <c r="BG59" s="65"/>
      <c r="BJ59" s="65"/>
      <c r="BR59" s="71" t="s">
        <v>204</v>
      </c>
      <c r="BS59" s="85">
        <f>SQRT(SUM(BI14:BI18))</f>
        <v>1.8273457301324667E-2</v>
      </c>
    </row>
    <row r="60" spans="1:72" x14ac:dyDescent="0.2">
      <c r="A60">
        <v>3.8656080754520872E-2</v>
      </c>
      <c r="B60">
        <v>-0.11346512212976811</v>
      </c>
      <c r="C60">
        <v>-0.10561752095588972</v>
      </c>
      <c r="D60">
        <v>6.7004776575583236E-3</v>
      </c>
      <c r="E60">
        <v>1.4529970279181459E-2</v>
      </c>
      <c r="F60">
        <v>3.254984863105026E-2</v>
      </c>
      <c r="G60">
        <v>2.4786869330420735E-2</v>
      </c>
      <c r="H60">
        <v>-0.11687285675965975</v>
      </c>
      <c r="I60">
        <v>-7.9529317520706244E-2</v>
      </c>
      <c r="J60">
        <v>-7.8204886478645541E-3</v>
      </c>
      <c r="K60">
        <v>-4.6531929123046267E-2</v>
      </c>
      <c r="L60">
        <v>-6.9582655416398742E-2</v>
      </c>
      <c r="M60">
        <v>-3.656644757432348E-2</v>
      </c>
      <c r="N60">
        <v>0.13013745941838772</v>
      </c>
      <c r="O60">
        <v>-2.6423082314796176E-2</v>
      </c>
      <c r="P60">
        <v>1.6013293299830256E-3</v>
      </c>
      <c r="Q60">
        <v>3.4038239747914645E-2</v>
      </c>
      <c r="R60">
        <v>4.687583587439148E-2</v>
      </c>
      <c r="S60">
        <v>-2.8024411644779201E-2</v>
      </c>
      <c r="T60">
        <v>-8.4323008128609489E-2</v>
      </c>
      <c r="V60" t="s">
        <v>229</v>
      </c>
      <c r="W60">
        <v>-1.2102493655943104E-2</v>
      </c>
      <c r="X60">
        <v>4.8798822253958749E-2</v>
      </c>
      <c r="Y60">
        <v>-0.24800790463670061</v>
      </c>
      <c r="Z60">
        <v>0.80460809557852053</v>
      </c>
      <c r="AA60">
        <v>-0.10885090503402303</v>
      </c>
      <c r="AB60">
        <v>8.4645917722136824E-2</v>
      </c>
      <c r="AC60">
        <v>-0.10885090503402303</v>
      </c>
      <c r="AD60">
        <v>8.4645917722136824E-2</v>
      </c>
      <c r="AH60" s="65"/>
      <c r="AI60" s="65"/>
      <c r="BC60" s="65"/>
      <c r="BD60" s="65"/>
      <c r="BE60" s="65"/>
      <c r="BF60" s="65"/>
      <c r="BG60" s="65"/>
      <c r="BJ60" s="65"/>
      <c r="BR60" s="71" t="s">
        <v>205</v>
      </c>
      <c r="BS60" s="85">
        <f>AX6*Asset_Stats!B2+Project_Page_4_MVO!AX7*Asset_Stats!C2+Project_Page_4_MVO!AX8*Asset_Stats!D2+Project_Page_4_MVO!AX9*Asset_Stats!E2+Project_Page_4_MVO!AX10*Asset_Stats!F2</f>
        <v>5.0000000002676714E-3</v>
      </c>
    </row>
    <row r="61" spans="1:72" x14ac:dyDescent="0.2">
      <c r="A61">
        <v>1.6644461271256628E-2</v>
      </c>
      <c r="B61">
        <v>1.7265384758862856E-2</v>
      </c>
      <c r="C61">
        <v>-9.9769986808883271E-2</v>
      </c>
      <c r="D61">
        <v>1.1075280778467311E-2</v>
      </c>
      <c r="E61">
        <v>6.1892992693730831E-2</v>
      </c>
      <c r="F61">
        <v>3.7309173919246597E-2</v>
      </c>
      <c r="G61">
        <v>7.7683699449345722E-2</v>
      </c>
      <c r="H61">
        <v>3.7434915801340285E-2</v>
      </c>
      <c r="I61">
        <v>1.8073274640504344E-2</v>
      </c>
      <c r="J61">
        <v>4.1926088948296414E-3</v>
      </c>
      <c r="K61">
        <v>4.7400774822171865E-2</v>
      </c>
      <c r="L61">
        <v>-4.483936559577073E-2</v>
      </c>
      <c r="M61">
        <v>-1.4988431307215277E-2</v>
      </c>
      <c r="N61">
        <v>7.8234826722082929E-2</v>
      </c>
      <c r="O61">
        <v>-1.7190822580770204E-2</v>
      </c>
      <c r="P61">
        <v>-1.4831622188643534E-2</v>
      </c>
      <c r="Q61">
        <v>-8.4460169364399817E-3</v>
      </c>
      <c r="R61">
        <v>3.4186287159702067E-2</v>
      </c>
      <c r="S61">
        <v>-2.3592003921266702E-3</v>
      </c>
      <c r="T61">
        <v>7.4744089720586881E-2</v>
      </c>
      <c r="V61" t="s">
        <v>230</v>
      </c>
      <c r="W61">
        <v>0.24791131957159576</v>
      </c>
      <c r="X61">
        <v>0.36312961332601201</v>
      </c>
      <c r="Y61">
        <v>0.68270752500987819</v>
      </c>
      <c r="Z61">
        <v>0.49628100877134085</v>
      </c>
      <c r="AA61">
        <v>-0.47202845747452021</v>
      </c>
      <c r="AB61">
        <v>0.96785109661771174</v>
      </c>
      <c r="AC61">
        <v>-0.47202845747452021</v>
      </c>
      <c r="AD61">
        <v>0.96785109661771174</v>
      </c>
      <c r="AH61" s="65"/>
      <c r="AI61" s="65"/>
      <c r="BC61" s="65"/>
      <c r="BD61" s="65"/>
      <c r="BE61" s="65"/>
      <c r="BF61" s="65"/>
      <c r="BG61" s="65"/>
      <c r="BJ61" s="65"/>
      <c r="BR61" s="71" t="s">
        <v>206</v>
      </c>
      <c r="BS61" s="86">
        <f>(BS59^2-BS58^2)/BS59^2</f>
        <v>9.7144385761133531E-2</v>
      </c>
    </row>
    <row r="62" spans="1:72" x14ac:dyDescent="0.2">
      <c r="A62">
        <v>1.9444739209383277E-3</v>
      </c>
      <c r="B62">
        <v>-3.0588899599946595E-2</v>
      </c>
      <c r="C62">
        <v>-5.6047349955689607E-2</v>
      </c>
      <c r="D62">
        <v>-9.4248079123571138E-4</v>
      </c>
      <c r="E62">
        <v>1.1490048625345417E-2</v>
      </c>
      <c r="F62">
        <v>-8.8233271439377425E-3</v>
      </c>
      <c r="G62">
        <v>8.5160156035384293E-3</v>
      </c>
      <c r="H62">
        <v>6.1902581555519864E-2</v>
      </c>
      <c r="I62">
        <v>-4.8104662647895147E-2</v>
      </c>
      <c r="J62">
        <v>6.6884874725580135E-2</v>
      </c>
      <c r="K62">
        <v>-2.6935101076665857E-2</v>
      </c>
      <c r="L62">
        <v>-5.3752224597018006E-2</v>
      </c>
      <c r="M62">
        <v>3.6957216704314177E-3</v>
      </c>
      <c r="N62">
        <v>5.192449407629951E-2</v>
      </c>
      <c r="O62">
        <v>1.1136160111223647E-2</v>
      </c>
      <c r="P62">
        <v>-9.4108660552010281E-3</v>
      </c>
      <c r="Q62">
        <v>7.5474662323863018E-2</v>
      </c>
      <c r="R62">
        <v>1.0796388027620951E-2</v>
      </c>
      <c r="S62">
        <v>2.0547026166424676E-2</v>
      </c>
      <c r="T62">
        <v>5.3079254411582122E-2</v>
      </c>
      <c r="V62" t="s">
        <v>231</v>
      </c>
      <c r="W62">
        <v>-7.966876999678291E-3</v>
      </c>
      <c r="X62">
        <v>3.8625530909536132E-2</v>
      </c>
      <c r="Y62">
        <v>-0.20625935261154882</v>
      </c>
      <c r="Z62">
        <v>0.83698397617844755</v>
      </c>
      <c r="AA62">
        <v>-8.4545748815163274E-2</v>
      </c>
      <c r="AB62">
        <v>6.8611994815806696E-2</v>
      </c>
      <c r="AC62">
        <v>-8.4545748815163274E-2</v>
      </c>
      <c r="AD62">
        <v>6.8611994815806696E-2</v>
      </c>
      <c r="AH62" s="65"/>
      <c r="AI62" s="65"/>
      <c r="BC62" s="65"/>
      <c r="BD62" s="65"/>
      <c r="BE62" s="65"/>
      <c r="BF62" s="65"/>
      <c r="BG62" s="65"/>
      <c r="BJ62" s="65"/>
      <c r="BR62" s="65"/>
      <c r="BS62" s="65"/>
    </row>
    <row r="63" spans="1:72" x14ac:dyDescent="0.2">
      <c r="A63">
        <v>5.5533058396206592E-3</v>
      </c>
      <c r="B63">
        <v>-4.1575047738343973E-2</v>
      </c>
      <c r="C63">
        <v>-1.6602641075741387E-3</v>
      </c>
      <c r="D63">
        <v>-1.4340593447443872E-3</v>
      </c>
      <c r="E63">
        <v>-3.5446727201330464E-2</v>
      </c>
      <c r="F63">
        <v>-3.7744489235188583E-3</v>
      </c>
      <c r="G63">
        <v>-1.1930703857049418E-2</v>
      </c>
      <c r="H63">
        <v>-3.0892258503532832E-2</v>
      </c>
      <c r="I63">
        <v>-7.5228636117543712E-2</v>
      </c>
      <c r="J63">
        <v>5.8381002966660822E-2</v>
      </c>
      <c r="K63">
        <v>-1.5045586396964739E-2</v>
      </c>
      <c r="L63">
        <v>-4.4333157854478555E-2</v>
      </c>
      <c r="M63">
        <v>-1.4119806964453585E-2</v>
      </c>
      <c r="N63">
        <v>1.559519318855429E-2</v>
      </c>
      <c r="O63">
        <v>-2.1065470394521224E-3</v>
      </c>
      <c r="P63">
        <v>-7.2900244780822465E-3</v>
      </c>
      <c r="Q63">
        <v>8.4438320359566887E-2</v>
      </c>
      <c r="R63">
        <v>-3.9271878475319877E-2</v>
      </c>
      <c r="S63">
        <v>5.1834774386301241E-3</v>
      </c>
      <c r="T63">
        <v>-3.4666707427051691E-2</v>
      </c>
      <c r="V63" t="s">
        <v>232</v>
      </c>
      <c r="W63">
        <v>0</v>
      </c>
      <c r="X63">
        <v>0</v>
      </c>
      <c r="Y63">
        <v>65535</v>
      </c>
      <c r="Z63" t="e">
        <v>#NUM!</v>
      </c>
      <c r="AA63">
        <v>0</v>
      </c>
      <c r="AB63">
        <v>0</v>
      </c>
      <c r="AC63">
        <v>0</v>
      </c>
      <c r="AD63">
        <v>0</v>
      </c>
      <c r="AH63" s="65"/>
      <c r="AI63" s="65"/>
      <c r="BC63" s="65"/>
      <c r="BD63" s="65"/>
      <c r="BE63" s="65"/>
      <c r="BF63" s="65"/>
      <c r="BG63" s="65"/>
      <c r="BJ63" s="65"/>
      <c r="BR63" s="71" t="s">
        <v>188</v>
      </c>
      <c r="BS63" s="88">
        <f>(BS60-AVERAGE(Factors!AB4:AB123))/BS59</f>
        <v>0.201564834825774</v>
      </c>
    </row>
    <row r="64" spans="1:72" x14ac:dyDescent="0.2">
      <c r="A64">
        <v>1.3967156271081471E-2</v>
      </c>
      <c r="B64">
        <v>0.12110165773345094</v>
      </c>
      <c r="C64">
        <v>0.11016141023961445</v>
      </c>
      <c r="D64">
        <v>-6.3546821775313234E-3</v>
      </c>
      <c r="E64">
        <v>7.1883267505939319E-2</v>
      </c>
      <c r="F64">
        <v>1.3901367153493105E-2</v>
      </c>
      <c r="G64">
        <v>3.7382146992336107E-2</v>
      </c>
      <c r="H64">
        <v>1.9135266073148971E-2</v>
      </c>
      <c r="I64">
        <v>8.9196058338934403E-2</v>
      </c>
      <c r="J64">
        <v>3.6943077386530909E-3</v>
      </c>
      <c r="K64">
        <v>1.6715636533926048E-3</v>
      </c>
      <c r="L64">
        <v>3.6031752010395879E-2</v>
      </c>
      <c r="M64">
        <v>1.2767254166768272E-2</v>
      </c>
      <c r="N64">
        <v>-2.4376008150097661E-2</v>
      </c>
      <c r="O64">
        <v>3.4840468824759441E-4</v>
      </c>
      <c r="P64">
        <v>-9.6086353601596564E-3</v>
      </c>
      <c r="Q64">
        <v>-5.8595774984524507E-2</v>
      </c>
      <c r="R64">
        <v>6.6101878176140216E-2</v>
      </c>
      <c r="S64">
        <v>9.9570400484072508E-3</v>
      </c>
      <c r="T64">
        <v>3.3036633226642076E-2</v>
      </c>
      <c r="V64" t="s">
        <v>233</v>
      </c>
      <c r="W64">
        <v>0.49411437033417188</v>
      </c>
      <c r="X64">
        <v>0.38937168009669326</v>
      </c>
      <c r="Y64">
        <v>1.269004387302815</v>
      </c>
      <c r="Z64" t="e">
        <v>#NUM!</v>
      </c>
      <c r="AA64">
        <v>-0.27785285643456409</v>
      </c>
      <c r="AB64">
        <v>1.2660815971029078</v>
      </c>
      <c r="AC64">
        <v>-0.27785285643456409</v>
      </c>
      <c r="AD64">
        <v>1.2660815971029078</v>
      </c>
      <c r="AH64" s="65"/>
      <c r="AI64" s="65"/>
    </row>
    <row r="65" spans="1:42" x14ac:dyDescent="0.2">
      <c r="A65">
        <v>2.5822725637949517E-3</v>
      </c>
      <c r="B65">
        <v>0.1204501796569708</v>
      </c>
      <c r="C65">
        <v>9.5866538039106164E-2</v>
      </c>
      <c r="D65">
        <v>-1.1532240322855714E-3</v>
      </c>
      <c r="E65">
        <v>-8.6874457556627149E-3</v>
      </c>
      <c r="F65">
        <v>4.7809093344506337E-3</v>
      </c>
      <c r="G65">
        <v>5.3866595801222328E-2</v>
      </c>
      <c r="H65">
        <v>0.10987892556449608</v>
      </c>
      <c r="I65">
        <v>9.6005988740762493E-2</v>
      </c>
      <c r="J65">
        <v>-1.118567778379731E-2</v>
      </c>
      <c r="K65">
        <v>5.8873252998913994E-2</v>
      </c>
      <c r="L65">
        <v>7.3301855495822021E-3</v>
      </c>
      <c r="M65">
        <v>3.1902162062693806E-2</v>
      </c>
      <c r="N65">
        <v>-3.3882634470005946E-2</v>
      </c>
      <c r="O65">
        <v>7.9822961908986301E-3</v>
      </c>
      <c r="P65">
        <v>-2.3014830486682403E-2</v>
      </c>
      <c r="Q65">
        <v>-4.1266514243392338E-2</v>
      </c>
      <c r="R65">
        <v>-1.305333492423344E-2</v>
      </c>
      <c r="S65">
        <v>3.0997126677581033E-2</v>
      </c>
      <c r="T65">
        <v>0.11465983489894671</v>
      </c>
      <c r="V65" t="s">
        <v>234</v>
      </c>
      <c r="W65">
        <v>-0.48862122860563534</v>
      </c>
      <c r="X65">
        <v>0.28902340792310505</v>
      </c>
      <c r="Y65">
        <v>-1.6905939630178102</v>
      </c>
      <c r="Z65">
        <v>9.385298843779033E-2</v>
      </c>
      <c r="AA65">
        <v>-1.0616382457401163</v>
      </c>
      <c r="AB65">
        <v>8.4395788528845619E-2</v>
      </c>
      <c r="AC65">
        <v>-1.0616382457401163</v>
      </c>
      <c r="AD65">
        <v>8.4395788528845619E-2</v>
      </c>
      <c r="AH65" s="65"/>
      <c r="AI65" s="65"/>
    </row>
    <row r="66" spans="1:42" x14ac:dyDescent="0.2">
      <c r="A66">
        <v>2.8715477967204972E-3</v>
      </c>
      <c r="B66">
        <v>2.5538925869142748E-2</v>
      </c>
      <c r="C66">
        <v>5.675510545259943E-2</v>
      </c>
      <c r="D66">
        <v>3.5300189726129139E-2</v>
      </c>
      <c r="E66">
        <v>6.9454534184050232E-3</v>
      </c>
      <c r="F66">
        <v>7.253460946846646E-3</v>
      </c>
      <c r="G66">
        <v>3.7849559976800951E-2</v>
      </c>
      <c r="H66">
        <v>6.3876517405155431E-2</v>
      </c>
      <c r="I66">
        <v>4.9571774959488168E-2</v>
      </c>
      <c r="J66">
        <v>-1.2264569074484033E-2</v>
      </c>
      <c r="K66">
        <v>-2.5784146072919789E-2</v>
      </c>
      <c r="L66">
        <v>0.13004484304932729</v>
      </c>
      <c r="M66">
        <v>4.7429671110515326E-2</v>
      </c>
      <c r="N66">
        <v>0.10242062598513835</v>
      </c>
      <c r="O66">
        <v>2.8634142135389284E-2</v>
      </c>
      <c r="P66">
        <v>-1.0694938737042081E-2</v>
      </c>
      <c r="Q66">
        <v>7.8112778279793016E-3</v>
      </c>
      <c r="R66">
        <v>3.2823153924270709E-3</v>
      </c>
      <c r="S66">
        <v>3.9329080872431366E-2</v>
      </c>
      <c r="T66">
        <v>7.1129978352002077E-2</v>
      </c>
      <c r="V66" t="s">
        <v>235</v>
      </c>
      <c r="W66">
        <v>-0.26910726831812554</v>
      </c>
      <c r="X66">
        <v>0.14395417211577041</v>
      </c>
      <c r="Y66">
        <v>-1.8693954080171074</v>
      </c>
      <c r="Z66">
        <v>6.4327859981440541E-2</v>
      </c>
      <c r="AA66">
        <v>-0.55451041577457139</v>
      </c>
      <c r="AB66">
        <v>1.6295879138320264E-2</v>
      </c>
      <c r="AC66">
        <v>-0.55451041577457139</v>
      </c>
      <c r="AD66">
        <v>1.6295879138320264E-2</v>
      </c>
      <c r="AH66" s="65"/>
      <c r="AI66" s="65"/>
    </row>
    <row r="67" spans="1:42" x14ac:dyDescent="0.2">
      <c r="A67">
        <v>1.1457857814767269E-3</v>
      </c>
      <c r="B67">
        <v>4.048297159145009E-2</v>
      </c>
      <c r="C67">
        <v>5.702583744982781E-2</v>
      </c>
      <c r="D67">
        <v>-1.1794631084505847E-2</v>
      </c>
      <c r="E67">
        <v>-4.0806394795755985E-3</v>
      </c>
      <c r="F67">
        <v>5.6876798609981627E-3</v>
      </c>
      <c r="G67">
        <v>1.3193060887312313E-2</v>
      </c>
      <c r="H67">
        <v>2.6109819694262182E-2</v>
      </c>
      <c r="I67">
        <v>1.1187199152019378E-2</v>
      </c>
      <c r="J67">
        <v>1.8572288896193667E-2</v>
      </c>
      <c r="K67">
        <v>1.2703772066304353E-2</v>
      </c>
      <c r="L67">
        <v>-1.902685957011907E-2</v>
      </c>
      <c r="M67">
        <v>1.5277816528961985E-2</v>
      </c>
      <c r="N67">
        <v>-5.3790455181429109E-2</v>
      </c>
      <c r="O67">
        <v>4.597507104333598E-3</v>
      </c>
      <c r="P67">
        <v>-1.086287347218029E-2</v>
      </c>
      <c r="Q67">
        <v>-1.6251685186863263E-4</v>
      </c>
      <c r="R67">
        <v>-5.3682783551739499E-3</v>
      </c>
      <c r="S67">
        <v>1.5460380576513888E-2</v>
      </c>
      <c r="T67">
        <v>3.1797499555260345E-2</v>
      </c>
      <c r="V67" t="s">
        <v>236</v>
      </c>
      <c r="W67">
        <v>-9.5072035086461934E-2</v>
      </c>
      <c r="X67">
        <v>0.44443313910016735</v>
      </c>
      <c r="Y67">
        <v>-0.21391752036977238</v>
      </c>
      <c r="Z67">
        <v>0.83102231917011926</v>
      </c>
      <c r="AA67">
        <v>-0.97620395970429896</v>
      </c>
      <c r="AB67">
        <v>0.78605988953137507</v>
      </c>
      <c r="AC67">
        <v>-0.97620395970429896</v>
      </c>
      <c r="AD67">
        <v>0.78605988953137507</v>
      </c>
      <c r="AH67" s="65"/>
      <c r="AI67" s="65"/>
    </row>
    <row r="68" spans="1:42" ht="16" thickBot="1" x14ac:dyDescent="0.25">
      <c r="A68">
        <v>8.0259665405626457E-3</v>
      </c>
      <c r="B68">
        <v>9.135939891934175E-2</v>
      </c>
      <c r="C68">
        <v>0.1530684912467517</v>
      </c>
      <c r="D68">
        <v>4.7626416731338939E-3</v>
      </c>
      <c r="E68">
        <v>9.0907390961265655E-3</v>
      </c>
      <c r="F68">
        <v>1.6129685369903113E-2</v>
      </c>
      <c r="G68">
        <v>3.0862569242943838E-2</v>
      </c>
      <c r="H68">
        <v>4.5700990366542404E-2</v>
      </c>
      <c r="I68">
        <v>7.1026387980158479E-2</v>
      </c>
      <c r="J68">
        <v>-1.0824435559077195E-2</v>
      </c>
      <c r="K68">
        <v>2.0673751181917055E-2</v>
      </c>
      <c r="L68">
        <v>3.2317008652053891E-2</v>
      </c>
      <c r="M68">
        <v>2.7961021759713711E-2</v>
      </c>
      <c r="N68">
        <v>2.9681597409606075E-2</v>
      </c>
      <c r="O68">
        <v>1.4734159911400146E-2</v>
      </c>
      <c r="P68">
        <v>-1.4958338659874615E-2</v>
      </c>
      <c r="Q68">
        <v>-4.3606366350536607E-2</v>
      </c>
      <c r="R68">
        <v>9.7768408810061658E-3</v>
      </c>
      <c r="S68">
        <v>2.9692498571274761E-2</v>
      </c>
      <c r="T68">
        <v>6.1830675736445517E-2</v>
      </c>
      <c r="V68" s="4" t="s">
        <v>237</v>
      </c>
      <c r="W68" s="4">
        <v>0.33783461746634658</v>
      </c>
      <c r="X68" s="4">
        <v>0.37427078639078049</v>
      </c>
      <c r="Y68" s="4">
        <v>0.90264757429827702</v>
      </c>
      <c r="Z68" s="4">
        <v>0.36875958183824331</v>
      </c>
      <c r="AA68" s="4">
        <v>-0.40419361879083487</v>
      </c>
      <c r="AB68" s="4">
        <v>1.079862853723528</v>
      </c>
      <c r="AC68" s="4">
        <v>-0.40419361879083487</v>
      </c>
      <c r="AD68" s="4">
        <v>1.079862853723528</v>
      </c>
      <c r="AH68" s="65"/>
      <c r="AI68" s="65"/>
    </row>
    <row r="69" spans="1:42" x14ac:dyDescent="0.2">
      <c r="A69">
        <v>6.4695476676701613E-3</v>
      </c>
      <c r="B69">
        <v>2.4818822260423978E-2</v>
      </c>
      <c r="C69">
        <v>4.8729807864894115E-2</v>
      </c>
      <c r="D69">
        <v>3.5378123481093482E-3</v>
      </c>
      <c r="E69">
        <v>4.5205757669732893E-3</v>
      </c>
      <c r="F69">
        <v>1.0354400786376505E-2</v>
      </c>
      <c r="G69">
        <v>1.9005303805713192E-2</v>
      </c>
      <c r="H69">
        <v>9.9841737055359481E-3</v>
      </c>
      <c r="I69">
        <v>2.073906781649737E-2</v>
      </c>
      <c r="J69">
        <v>-3.1566914558429859E-2</v>
      </c>
      <c r="K69">
        <v>-7.4294528244644997E-3</v>
      </c>
      <c r="L69">
        <v>-5.8266282429838556E-3</v>
      </c>
      <c r="M69">
        <v>2.3002813232854136E-2</v>
      </c>
      <c r="N69">
        <v>-2.945492662473792E-3</v>
      </c>
      <c r="O69">
        <v>1.1457930825694573E-2</v>
      </c>
      <c r="P69">
        <v>-6.0643564508267023E-3</v>
      </c>
      <c r="Q69">
        <v>-2.2431393367512875E-2</v>
      </c>
      <c r="R69">
        <v>1.4577259475219151E-3</v>
      </c>
      <c r="S69">
        <v>1.7522287276521276E-2</v>
      </c>
      <c r="T69">
        <v>2.0338574491912453E-2</v>
      </c>
      <c r="AH69" s="65"/>
      <c r="AI69" s="65"/>
    </row>
    <row r="70" spans="1:42" x14ac:dyDescent="0.2">
      <c r="A70">
        <v>7.8810332197978283E-3</v>
      </c>
      <c r="B70">
        <v>4.4742913122216788E-2</v>
      </c>
      <c r="C70">
        <v>-7.2711188943754834E-3</v>
      </c>
      <c r="D70">
        <v>1.6932291632936192E-2</v>
      </c>
      <c r="E70">
        <v>2.0345926496802003E-2</v>
      </c>
      <c r="F70">
        <v>1.0504657415381091E-2</v>
      </c>
      <c r="G70">
        <v>4.9172468896244714E-2</v>
      </c>
      <c r="H70">
        <v>4.9255455588423258E-2</v>
      </c>
      <c r="I70">
        <v>4.2535588851809525E-2</v>
      </c>
      <c r="J70">
        <v>3.8995669501176167E-3</v>
      </c>
      <c r="K70">
        <v>2.0361732960795687E-2</v>
      </c>
      <c r="L70">
        <v>1.5734480639213455E-2</v>
      </c>
      <c r="M70">
        <v>3.7618026010251882E-2</v>
      </c>
      <c r="N70">
        <v>5.9409791944827095E-2</v>
      </c>
      <c r="O70">
        <v>1.6931328115874722E-2</v>
      </c>
      <c r="P70">
        <v>-7.5793043747116595E-3</v>
      </c>
      <c r="Q70">
        <v>-5.1461525082594495E-3</v>
      </c>
      <c r="R70">
        <v>1.9647659951719465E-2</v>
      </c>
      <c r="S70">
        <v>2.4510632490586381E-2</v>
      </c>
      <c r="T70">
        <v>5.9760113003804349E-2</v>
      </c>
      <c r="V70" s="24" t="s">
        <v>158</v>
      </c>
      <c r="AH70" s="65"/>
      <c r="AI70" s="65"/>
    </row>
    <row r="71" spans="1:42" x14ac:dyDescent="0.2">
      <c r="A71">
        <v>7.0411622465191837E-3</v>
      </c>
      <c r="B71">
        <v>-3.8692219799126848E-3</v>
      </c>
      <c r="C71">
        <v>3.8768618584750225E-2</v>
      </c>
      <c r="D71">
        <v>-5.2600330414919183E-3</v>
      </c>
      <c r="E71">
        <v>1.7850963177098667E-2</v>
      </c>
      <c r="F71">
        <v>4.9375166698109041E-3</v>
      </c>
      <c r="G71">
        <v>1.4795796253181948E-3</v>
      </c>
      <c r="H71">
        <v>1.2925735559806029E-2</v>
      </c>
      <c r="I71">
        <v>-1.354485000400607E-2</v>
      </c>
      <c r="J71">
        <v>1.7059864552079973E-2</v>
      </c>
      <c r="K71">
        <v>-4.9318150319945464E-2</v>
      </c>
      <c r="L71">
        <v>3.2796414642811023E-2</v>
      </c>
      <c r="M71">
        <v>5.3664050280093356E-3</v>
      </c>
      <c r="N71">
        <v>3.7461546095068021E-2</v>
      </c>
      <c r="O71">
        <v>-3.9690569861128289E-4</v>
      </c>
      <c r="P71">
        <v>-1.2954070660404771E-2</v>
      </c>
      <c r="Q71">
        <v>1.1406547680002044E-2</v>
      </c>
      <c r="R71">
        <v>1.8705095141022587E-2</v>
      </c>
      <c r="S71">
        <v>1.2557164961793488E-2</v>
      </c>
      <c r="T71">
        <v>1.7863252229616933E-2</v>
      </c>
      <c r="V71" t="s">
        <v>104</v>
      </c>
      <c r="AH71" s="65"/>
      <c r="AI71" s="65"/>
    </row>
    <row r="72" spans="1:42" ht="16" thickBot="1" x14ac:dyDescent="0.25">
      <c r="A72">
        <v>1.2773443899890768E-2</v>
      </c>
      <c r="B72">
        <v>5.1420282512706139E-2</v>
      </c>
      <c r="C72">
        <v>4.6442856481567096E-2</v>
      </c>
      <c r="D72">
        <v>2.1647657747396076E-2</v>
      </c>
      <c r="E72">
        <v>2.549609027982469E-2</v>
      </c>
      <c r="F72">
        <v>1.2946659761781554E-2</v>
      </c>
      <c r="G72">
        <v>1.0472114193842641E-2</v>
      </c>
      <c r="H72">
        <v>-2.8143711907961944E-3</v>
      </c>
      <c r="I72">
        <v>6.1432536293766216E-2</v>
      </c>
      <c r="J72">
        <v>5.0692674864318832E-3</v>
      </c>
      <c r="K72">
        <v>-2.8593338011097869E-2</v>
      </c>
      <c r="L72">
        <v>3.5174306634678132E-2</v>
      </c>
      <c r="M72">
        <v>1.2591315316613727E-2</v>
      </c>
      <c r="N72">
        <v>0.12834664498541293</v>
      </c>
      <c r="O72">
        <v>7.9809861968849205E-3</v>
      </c>
      <c r="P72">
        <v>1.8764205720722682E-3</v>
      </c>
      <c r="Q72">
        <v>-4.4320231785777819E-2</v>
      </c>
      <c r="R72">
        <v>2.6498659208211928E-2</v>
      </c>
      <c r="S72">
        <v>6.1045656248126523E-3</v>
      </c>
      <c r="T72">
        <v>1.0132288570985359E-2</v>
      </c>
      <c r="AH72" s="65"/>
      <c r="AI72" s="65"/>
    </row>
    <row r="73" spans="1:42" x14ac:dyDescent="0.2">
      <c r="A73">
        <v>-1.4076292180772887E-2</v>
      </c>
      <c r="B73">
        <v>5.6016854628826218E-2</v>
      </c>
      <c r="C73">
        <v>7.5519158638387429E-2</v>
      </c>
      <c r="D73">
        <v>-1.3023219320867363E-2</v>
      </c>
      <c r="E73">
        <v>-2.1973737739004684E-2</v>
      </c>
      <c r="F73">
        <v>-1.5631390593047079E-2</v>
      </c>
      <c r="G73">
        <v>3.2036810079769662E-3</v>
      </c>
      <c r="H73">
        <v>4.6977564128499183E-2</v>
      </c>
      <c r="I73">
        <v>3.0908449162891038E-2</v>
      </c>
      <c r="J73">
        <v>1.3212782222100206E-2</v>
      </c>
      <c r="K73">
        <v>6.1179131660278996E-2</v>
      </c>
      <c r="L73">
        <v>1.9789351762254714E-2</v>
      </c>
      <c r="M73">
        <v>2.3586033376995275E-2</v>
      </c>
      <c r="N73">
        <v>-7.0072819443384837E-2</v>
      </c>
      <c r="O73">
        <v>8.092985115390583E-3</v>
      </c>
      <c r="P73">
        <v>-1.2419243330031193E-2</v>
      </c>
      <c r="Q73">
        <v>1.3657719539743596E-3</v>
      </c>
      <c r="R73">
        <v>-2.7483146067415753E-2</v>
      </c>
      <c r="S73">
        <v>2.0512228445421776E-2</v>
      </c>
      <c r="T73">
        <v>3.1346173535452104E-2</v>
      </c>
      <c r="V73" s="6" t="s">
        <v>105</v>
      </c>
      <c r="W73" s="6"/>
      <c r="AH73" s="65"/>
      <c r="AI73" s="65"/>
    </row>
    <row r="74" spans="1:42" x14ac:dyDescent="0.2">
      <c r="A74">
        <v>1.3160425629171524E-2</v>
      </c>
      <c r="B74">
        <v>-8.4484206275204587E-2</v>
      </c>
      <c r="C74">
        <v>-8.7663104948491166E-2</v>
      </c>
      <c r="D74">
        <v>-1.963500950850805E-2</v>
      </c>
      <c r="E74">
        <v>1.9295312939203724E-2</v>
      </c>
      <c r="F74">
        <v>1.5275848189360675E-2</v>
      </c>
      <c r="G74">
        <v>3.6863989026534316E-3</v>
      </c>
      <c r="H74">
        <v>-1.2072755133019086E-4</v>
      </c>
      <c r="I74">
        <v>-4.3636116005124626E-2</v>
      </c>
      <c r="J74">
        <v>-1.5512794197141133E-2</v>
      </c>
      <c r="K74">
        <v>-8.3801280553308377E-4</v>
      </c>
      <c r="L74">
        <v>-7.277921819371258E-2</v>
      </c>
      <c r="M74">
        <v>6.9215520360277338E-3</v>
      </c>
      <c r="N74">
        <v>-1.4375962879568216E-2</v>
      </c>
      <c r="O74">
        <v>-1.1812019209289648E-3</v>
      </c>
      <c r="P74">
        <v>-1.6498858759911528E-2</v>
      </c>
      <c r="Q74">
        <v>2.3260381400135755E-2</v>
      </c>
      <c r="R74">
        <v>2.0513205628855946E-2</v>
      </c>
      <c r="S74">
        <v>1.5317656838982563E-2</v>
      </c>
      <c r="T74">
        <v>1.5155120638030484E-2</v>
      </c>
      <c r="V74" t="s">
        <v>106</v>
      </c>
      <c r="W74">
        <v>0.78622052680362198</v>
      </c>
      <c r="AH74" s="65"/>
      <c r="AI74" s="65"/>
    </row>
    <row r="75" spans="1:42" x14ac:dyDescent="0.2">
      <c r="A75">
        <v>1.7755895559219415E-3</v>
      </c>
      <c r="B75">
        <v>4.1655985644706517E-2</v>
      </c>
      <c r="C75">
        <v>6.0623913572412258E-2</v>
      </c>
      <c r="D75">
        <v>1.5972913859152449E-3</v>
      </c>
      <c r="E75">
        <v>-1.2994961831195861E-2</v>
      </c>
      <c r="F75">
        <v>3.734325743188549E-3</v>
      </c>
      <c r="G75">
        <v>1.4157591287636162E-2</v>
      </c>
      <c r="H75">
        <v>-2.1854966407328646E-3</v>
      </c>
      <c r="I75">
        <v>3.4366251735177711E-2</v>
      </c>
      <c r="J75">
        <v>2.8005335449292623E-3</v>
      </c>
      <c r="K75">
        <v>1.4068576226449414E-2</v>
      </c>
      <c r="L75">
        <v>3.7127172014093768E-2</v>
      </c>
      <c r="M75">
        <v>8.0574999639675404E-3</v>
      </c>
      <c r="N75">
        <v>3.36570477247502E-2</v>
      </c>
      <c r="O75">
        <v>1.2472976154498383E-3</v>
      </c>
      <c r="P75">
        <v>-4.3769582493360382E-3</v>
      </c>
      <c r="Q75">
        <v>-2.1807780263803256E-2</v>
      </c>
      <c r="R75">
        <v>-1.8085690511097652E-2</v>
      </c>
      <c r="S75">
        <v>5.6242558647858765E-3</v>
      </c>
      <c r="T75">
        <v>1.5488291024556844E-3</v>
      </c>
      <c r="V75" t="s">
        <v>107</v>
      </c>
      <c r="W75">
        <v>0.61814271676736487</v>
      </c>
      <c r="AH75" s="65"/>
      <c r="AI75" s="65"/>
    </row>
    <row r="76" spans="1:42" x14ac:dyDescent="0.2">
      <c r="A76">
        <v>2.7824149949329247E-4</v>
      </c>
      <c r="B76">
        <v>6.7623435202994742E-2</v>
      </c>
      <c r="C76">
        <v>9.6553666104314706E-2</v>
      </c>
      <c r="D76">
        <v>1.5849567639139917E-2</v>
      </c>
      <c r="E76">
        <v>-4.4332428069100427E-3</v>
      </c>
      <c r="F76">
        <v>-1.2295264730428634E-3</v>
      </c>
      <c r="G76">
        <v>2.3329753858463365E-2</v>
      </c>
      <c r="H76">
        <v>3.218692272053536E-2</v>
      </c>
      <c r="I76">
        <v>5.7842717601568117E-2</v>
      </c>
      <c r="J76">
        <v>-7.2568682389424488E-3</v>
      </c>
      <c r="K76">
        <v>2.1043709964381652E-2</v>
      </c>
      <c r="L76">
        <v>-1.2423696993752897E-2</v>
      </c>
      <c r="M76">
        <v>3.0363647811136874E-2</v>
      </c>
      <c r="N76">
        <v>-3.8833561502875646E-3</v>
      </c>
      <c r="O76">
        <v>1.5559272311045147E-2</v>
      </c>
      <c r="P76">
        <v>-6.4636733003187175E-4</v>
      </c>
      <c r="Q76">
        <v>-2.8806190249837771E-2</v>
      </c>
      <c r="R76">
        <v>-7.8633030484711597E-3</v>
      </c>
      <c r="S76">
        <v>1.6205639641077019E-2</v>
      </c>
      <c r="T76">
        <v>3.0957396247492497E-2</v>
      </c>
      <c r="V76" t="s">
        <v>108</v>
      </c>
      <c r="W76">
        <v>0.55244323863506062</v>
      </c>
      <c r="AH76" s="65"/>
      <c r="AI76" s="65"/>
    </row>
    <row r="77" spans="1:42" x14ac:dyDescent="0.2">
      <c r="A77">
        <v>5.9198911968121326E-3</v>
      </c>
      <c r="B77">
        <v>1.7758894530851776E-2</v>
      </c>
      <c r="C77">
        <v>-3.2332824447677599E-2</v>
      </c>
      <c r="D77">
        <v>8.0716412240007251E-3</v>
      </c>
      <c r="E77">
        <v>2.8125593229817225E-2</v>
      </c>
      <c r="F77">
        <v>1.0409623799257472E-2</v>
      </c>
      <c r="G77">
        <v>7.6130120779407395E-3</v>
      </c>
      <c r="H77">
        <v>1.1980317161827569E-2</v>
      </c>
      <c r="I77">
        <v>1.1173897623832474E-2</v>
      </c>
      <c r="J77">
        <v>-1.4701560670037139E-2</v>
      </c>
      <c r="K77">
        <v>4.0806810846006458E-2</v>
      </c>
      <c r="L77">
        <v>1.9442689159780979E-2</v>
      </c>
      <c r="M77">
        <v>1.7410033373849165E-2</v>
      </c>
      <c r="N77">
        <v>5.9088255108915355E-2</v>
      </c>
      <c r="O77">
        <v>8.7067818642223571E-3</v>
      </c>
      <c r="P77">
        <v>-5.190765947365561E-3</v>
      </c>
      <c r="Q77">
        <v>-3.8900121766480833E-3</v>
      </c>
      <c r="R77">
        <v>3.2550842533410895E-2</v>
      </c>
      <c r="S77">
        <v>1.3897547811587918E-2</v>
      </c>
      <c r="T77">
        <v>2.2389940961085042E-2</v>
      </c>
      <c r="V77" t="s">
        <v>109</v>
      </c>
      <c r="W77">
        <v>4.7070554076653982E-2</v>
      </c>
      <c r="AH77" s="65"/>
      <c r="AI77" s="65"/>
      <c r="AP77" s="141"/>
    </row>
    <row r="78" spans="1:42" ht="16" thickBot="1" x14ac:dyDescent="0.25">
      <c r="A78">
        <v>1.1043717267077646E-2</v>
      </c>
      <c r="B78">
        <v>-8.1678356201695501E-2</v>
      </c>
      <c r="C78">
        <v>-0.1133317361052506</v>
      </c>
      <c r="D78">
        <v>-1.5987796100666807E-2</v>
      </c>
      <c r="E78">
        <v>1.1165752200366086E-3</v>
      </c>
      <c r="F78">
        <v>8.4148727984345584E-3</v>
      </c>
      <c r="G78">
        <v>-1.5784852259500437E-2</v>
      </c>
      <c r="H78">
        <v>-4.3620988778093395E-2</v>
      </c>
      <c r="I78">
        <v>-7.6341502846614229E-2</v>
      </c>
      <c r="J78">
        <v>5.8545360438296834E-3</v>
      </c>
      <c r="K78">
        <v>3.9972566955445155E-3</v>
      </c>
      <c r="L78">
        <v>-6.922950608681766E-2</v>
      </c>
      <c r="M78">
        <v>-2.6637600426999364E-2</v>
      </c>
      <c r="N78">
        <v>3.161073085502486E-2</v>
      </c>
      <c r="O78">
        <v>-2.299986753860217E-2</v>
      </c>
      <c r="P78">
        <v>-5.10550524466169E-3</v>
      </c>
      <c r="Q78">
        <v>3.9387055521053371E-2</v>
      </c>
      <c r="R78">
        <v>3.7703571147202908E-3</v>
      </c>
      <c r="S78">
        <v>-1.789436229394048E-2</v>
      </c>
      <c r="T78">
        <v>-3.5206115979658836E-2</v>
      </c>
      <c r="V78" s="4" t="s">
        <v>110</v>
      </c>
      <c r="W78" s="4">
        <v>120</v>
      </c>
      <c r="AH78" s="65"/>
      <c r="AI78" s="65"/>
      <c r="AP78" s="141"/>
    </row>
    <row r="79" spans="1:42" x14ac:dyDescent="0.2">
      <c r="A79">
        <v>1.111948627119741E-2</v>
      </c>
      <c r="B79">
        <v>-6.2111298383853653E-2</v>
      </c>
      <c r="C79">
        <v>-5.7068275157028836E-2</v>
      </c>
      <c r="D79">
        <v>-1.2637729322501068E-3</v>
      </c>
      <c r="E79">
        <v>1.7327923097806064E-2</v>
      </c>
      <c r="F79">
        <v>1.56814383102859E-2</v>
      </c>
      <c r="G79">
        <v>2.0063073156562528E-2</v>
      </c>
      <c r="H79">
        <v>-2.6433562101859653E-3</v>
      </c>
      <c r="I79">
        <v>-5.5065373540875706E-2</v>
      </c>
      <c r="J79">
        <v>1.2291304575335893E-3</v>
      </c>
      <c r="K79">
        <v>-2.5145327453668598E-2</v>
      </c>
      <c r="L79">
        <v>3.1823571296878406E-3</v>
      </c>
      <c r="M79">
        <v>-1.0903008272664438E-2</v>
      </c>
      <c r="N79">
        <v>2.1442078434596779E-2</v>
      </c>
      <c r="O79">
        <v>-1.0224874718030352E-2</v>
      </c>
      <c r="P79">
        <v>-1.3880931583502343E-2</v>
      </c>
      <c r="Q79">
        <v>3.3895079875668088E-2</v>
      </c>
      <c r="R79">
        <v>1.9235081739286342E-2</v>
      </c>
      <c r="S79">
        <v>3.6560568654719905E-3</v>
      </c>
      <c r="T79">
        <v>1.3038082100099935E-2</v>
      </c>
      <c r="AH79" s="65"/>
      <c r="AI79" s="65"/>
      <c r="AP79" s="141"/>
    </row>
    <row r="80" spans="1:42" ht="16" thickBot="1" x14ac:dyDescent="0.25">
      <c r="A80">
        <v>8.3682320597420201E-3</v>
      </c>
      <c r="B80">
        <v>7.1679784762084031E-2</v>
      </c>
      <c r="C80">
        <v>0.10650889048461187</v>
      </c>
      <c r="D80">
        <v>-8.3186414711855505E-4</v>
      </c>
      <c r="E80">
        <v>3.9149771286617341E-3</v>
      </c>
      <c r="F80">
        <v>1.0668852620679514E-2</v>
      </c>
      <c r="G80">
        <v>4.1167497203295156E-2</v>
      </c>
      <c r="H80">
        <v>2.3982218439034808E-2</v>
      </c>
      <c r="I80">
        <v>7.1331945358704685E-2</v>
      </c>
      <c r="J80">
        <v>3.632204609234968E-3</v>
      </c>
      <c r="K80">
        <v>-1.3441782998842022E-3</v>
      </c>
      <c r="L80">
        <v>6.7742386512124275E-2</v>
      </c>
      <c r="M80">
        <v>1.9715516593238558E-2</v>
      </c>
      <c r="N80">
        <v>-4.9405173940340386E-2</v>
      </c>
      <c r="O80">
        <v>6.445471881599607E-3</v>
      </c>
      <c r="P80">
        <v>-1.0569480096350059E-2</v>
      </c>
      <c r="Q80">
        <v>-4.6496467733256885E-2</v>
      </c>
      <c r="R80">
        <v>3.5037925666794312E-3</v>
      </c>
      <c r="S80">
        <v>1.7014951977949666E-2</v>
      </c>
      <c r="T80">
        <v>3.4651071059714322E-2</v>
      </c>
      <c r="V80" t="s">
        <v>111</v>
      </c>
      <c r="AP80" s="141"/>
    </row>
    <row r="81" spans="1:42" x14ac:dyDescent="0.2">
      <c r="A81">
        <v>1.4297262605764693E-3</v>
      </c>
      <c r="B81">
        <v>-7.0849825808547262E-2</v>
      </c>
      <c r="C81">
        <v>-1.4276597285545534E-2</v>
      </c>
      <c r="D81">
        <v>1.6786382415671763E-2</v>
      </c>
      <c r="E81">
        <v>1.4804070596142749E-2</v>
      </c>
      <c r="F81">
        <v>1.2867501326389474E-2</v>
      </c>
      <c r="G81">
        <v>2.3266717458829023E-2</v>
      </c>
      <c r="H81">
        <v>-1.1303502662725951E-2</v>
      </c>
      <c r="I81">
        <v>-4.6689689844406468E-2</v>
      </c>
      <c r="J81">
        <v>-3.8998913016140557E-3</v>
      </c>
      <c r="K81">
        <v>-2.8893588920252622E-2</v>
      </c>
      <c r="L81">
        <v>-2.545139973424615E-2</v>
      </c>
      <c r="M81">
        <v>-3.8365661018658903E-3</v>
      </c>
      <c r="N81">
        <v>5.6223539373412512E-2</v>
      </c>
      <c r="O81">
        <v>1.4777954820992534E-3</v>
      </c>
      <c r="P81">
        <v>-6.7100306840071067E-3</v>
      </c>
      <c r="Q81">
        <v>3.1417898010628997E-2</v>
      </c>
      <c r="R81">
        <v>1.7112475334356558E-2</v>
      </c>
      <c r="S81">
        <v>8.18782616610636E-3</v>
      </c>
      <c r="T81">
        <v>1.5639986636635239E-3</v>
      </c>
      <c r="V81" s="5"/>
      <c r="W81" s="5" t="s">
        <v>112</v>
      </c>
      <c r="X81" s="5" t="s">
        <v>113</v>
      </c>
      <c r="Y81" s="5" t="s">
        <v>114</v>
      </c>
      <c r="Z81" s="5" t="s">
        <v>115</v>
      </c>
      <c r="AA81" s="5" t="s">
        <v>116</v>
      </c>
      <c r="AP81" s="141"/>
    </row>
    <row r="82" spans="1:42" x14ac:dyDescent="0.2">
      <c r="A82">
        <v>-3.9134679025312202E-3</v>
      </c>
      <c r="B82">
        <v>0.1212836944606448</v>
      </c>
      <c r="C82">
        <v>0.10297343206147436</v>
      </c>
      <c r="D82">
        <v>2.7248533923662999E-2</v>
      </c>
      <c r="E82">
        <v>1.8480297840079318E-2</v>
      </c>
      <c r="F82">
        <v>1.065693694344505E-3</v>
      </c>
      <c r="G82">
        <v>1.6762122947690195E-2</v>
      </c>
      <c r="H82">
        <v>2.8624052892356699E-2</v>
      </c>
      <c r="I82">
        <v>0.10645033399460235</v>
      </c>
      <c r="J82">
        <v>2.8867154252985916E-2</v>
      </c>
      <c r="K82">
        <v>3.5351540648262292E-2</v>
      </c>
      <c r="L82">
        <v>7.2603189200629359E-2</v>
      </c>
      <c r="M82">
        <v>2.5192367834836249E-2</v>
      </c>
      <c r="N82">
        <v>4.9013949013948954E-2</v>
      </c>
      <c r="O82">
        <v>1.9913805509131688E-2</v>
      </c>
      <c r="P82">
        <v>3.5992978396723885E-3</v>
      </c>
      <c r="Q82">
        <v>-4.1845974098151828E-2</v>
      </c>
      <c r="R82">
        <v>2.1836367359696407E-2</v>
      </c>
      <c r="S82">
        <v>1.6314507669459299E-2</v>
      </c>
      <c r="T82">
        <v>2.9689746586701204E-2</v>
      </c>
      <c r="V82" t="s">
        <v>117</v>
      </c>
      <c r="W82">
        <v>15</v>
      </c>
      <c r="X82">
        <v>0.38018253698267196</v>
      </c>
      <c r="Y82">
        <v>2.5345502465511465E-2</v>
      </c>
      <c r="Z82">
        <v>13.199278460720034</v>
      </c>
      <c r="AA82">
        <v>6.9164541273113074E-18</v>
      </c>
    </row>
    <row r="83" spans="1:42" x14ac:dyDescent="0.2">
      <c r="A83">
        <v>9.6898537032477083E-3</v>
      </c>
      <c r="B83">
        <v>6.4491494236482039E-2</v>
      </c>
      <c r="C83">
        <v>1.7387410616779508E-2</v>
      </c>
      <c r="D83">
        <v>2.2203811201051193E-2</v>
      </c>
      <c r="E83">
        <v>2.2405591064569519E-2</v>
      </c>
      <c r="F83">
        <v>3.5605595852428173E-3</v>
      </c>
      <c r="G83">
        <v>1.7199294002778753E-2</v>
      </c>
      <c r="H83">
        <v>2.0692179901905972E-2</v>
      </c>
      <c r="I83">
        <v>4.7759549516597444E-2</v>
      </c>
      <c r="J83">
        <v>1.7753745497881779E-2</v>
      </c>
      <c r="K83">
        <v>2.8724114515732424E-3</v>
      </c>
      <c r="L83">
        <v>4.9827652471580386E-2</v>
      </c>
      <c r="M83">
        <v>1.859392354387257E-2</v>
      </c>
      <c r="N83">
        <v>3.8867745731884451E-2</v>
      </c>
      <c r="O83">
        <v>1.387358691908358E-2</v>
      </c>
      <c r="P83">
        <v>-1.7340740810456445E-3</v>
      </c>
      <c r="Q83">
        <v>-1.4383202411720086E-2</v>
      </c>
      <c r="R83">
        <v>2.5652114295357853E-2</v>
      </c>
      <c r="S83">
        <v>1.5607661000129225E-2</v>
      </c>
      <c r="T83">
        <v>2.4252739487148789E-2</v>
      </c>
      <c r="V83" t="s">
        <v>118</v>
      </c>
      <c r="W83">
        <v>106</v>
      </c>
      <c r="X83">
        <v>0.23485752847481994</v>
      </c>
      <c r="Y83">
        <v>2.215637061083207E-3</v>
      </c>
    </row>
    <row r="84" spans="1:42" ht="16" thickBot="1" x14ac:dyDescent="0.25">
      <c r="A84">
        <v>-1.9028184915167445E-3</v>
      </c>
      <c r="B84">
        <v>-1.7014144005402021E-2</v>
      </c>
      <c r="C84">
        <v>-1.8761196309583061E-2</v>
      </c>
      <c r="D84">
        <v>-9.2671775500139386E-3</v>
      </c>
      <c r="E84">
        <v>-1.4436506274128846E-2</v>
      </c>
      <c r="F84">
        <v>-5.7474019825239919E-3</v>
      </c>
      <c r="G84">
        <v>-3.184184295049286E-2</v>
      </c>
      <c r="H84">
        <v>-5.408911383882109E-3</v>
      </c>
      <c r="I84">
        <v>1.1613499095365354E-2</v>
      </c>
      <c r="J84">
        <v>1.6905303880970113E-2</v>
      </c>
      <c r="K84">
        <v>3.4545521570904514E-2</v>
      </c>
      <c r="L84">
        <v>-3.5402567725623113E-3</v>
      </c>
      <c r="M84">
        <v>2.5923122530910891E-3</v>
      </c>
      <c r="N84">
        <v>1.9729292334853543E-2</v>
      </c>
      <c r="O84">
        <v>-1.8671455939112125E-4</v>
      </c>
      <c r="P84">
        <v>-4.8239227650591632E-3</v>
      </c>
      <c r="Q84">
        <v>6.243884461516469E-3</v>
      </c>
      <c r="R84">
        <v>-1.9215541089480537E-2</v>
      </c>
      <c r="S84">
        <v>4.6372082056680419E-3</v>
      </c>
      <c r="T84">
        <v>-1.1156313366406101E-2</v>
      </c>
      <c r="V84" s="4" t="s">
        <v>119</v>
      </c>
      <c r="W84" s="4">
        <v>121</v>
      </c>
      <c r="X84" s="4">
        <v>0.6150400654574919</v>
      </c>
      <c r="Y84" s="4"/>
      <c r="Z84" s="4"/>
      <c r="AA84" s="4"/>
    </row>
    <row r="85" spans="1:42" ht="16" thickBot="1" x14ac:dyDescent="0.25">
      <c r="A85">
        <v>-5.7059263682106565E-3</v>
      </c>
      <c r="B85">
        <v>5.2292767687372343E-2</v>
      </c>
      <c r="C85">
        <v>0.12599619812731566</v>
      </c>
      <c r="D85">
        <v>3.3187395288934551E-2</v>
      </c>
      <c r="E85">
        <v>-1.9774999032133311E-2</v>
      </c>
      <c r="F85">
        <v>-1.0783669582095201E-2</v>
      </c>
      <c r="G85">
        <v>-3.317508436767147E-3</v>
      </c>
      <c r="H85">
        <v>2.8391764688765142E-2</v>
      </c>
      <c r="I85">
        <v>5.5081531539111994E-2</v>
      </c>
      <c r="J85">
        <v>-2.3822196544943885E-2</v>
      </c>
      <c r="K85">
        <v>1.257587799614801E-2</v>
      </c>
      <c r="L85">
        <v>0.10688967689999318</v>
      </c>
      <c r="M85">
        <v>2.6746151116100458E-2</v>
      </c>
      <c r="N85">
        <v>2.5378367070162167E-2</v>
      </c>
      <c r="O85">
        <v>2.1734780853239322E-2</v>
      </c>
      <c r="P85">
        <v>1.1061618089067693E-2</v>
      </c>
      <c r="Q85">
        <v>-3.1599235959206995E-2</v>
      </c>
      <c r="R85">
        <v>-2.2837250512475205E-2</v>
      </c>
      <c r="S85">
        <v>1.0673162764171629E-2</v>
      </c>
      <c r="T85">
        <v>1.7608095106669941E-2</v>
      </c>
    </row>
    <row r="86" spans="1:42" x14ac:dyDescent="0.2">
      <c r="A86">
        <v>4.6299615563727414E-4</v>
      </c>
      <c r="B86">
        <v>4.2139690831583865E-2</v>
      </c>
      <c r="C86">
        <v>1.6815157087997079E-2</v>
      </c>
      <c r="D86">
        <v>-7.2646312546593705E-3</v>
      </c>
      <c r="E86">
        <v>4.7572469786507643E-3</v>
      </c>
      <c r="F86">
        <v>1.1638535128877248E-3</v>
      </c>
      <c r="G86">
        <v>-5.432807269249218E-3</v>
      </c>
      <c r="H86">
        <v>1.9860562387547631E-2</v>
      </c>
      <c r="I86">
        <v>2.5448928309971697E-2</v>
      </c>
      <c r="J86">
        <v>2.8272546815866217E-3</v>
      </c>
      <c r="K86">
        <v>-2.6278332971297225E-2</v>
      </c>
      <c r="L86">
        <v>1.0030111481438952E-2</v>
      </c>
      <c r="M86">
        <v>1.6794436714026251E-2</v>
      </c>
      <c r="N86">
        <v>-6.2424370339102309E-2</v>
      </c>
      <c r="O86">
        <v>2.5613937636308481E-3</v>
      </c>
      <c r="P86">
        <v>-8.8929202417624698E-3</v>
      </c>
      <c r="Q86">
        <v>-1.9486330288817078E-2</v>
      </c>
      <c r="R86">
        <v>1.6578587332671813E-3</v>
      </c>
      <c r="S86">
        <v>1.1454314005393318E-2</v>
      </c>
      <c r="T86">
        <v>2.1024415900435356E-2</v>
      </c>
      <c r="V86" s="5"/>
      <c r="W86" s="5" t="s">
        <v>120</v>
      </c>
      <c r="X86" s="5" t="s">
        <v>109</v>
      </c>
      <c r="Y86" s="5" t="s">
        <v>121</v>
      </c>
      <c r="Z86" s="5" t="s">
        <v>122</v>
      </c>
      <c r="AA86" s="5" t="s">
        <v>123</v>
      </c>
      <c r="AB86" s="5" t="s">
        <v>124</v>
      </c>
      <c r="AC86" s="5" t="s">
        <v>125</v>
      </c>
      <c r="AD86" s="5" t="s">
        <v>126</v>
      </c>
    </row>
    <row r="87" spans="1:42" x14ac:dyDescent="0.2">
      <c r="A87">
        <v>2.3543230027542883E-3</v>
      </c>
      <c r="B87">
        <v>1.8804308732015329E-2</v>
      </c>
      <c r="C87">
        <v>2.4283015313352418E-2</v>
      </c>
      <c r="D87">
        <v>1.2596517393219875E-2</v>
      </c>
      <c r="E87">
        <v>5.9600809399034116E-3</v>
      </c>
      <c r="F87">
        <v>2.5015063815800875E-3</v>
      </c>
      <c r="G87">
        <v>2.9428170260239472E-3</v>
      </c>
      <c r="H87">
        <v>1.08682542015206E-2</v>
      </c>
      <c r="I87">
        <v>3.2727073692865316E-2</v>
      </c>
      <c r="J87">
        <v>-4.1579370923932046E-3</v>
      </c>
      <c r="K87">
        <v>2.0582670115783408E-2</v>
      </c>
      <c r="L87">
        <v>1.3179079269887595E-2</v>
      </c>
      <c r="M87">
        <v>1.3636529942470776E-2</v>
      </c>
      <c r="N87">
        <v>5.9024364621399039E-2</v>
      </c>
      <c r="O87">
        <v>8.9363873758778745E-3</v>
      </c>
      <c r="P87">
        <v>-1.4079908037456512E-4</v>
      </c>
      <c r="Q87">
        <v>-2.1252558670661337E-2</v>
      </c>
      <c r="R87">
        <v>6.2401576911952361E-3</v>
      </c>
      <c r="S87">
        <v>9.0771864562524396E-3</v>
      </c>
      <c r="T87">
        <v>1.3369760583100687E-2</v>
      </c>
      <c r="V87" t="s">
        <v>127</v>
      </c>
      <c r="W87">
        <v>-5.2835978155328246E-3</v>
      </c>
      <c r="X87">
        <v>5.7145508758804685E-3</v>
      </c>
      <c r="Y87">
        <v>-0.92458671386292546</v>
      </c>
      <c r="Z87">
        <v>0.3572809855850293</v>
      </c>
      <c r="AA87">
        <v>-1.6613250734273076E-2</v>
      </c>
      <c r="AB87">
        <v>6.0460551032074277E-3</v>
      </c>
      <c r="AC87">
        <v>-1.6613250734273076E-2</v>
      </c>
      <c r="AD87">
        <v>6.0460551032074277E-3</v>
      </c>
    </row>
    <row r="88" spans="1:42" x14ac:dyDescent="0.2">
      <c r="A88">
        <v>2.6308223402204955E-3</v>
      </c>
      <c r="B88">
        <v>-2.6408676056267066E-2</v>
      </c>
      <c r="C88">
        <v>-3.811470808844819E-2</v>
      </c>
      <c r="D88">
        <v>-1.1061941426263378E-2</v>
      </c>
      <c r="E88">
        <v>6.7034119638080814E-3</v>
      </c>
      <c r="F88">
        <v>5.5247947933367847E-4</v>
      </c>
      <c r="G88">
        <v>1.2695612150966262E-2</v>
      </c>
      <c r="H88">
        <v>3.6489181284420358E-3</v>
      </c>
      <c r="I88">
        <v>1.2212861443312573E-3</v>
      </c>
      <c r="J88">
        <v>-2.7498549605062816E-3</v>
      </c>
      <c r="K88">
        <v>2.5518434800070544E-2</v>
      </c>
      <c r="L88">
        <v>2.0645485896374272E-2</v>
      </c>
      <c r="M88">
        <v>3.5529420588067406E-3</v>
      </c>
      <c r="N88">
        <v>1.478746997513003E-2</v>
      </c>
      <c r="O88">
        <v>-6.9007107654817101E-4</v>
      </c>
      <c r="P88">
        <v>-3.546865812682376E-3</v>
      </c>
      <c r="Q88">
        <v>4.5956294601310343E-3</v>
      </c>
      <c r="R88">
        <v>8.8310914036591193E-3</v>
      </c>
      <c r="S88">
        <v>2.856794736134205E-3</v>
      </c>
      <c r="T88">
        <v>4.2013976077757142E-3</v>
      </c>
      <c r="V88" t="s">
        <v>223</v>
      </c>
      <c r="W88">
        <v>0</v>
      </c>
      <c r="X88">
        <v>0</v>
      </c>
      <c r="Y88">
        <v>65535</v>
      </c>
      <c r="Z88" t="e">
        <v>#NUM!</v>
      </c>
      <c r="AA88">
        <v>0</v>
      </c>
      <c r="AB88">
        <v>0</v>
      </c>
      <c r="AC88">
        <v>0</v>
      </c>
      <c r="AD88">
        <v>0</v>
      </c>
    </row>
    <row r="89" spans="1:42" x14ac:dyDescent="0.2">
      <c r="A89">
        <v>1.0869827904158358E-2</v>
      </c>
      <c r="B89">
        <v>2.9231553436768198E-2</v>
      </c>
      <c r="C89">
        <v>-5.1511250157206812E-3</v>
      </c>
      <c r="D89">
        <v>2.3604093954620486E-2</v>
      </c>
      <c r="E89">
        <v>2.9399788269357296E-2</v>
      </c>
      <c r="F89">
        <v>1.2693943678209862E-2</v>
      </c>
      <c r="G89">
        <v>1.3918872855357423E-2</v>
      </c>
      <c r="H89">
        <v>2.5056415991357994E-3</v>
      </c>
      <c r="I89">
        <v>3.3488800570329991E-2</v>
      </c>
      <c r="J89">
        <v>6.8602324482860411E-3</v>
      </c>
      <c r="K89">
        <v>-3.2095731342913769E-3</v>
      </c>
      <c r="L89">
        <v>3.4630576375209721E-2</v>
      </c>
      <c r="M89">
        <v>1.1940531811792443E-2</v>
      </c>
      <c r="N89">
        <v>9.1816785365172349E-2</v>
      </c>
      <c r="O89">
        <v>1.1135294881996716E-2</v>
      </c>
      <c r="P89">
        <v>2.869876713991415E-3</v>
      </c>
      <c r="Q89">
        <v>-1.6257760447180969E-2</v>
      </c>
      <c r="R89">
        <v>3.1358498928861778E-2</v>
      </c>
      <c r="S89">
        <v>8.2654181680053007E-3</v>
      </c>
      <c r="T89">
        <v>1.5199585277345662E-2</v>
      </c>
      <c r="V89" t="s">
        <v>224</v>
      </c>
      <c r="W89">
        <v>0.21784671411976467</v>
      </c>
      <c r="X89">
        <v>0.4046720030253767</v>
      </c>
      <c r="Y89">
        <v>0.53832909737050338</v>
      </c>
      <c r="Z89" t="e">
        <v>#NUM!</v>
      </c>
      <c r="AA89">
        <v>-0.58445489099150705</v>
      </c>
      <c r="AB89">
        <v>1.0201483192310363</v>
      </c>
      <c r="AC89">
        <v>-0.58445489099150705</v>
      </c>
      <c r="AD89">
        <v>1.0201483192310363</v>
      </c>
    </row>
    <row r="90" spans="1:42" x14ac:dyDescent="0.2">
      <c r="A90">
        <v>1.0688996163327635E-2</v>
      </c>
      <c r="B90">
        <v>-1.6911130578081579E-2</v>
      </c>
      <c r="C90">
        <v>-2.7489498190783723E-2</v>
      </c>
      <c r="D90">
        <v>-2.3066998018216212E-2</v>
      </c>
      <c r="E90">
        <v>6.852552480117069E-3</v>
      </c>
      <c r="F90">
        <v>1.3050121333772813E-2</v>
      </c>
      <c r="G90">
        <v>1.4661661156870398E-2</v>
      </c>
      <c r="H90">
        <v>-8.1599753983612189E-3</v>
      </c>
      <c r="I90">
        <v>-1.0886826127866844E-2</v>
      </c>
      <c r="J90">
        <v>-3.2138089090594235E-4</v>
      </c>
      <c r="K90">
        <v>-7.4291117698970233E-3</v>
      </c>
      <c r="L90">
        <v>-5.0582091672951024E-2</v>
      </c>
      <c r="M90">
        <v>-4.6510986692748224E-3</v>
      </c>
      <c r="N90">
        <v>-1.789345782439089E-2</v>
      </c>
      <c r="O90">
        <v>-9.876820707390932E-3</v>
      </c>
      <c r="P90">
        <v>-1.0873187113345173E-2</v>
      </c>
      <c r="Q90">
        <v>-1.4843100560157918E-3</v>
      </c>
      <c r="R90">
        <v>6.021661610244422E-3</v>
      </c>
      <c r="S90">
        <v>9.9636640595424097E-4</v>
      </c>
      <c r="T90">
        <v>4.8901459354115939E-3</v>
      </c>
      <c r="V90" t="s">
        <v>225</v>
      </c>
      <c r="W90">
        <v>0.81677533851391093</v>
      </c>
      <c r="X90">
        <v>0.9911906269822971</v>
      </c>
      <c r="Y90">
        <v>0.8240345663887102</v>
      </c>
      <c r="Z90">
        <v>0.41177021714969142</v>
      </c>
      <c r="AA90">
        <v>-1.1483564844288197</v>
      </c>
      <c r="AB90">
        <v>2.7819071614566413</v>
      </c>
      <c r="AC90">
        <v>-1.1483564844288197</v>
      </c>
      <c r="AD90">
        <v>2.7819071614566413</v>
      </c>
    </row>
    <row r="91" spans="1:42" x14ac:dyDescent="0.2">
      <c r="A91">
        <v>8.8273705300445648E-4</v>
      </c>
      <c r="B91">
        <v>-2.6182569434831882E-2</v>
      </c>
      <c r="C91">
        <v>-4.4730831946099281E-3</v>
      </c>
      <c r="D91">
        <v>-1.7460618278639317E-2</v>
      </c>
      <c r="E91">
        <v>1.0483136930506509E-2</v>
      </c>
      <c r="F91">
        <v>-2.9277294423118994E-3</v>
      </c>
      <c r="G91">
        <v>1.1210101976953935E-2</v>
      </c>
      <c r="H91">
        <v>-7.1170361838089891E-3</v>
      </c>
      <c r="I91">
        <v>-1.4342607218430503E-2</v>
      </c>
      <c r="J91">
        <v>6.1608025568010705E-3</v>
      </c>
      <c r="K91">
        <v>-6.3868590696966043E-3</v>
      </c>
      <c r="L91">
        <v>-5.0442416282042379E-2</v>
      </c>
      <c r="M91">
        <v>-1.0231641019400994E-2</v>
      </c>
      <c r="N91">
        <v>-2.3148751074414609E-2</v>
      </c>
      <c r="O91">
        <v>-1.2971422260582011E-2</v>
      </c>
      <c r="P91">
        <v>-1.046439447679004E-2</v>
      </c>
      <c r="Q91">
        <v>4.0717453730455544E-3</v>
      </c>
      <c r="R91">
        <v>1.1060934305678449E-2</v>
      </c>
      <c r="S91">
        <v>-2.5070277837919708E-3</v>
      </c>
      <c r="T91">
        <v>-1.0044765626120888E-2</v>
      </c>
      <c r="V91" t="s">
        <v>226</v>
      </c>
      <c r="W91">
        <v>0.12636848506016218</v>
      </c>
      <c r="X91">
        <v>0.68549662386893018</v>
      </c>
      <c r="Y91">
        <v>0.18434588976812286</v>
      </c>
      <c r="Z91">
        <v>0.85409433345782326</v>
      </c>
      <c r="AA91">
        <v>-1.2326952443718731</v>
      </c>
      <c r="AB91">
        <v>1.4854322144921974</v>
      </c>
      <c r="AC91">
        <v>-1.2326952443718731</v>
      </c>
      <c r="AD91">
        <v>1.4854322144921974</v>
      </c>
    </row>
    <row r="92" spans="1:42" x14ac:dyDescent="0.2">
      <c r="A92">
        <v>9.3469597600953636E-3</v>
      </c>
      <c r="B92">
        <v>1.598336272637535E-2</v>
      </c>
      <c r="C92">
        <v>4.5354584986781687E-2</v>
      </c>
      <c r="D92">
        <v>1.6608689013653533E-2</v>
      </c>
      <c r="E92">
        <v>4.0716808602804133E-2</v>
      </c>
      <c r="F92">
        <v>1.5868025483752435E-2</v>
      </c>
      <c r="G92">
        <v>1.9459361063074443E-2</v>
      </c>
      <c r="H92">
        <v>-3.5134893072694684E-3</v>
      </c>
      <c r="I92">
        <v>-1.0023467905588612E-2</v>
      </c>
      <c r="J92">
        <v>2.3145777775859688E-2</v>
      </c>
      <c r="K92">
        <v>-1.5810151599922495E-2</v>
      </c>
      <c r="L92">
        <v>2.9617689324444418E-2</v>
      </c>
      <c r="M92">
        <v>-1.9253108511602113E-3</v>
      </c>
      <c r="N92">
        <v>8.4577081264123333E-2</v>
      </c>
      <c r="O92">
        <v>3.4010100506687291E-3</v>
      </c>
      <c r="P92">
        <v>3.4345024117495848E-3</v>
      </c>
      <c r="Q92">
        <v>1.7063345671843533E-2</v>
      </c>
      <c r="R92">
        <v>4.3724504936800024E-2</v>
      </c>
      <c r="S92">
        <v>-3.3492361080855737E-5</v>
      </c>
      <c r="T92">
        <v>1.2354536176482966E-2</v>
      </c>
      <c r="V92" t="s">
        <v>227</v>
      </c>
      <c r="W92">
        <v>-0.13782943327215461</v>
      </c>
      <c r="X92">
        <v>0.49763016709134927</v>
      </c>
      <c r="Y92">
        <v>-0.27697161946143317</v>
      </c>
      <c r="Z92">
        <v>0.78234128806842096</v>
      </c>
      <c r="AA92">
        <v>-1.1244296399193716</v>
      </c>
      <c r="AB92">
        <v>0.84877077337506235</v>
      </c>
      <c r="AC92">
        <v>-1.1244296399193716</v>
      </c>
      <c r="AD92">
        <v>0.84877077337506235</v>
      </c>
    </row>
    <row r="93" spans="1:42" x14ac:dyDescent="0.2">
      <c r="A93">
        <v>1.2349418442985982E-2</v>
      </c>
      <c r="B93">
        <v>-6.0560241851614016E-2</v>
      </c>
      <c r="C93">
        <v>-7.4941779281208265E-2</v>
      </c>
      <c r="D93">
        <v>-5.2164075416469835E-3</v>
      </c>
      <c r="E93">
        <v>1.151010861726709E-2</v>
      </c>
      <c r="F93">
        <v>1.4609963037143903E-2</v>
      </c>
      <c r="G93">
        <v>5.3210484965360294E-3</v>
      </c>
      <c r="H93">
        <v>-5.4681116864943036E-2</v>
      </c>
      <c r="I93">
        <v>-5.2774459891994585E-2</v>
      </c>
      <c r="J93">
        <v>9.6312827023988801E-3</v>
      </c>
      <c r="K93">
        <v>-3.2680635012279913E-2</v>
      </c>
      <c r="L93">
        <v>9.9858719603633794E-3</v>
      </c>
      <c r="M93">
        <v>-3.7205475368279117E-2</v>
      </c>
      <c r="N93">
        <v>0.12199993853907376</v>
      </c>
      <c r="O93">
        <v>-2.4465804041879369E-2</v>
      </c>
      <c r="P93">
        <v>-2.7617308491720838E-3</v>
      </c>
      <c r="Q93">
        <v>5.4431745927553399E-3</v>
      </c>
      <c r="R93">
        <v>1.9951230325869984E-2</v>
      </c>
      <c r="S93">
        <v>-2.1704073192707285E-2</v>
      </c>
      <c r="T93">
        <v>-4.0071153827799133E-2</v>
      </c>
      <c r="V93" t="s">
        <v>228</v>
      </c>
      <c r="W93">
        <v>-8.8032230639960574E-2</v>
      </c>
      <c r="X93">
        <v>0.25215897520171937</v>
      </c>
      <c r="Y93">
        <v>-0.34911400861118475</v>
      </c>
      <c r="Z93">
        <v>0.72769627151255367</v>
      </c>
      <c r="AA93">
        <v>-0.5879619244044838</v>
      </c>
      <c r="AB93">
        <v>0.41189746312456266</v>
      </c>
      <c r="AC93">
        <v>-0.5879619244044838</v>
      </c>
      <c r="AD93">
        <v>0.41189746312456266</v>
      </c>
    </row>
    <row r="94" spans="1:42" x14ac:dyDescent="0.2">
      <c r="A94">
        <v>1.7068698759490353E-3</v>
      </c>
      <c r="B94">
        <v>-3.3929943999121415E-2</v>
      </c>
      <c r="C94">
        <v>-0.20058644038488704</v>
      </c>
      <c r="D94">
        <v>-1.2433538373822772E-2</v>
      </c>
      <c r="E94">
        <v>-8.3202631880940903E-4</v>
      </c>
      <c r="F94">
        <v>7.274610802566972E-3</v>
      </c>
      <c r="G94">
        <v>-4.200561258925084E-2</v>
      </c>
      <c r="H94">
        <v>-4.3221799270831252E-2</v>
      </c>
      <c r="I94">
        <v>-7.3684392965962964E-2</v>
      </c>
      <c r="J94">
        <v>1.8890449732044123E-3</v>
      </c>
      <c r="K94">
        <v>-4.1803399819180909E-2</v>
      </c>
      <c r="L94">
        <v>-0.14734994208325436</v>
      </c>
      <c r="M94">
        <v>-3.9415250609949881E-2</v>
      </c>
      <c r="N94">
        <v>-0.11052011722494592</v>
      </c>
      <c r="O94">
        <v>-2.2738241229829148E-2</v>
      </c>
      <c r="P94">
        <v>-5.9400443721741025E-3</v>
      </c>
      <c r="Q94">
        <v>9.9451249741936421E-3</v>
      </c>
      <c r="R94">
        <v>2.3388110335182954E-3</v>
      </c>
      <c r="S94">
        <v>-1.6798196857655046E-2</v>
      </c>
      <c r="T94">
        <v>-3.5947188468264279E-2</v>
      </c>
      <c r="V94" t="s">
        <v>229</v>
      </c>
      <c r="W94">
        <v>0.66094189324542219</v>
      </c>
      <c r="X94">
        <v>0.13507041570183229</v>
      </c>
      <c r="Y94">
        <v>4.89331353436011</v>
      </c>
      <c r="Z94">
        <v>3.5586545165465362E-6</v>
      </c>
      <c r="AA94">
        <v>0.39315165692944182</v>
      </c>
      <c r="AB94">
        <v>0.92873212956140261</v>
      </c>
      <c r="AC94">
        <v>0.39315165692944182</v>
      </c>
      <c r="AD94">
        <v>0.92873212956140261</v>
      </c>
    </row>
    <row r="95" spans="1:42" x14ac:dyDescent="0.2">
      <c r="A95">
        <v>-7.9599154734211197E-5</v>
      </c>
      <c r="B95">
        <v>0.11508768859524854</v>
      </c>
      <c r="C95">
        <v>9.3165490211945201E-2</v>
      </c>
      <c r="D95">
        <v>-9.2932404149276282E-3</v>
      </c>
      <c r="E95">
        <v>1.1223092991877515E-2</v>
      </c>
      <c r="F95">
        <v>1.0741690902129619E-3</v>
      </c>
      <c r="G95">
        <v>4.5089641618925924E-2</v>
      </c>
      <c r="H95">
        <v>5.8483067583956938E-2</v>
      </c>
      <c r="I95">
        <v>0.10973930274482058</v>
      </c>
      <c r="J95">
        <v>-4.7517361960460747E-3</v>
      </c>
      <c r="K95">
        <v>4.2065054134454716E-2</v>
      </c>
      <c r="L95">
        <v>6.6183529972758892E-2</v>
      </c>
      <c r="M95">
        <v>3.0256829242732541E-2</v>
      </c>
      <c r="N95">
        <v>5.5986303647639124E-2</v>
      </c>
      <c r="O95">
        <v>7.5684685760968318E-3</v>
      </c>
      <c r="P95">
        <v>-5.0950981048070165E-3</v>
      </c>
      <c r="Q95">
        <v>-6.0212196763237413E-2</v>
      </c>
      <c r="R95">
        <v>1.1497070344723692E-2</v>
      </c>
      <c r="S95">
        <v>1.2663566680903848E-2</v>
      </c>
      <c r="T95">
        <v>5.95572366741699E-2</v>
      </c>
      <c r="V95" t="s">
        <v>230</v>
      </c>
      <c r="W95">
        <v>2.8701345008881654</v>
      </c>
      <c r="X95">
        <v>1.0051076144898372</v>
      </c>
      <c r="Y95">
        <v>2.8555494551147742</v>
      </c>
      <c r="Z95">
        <v>5.1699787468450324E-3</v>
      </c>
      <c r="AA95">
        <v>0.87741089662096106</v>
      </c>
      <c r="AB95">
        <v>4.8628581051553699</v>
      </c>
      <c r="AC95">
        <v>0.87741089662096106</v>
      </c>
      <c r="AD95">
        <v>4.8628581051553699</v>
      </c>
    </row>
    <row r="96" spans="1:42" x14ac:dyDescent="0.2">
      <c r="A96">
        <v>1.8194410852883092E-3</v>
      </c>
      <c r="B96">
        <v>-1.7225563143410394E-2</v>
      </c>
      <c r="C96">
        <v>-3.0156198018320812E-2</v>
      </c>
      <c r="D96">
        <v>-6.527056965234701E-3</v>
      </c>
      <c r="E96">
        <v>1.296199895887562E-2</v>
      </c>
      <c r="F96">
        <v>-8.6754524647991715E-4</v>
      </c>
      <c r="G96">
        <v>-5.8542816086857297E-3</v>
      </c>
      <c r="H96">
        <v>-2.1247847558473532E-2</v>
      </c>
      <c r="I96">
        <v>-9.6456063086947097E-5</v>
      </c>
      <c r="J96">
        <v>5.0854595702854999E-3</v>
      </c>
      <c r="K96">
        <v>-1.4348662003538237E-3</v>
      </c>
      <c r="L96">
        <v>-2.2190194824339926E-2</v>
      </c>
      <c r="M96">
        <v>-1.1847623913450844E-2</v>
      </c>
      <c r="N96">
        <v>1.8458039307167384E-2</v>
      </c>
      <c r="O96">
        <v>-8.4087184938023141E-3</v>
      </c>
      <c r="P96">
        <v>-2.4594883000992329E-3</v>
      </c>
      <c r="Q96">
        <v>-1.8004876664051372E-2</v>
      </c>
      <c r="R96">
        <v>1.1380370957218666E-2</v>
      </c>
      <c r="S96">
        <v>-5.9492301937030811E-3</v>
      </c>
      <c r="T96">
        <v>-2.2115392804953449E-2</v>
      </c>
      <c r="V96" t="s">
        <v>231</v>
      </c>
      <c r="W96">
        <v>9.7632030427074884E-2</v>
      </c>
      <c r="X96">
        <v>0.10691173015413874</v>
      </c>
      <c r="Y96">
        <v>0.91320223034754977</v>
      </c>
      <c r="Z96">
        <v>0.36320860561644008</v>
      </c>
      <c r="AA96">
        <v>-0.11433087302713253</v>
      </c>
      <c r="AB96">
        <v>0.30959493388128229</v>
      </c>
      <c r="AC96">
        <v>-0.11433087302713253</v>
      </c>
      <c r="AD96">
        <v>0.30959493388128229</v>
      </c>
    </row>
    <row r="97" spans="1:30" x14ac:dyDescent="0.2">
      <c r="A97">
        <v>7.0121533016926918E-3</v>
      </c>
      <c r="B97">
        <v>-8.8155984235637197E-3</v>
      </c>
      <c r="C97">
        <v>-4.251515088373814E-2</v>
      </c>
      <c r="D97">
        <v>-2.4774665427476084E-3</v>
      </c>
      <c r="E97">
        <v>2.0602759181309604E-3</v>
      </c>
      <c r="F97">
        <v>1.0990831452971861E-2</v>
      </c>
      <c r="G97">
        <v>1.1795356805082147E-2</v>
      </c>
      <c r="H97">
        <v>1.3795934670993049E-2</v>
      </c>
      <c r="I97">
        <v>-3.2155122585522111E-3</v>
      </c>
      <c r="J97">
        <v>-2.3367054959672728E-2</v>
      </c>
      <c r="K97">
        <v>-3.6237187872159016E-3</v>
      </c>
      <c r="L97">
        <v>-3.7479116915664301E-2</v>
      </c>
      <c r="M97">
        <v>-2.1027664599208018E-3</v>
      </c>
      <c r="N97">
        <v>-0.10389669882898611</v>
      </c>
      <c r="O97">
        <v>-4.9091743503163476E-3</v>
      </c>
      <c r="P97">
        <v>-8.6996348110029986E-3</v>
      </c>
      <c r="Q97">
        <v>-1.9372139308067027E-2</v>
      </c>
      <c r="R97">
        <v>3.5618508722616848E-3</v>
      </c>
      <c r="S97">
        <v>3.790460460686651E-3</v>
      </c>
      <c r="T97">
        <v>2.478676612396491E-2</v>
      </c>
      <c r="V97" t="s">
        <v>232</v>
      </c>
      <c r="W97">
        <v>0</v>
      </c>
      <c r="X97">
        <v>0</v>
      </c>
      <c r="Y97">
        <v>65535</v>
      </c>
      <c r="Z97" t="e">
        <v>#NUM!</v>
      </c>
      <c r="AA97">
        <v>0</v>
      </c>
      <c r="AB97">
        <v>0</v>
      </c>
      <c r="AC97">
        <v>0</v>
      </c>
      <c r="AD97">
        <v>0</v>
      </c>
    </row>
    <row r="98" spans="1:30" x14ac:dyDescent="0.2">
      <c r="A98">
        <v>4.0755613431917581E-3</v>
      </c>
      <c r="B98">
        <v>7.6174531756827424E-2</v>
      </c>
      <c r="C98">
        <v>0.10917466712485657</v>
      </c>
      <c r="D98">
        <v>1.2674140364055342E-2</v>
      </c>
      <c r="E98">
        <v>2.545106997995239E-2</v>
      </c>
      <c r="F98">
        <v>8.7807027952468975E-3</v>
      </c>
      <c r="G98">
        <v>1.7619047619047645E-2</v>
      </c>
      <c r="H98">
        <v>2.0248602123550175E-2</v>
      </c>
      <c r="I98">
        <v>5.9691660457493523E-2</v>
      </c>
      <c r="J98">
        <v>2.186186967987469E-2</v>
      </c>
      <c r="K98">
        <v>2.5835901386118021E-2</v>
      </c>
      <c r="L98">
        <v>2.4728675455360172E-2</v>
      </c>
      <c r="M98">
        <v>2.5348004996498696E-2</v>
      </c>
      <c r="N98">
        <v>0.1104536363113533</v>
      </c>
      <c r="O98">
        <v>1.57456894257475E-2</v>
      </c>
      <c r="P98">
        <v>-3.9926837045045627E-3</v>
      </c>
      <c r="Q98">
        <v>-5.9908436141125065E-3</v>
      </c>
      <c r="R98">
        <v>2.8705893156408591E-2</v>
      </c>
      <c r="S98">
        <v>1.9738373130252063E-2</v>
      </c>
      <c r="T98">
        <v>2.9029304918797072E-2</v>
      </c>
      <c r="V98" t="s">
        <v>233</v>
      </c>
      <c r="W98">
        <v>-2.1954938421612242</v>
      </c>
      <c r="X98">
        <v>1.0777431147718879</v>
      </c>
      <c r="Y98">
        <v>-2.0371216592053258</v>
      </c>
      <c r="Z98" t="e">
        <v>#NUM!</v>
      </c>
      <c r="AA98">
        <v>-4.3322243903945896</v>
      </c>
      <c r="AB98">
        <v>-5.8763293927859145E-2</v>
      </c>
      <c r="AC98">
        <v>-4.3322243903945896</v>
      </c>
      <c r="AD98">
        <v>-5.8763293927859145E-2</v>
      </c>
    </row>
    <row r="99" spans="1:30" x14ac:dyDescent="0.2">
      <c r="A99">
        <v>9.225042191001176E-4</v>
      </c>
      <c r="B99">
        <v>7.3505104521147224E-2</v>
      </c>
      <c r="C99">
        <v>7.8517511604270229E-3</v>
      </c>
      <c r="D99">
        <v>7.894786998136949E-3</v>
      </c>
      <c r="E99">
        <v>-3.2189280242237439E-3</v>
      </c>
      <c r="F99">
        <v>-2.2964942055525572E-4</v>
      </c>
      <c r="G99">
        <v>2.951524289849039E-2</v>
      </c>
      <c r="H99">
        <v>2.3014817999653325E-2</v>
      </c>
      <c r="I99">
        <v>4.7824706102695291E-2</v>
      </c>
      <c r="J99">
        <v>7.9615903943641708E-3</v>
      </c>
      <c r="K99">
        <v>-1.9309842736031646E-2</v>
      </c>
      <c r="L99">
        <v>2.6986806266247276E-2</v>
      </c>
      <c r="M99">
        <v>1.8638052639932789E-2</v>
      </c>
      <c r="N99">
        <v>-2.3593591750299181E-2</v>
      </c>
      <c r="O99">
        <v>1.3200955980328555E-2</v>
      </c>
      <c r="P99">
        <v>-2.5665610837164454E-3</v>
      </c>
      <c r="Q99">
        <v>-1.4307816435817688E-2</v>
      </c>
      <c r="R99">
        <v>-3.6465563029186576E-3</v>
      </c>
      <c r="S99">
        <v>1.5767517064045E-2</v>
      </c>
      <c r="T99">
        <v>2.278516857909807E-2</v>
      </c>
      <c r="V99" t="s">
        <v>234</v>
      </c>
      <c r="W99">
        <v>4.4764504275654128E-2</v>
      </c>
      <c r="X99">
        <v>0.79998881228259766</v>
      </c>
      <c r="Y99">
        <v>5.5956412875235284E-2</v>
      </c>
      <c r="Z99">
        <v>0.95548186754507136</v>
      </c>
      <c r="AA99">
        <v>-1.5412911243988581</v>
      </c>
      <c r="AB99">
        <v>1.6308201329501661</v>
      </c>
      <c r="AC99">
        <v>-1.5412911243988581</v>
      </c>
      <c r="AD99">
        <v>1.6308201329501661</v>
      </c>
    </row>
    <row r="100" spans="1:30" x14ac:dyDescent="0.2">
      <c r="A100">
        <v>5.4635290694315941E-4</v>
      </c>
      <c r="B100">
        <v>5.0434674082217912E-2</v>
      </c>
      <c r="C100">
        <v>-5.3980776476741155E-2</v>
      </c>
      <c r="D100">
        <v>-1.3289784139097427E-2</v>
      </c>
      <c r="E100">
        <v>-5.5639715915867249E-3</v>
      </c>
      <c r="F100">
        <v>-5.4792371646907867E-3</v>
      </c>
      <c r="G100">
        <v>9.4272920103710689E-4</v>
      </c>
      <c r="H100">
        <v>4.5436507331165776E-3</v>
      </c>
      <c r="I100">
        <v>3.2891826715694128E-2</v>
      </c>
      <c r="J100">
        <v>3.2478174507566404E-3</v>
      </c>
      <c r="K100">
        <v>-7.287059181204425E-3</v>
      </c>
      <c r="L100">
        <v>-4.1365310590923743E-2</v>
      </c>
      <c r="M100">
        <v>3.9488332868424791E-3</v>
      </c>
      <c r="N100">
        <v>-1.6861547891275031E-2</v>
      </c>
      <c r="O100">
        <v>1.3742676150236832E-3</v>
      </c>
      <c r="P100">
        <v>-3.7818742078556955E-3</v>
      </c>
      <c r="Q100">
        <v>-3.2856250783209973E-2</v>
      </c>
      <c r="R100">
        <v>-8.1575057115979011E-3</v>
      </c>
      <c r="S100">
        <v>5.1561418228793787E-3</v>
      </c>
      <c r="T100">
        <v>-9.3558643157420907E-4</v>
      </c>
      <c r="V100" t="s">
        <v>235</v>
      </c>
      <c r="W100">
        <v>0.23407308216672096</v>
      </c>
      <c r="X100">
        <v>0.39845121196778183</v>
      </c>
      <c r="Y100">
        <v>0.58745732259348171</v>
      </c>
      <c r="Z100">
        <v>0.55814592400232943</v>
      </c>
      <c r="AA100">
        <v>-0.5558951996277478</v>
      </c>
      <c r="AB100">
        <v>1.0240413639611896</v>
      </c>
      <c r="AC100">
        <v>-0.5558951996277478</v>
      </c>
      <c r="AD100">
        <v>1.0240413639611896</v>
      </c>
    </row>
    <row r="101" spans="1:30" x14ac:dyDescent="0.2">
      <c r="A101">
        <v>6.4332014175692009E-3</v>
      </c>
      <c r="B101">
        <v>-1.8933045770742951E-2</v>
      </c>
      <c r="C101">
        <v>3.0428235311004137E-3</v>
      </c>
      <c r="D101">
        <v>-5.8454730776176245E-3</v>
      </c>
      <c r="E101">
        <v>2.0287823631149449E-2</v>
      </c>
      <c r="F101">
        <v>1.1086449519474462E-2</v>
      </c>
      <c r="G101">
        <v>1.7558612802314189E-2</v>
      </c>
      <c r="H101">
        <v>-8.6388088692923581E-4</v>
      </c>
      <c r="I101">
        <v>-1.5445927847312912E-3</v>
      </c>
      <c r="J101">
        <v>8.6526601626244481E-3</v>
      </c>
      <c r="K101">
        <v>-9.1698007191365338E-3</v>
      </c>
      <c r="L101">
        <v>-4.2323117162766932E-3</v>
      </c>
      <c r="M101">
        <v>-3.3190076789352263E-3</v>
      </c>
      <c r="N101">
        <v>-2.0381860144471631E-3</v>
      </c>
      <c r="O101">
        <v>-2.8145952957865372E-3</v>
      </c>
      <c r="P101">
        <v>-5.7231793588730095E-3</v>
      </c>
      <c r="Q101">
        <v>-1.9110415846274043E-3</v>
      </c>
      <c r="R101">
        <v>2.2289066840101457E-2</v>
      </c>
      <c r="S101">
        <v>2.9085840630864723E-3</v>
      </c>
      <c r="T101">
        <v>1.0222568632545226E-2</v>
      </c>
      <c r="V101" t="s">
        <v>236</v>
      </c>
      <c r="W101">
        <v>-1.765935153991532</v>
      </c>
      <c r="X101">
        <v>1.2301479026998445</v>
      </c>
      <c r="Y101">
        <v>-1.4355470184648351</v>
      </c>
      <c r="Z101">
        <v>0.15407562523942031</v>
      </c>
      <c r="AA101">
        <v>-4.2048230174508152</v>
      </c>
      <c r="AB101">
        <v>0.67295270946775154</v>
      </c>
      <c r="AC101">
        <v>-4.2048230174508152</v>
      </c>
      <c r="AD101">
        <v>0.67295270946775154</v>
      </c>
    </row>
    <row r="102" spans="1:30" ht="16" thickBot="1" x14ac:dyDescent="0.25">
      <c r="A102">
        <v>3.061028274291111E-3</v>
      </c>
      <c r="B102">
        <v>-7.725710991178969E-2</v>
      </c>
      <c r="C102">
        <v>-9.6578583780657645E-2</v>
      </c>
      <c r="D102">
        <v>3.9323302788962788E-3</v>
      </c>
      <c r="E102">
        <v>1.8324495543107222E-2</v>
      </c>
      <c r="F102">
        <v>9.048261106963329E-3</v>
      </c>
      <c r="G102">
        <v>-2.7718091963901959E-2</v>
      </c>
      <c r="H102">
        <v>-2.1120801506882003E-2</v>
      </c>
      <c r="I102">
        <v>-6.4146341840475962E-2</v>
      </c>
      <c r="J102">
        <v>-5.5058055253708327E-3</v>
      </c>
      <c r="K102">
        <v>-6.0891766074488984E-3</v>
      </c>
      <c r="L102">
        <v>-9.1319863255492129E-2</v>
      </c>
      <c r="M102">
        <v>-2.3300716813589251E-2</v>
      </c>
      <c r="N102">
        <v>-6.2616008409671076E-2</v>
      </c>
      <c r="O102">
        <v>-1.1900829122259204E-2</v>
      </c>
      <c r="P102">
        <v>-1.356631426410071E-3</v>
      </c>
      <c r="Q102">
        <v>1.2972851297161081E-2</v>
      </c>
      <c r="R102">
        <v>2.4175591135616514E-2</v>
      </c>
      <c r="S102">
        <v>-1.0544197695849133E-2</v>
      </c>
      <c r="T102">
        <v>-1.2072540399918674E-2</v>
      </c>
      <c r="V102" s="4" t="s">
        <v>237</v>
      </c>
      <c r="W102" s="4">
        <v>-1.2727532481491219</v>
      </c>
      <c r="X102" s="4">
        <v>1.0359453029371697</v>
      </c>
      <c r="Y102" s="4">
        <v>-1.2285911664839266</v>
      </c>
      <c r="Z102" s="4">
        <v>0.22194585454959087</v>
      </c>
      <c r="AA102" s="4">
        <v>-3.3266155690911852</v>
      </c>
      <c r="AB102" s="4">
        <v>0.78110907279294128</v>
      </c>
      <c r="AC102" s="4">
        <v>-3.3266155690911852</v>
      </c>
      <c r="AD102" s="4">
        <v>0.78110907279294128</v>
      </c>
    </row>
    <row r="103" spans="1:30" x14ac:dyDescent="0.2">
      <c r="A103">
        <v>1.1069722694583284E-3</v>
      </c>
      <c r="B103">
        <v>2.9656527313741465E-2</v>
      </c>
      <c r="C103">
        <v>3.7842422191132208E-3</v>
      </c>
      <c r="D103">
        <v>-1.4253780032522867E-2</v>
      </c>
      <c r="E103">
        <v>-3.5917039025920028E-3</v>
      </c>
      <c r="F103">
        <v>3.9203560345879573E-4</v>
      </c>
      <c r="G103">
        <v>3.5682107947301311E-2</v>
      </c>
      <c r="H103">
        <v>1.9945433562910786E-2</v>
      </c>
      <c r="I103">
        <v>2.7153093515513982E-2</v>
      </c>
      <c r="J103">
        <v>-2.2495979286005552E-2</v>
      </c>
      <c r="K103">
        <v>8.6978029228439446E-3</v>
      </c>
      <c r="L103">
        <v>5.4929753128882819E-2</v>
      </c>
      <c r="M103">
        <v>1.7875513651273156E-3</v>
      </c>
      <c r="N103">
        <v>2.3671748338684129E-2</v>
      </c>
      <c r="O103">
        <v>-4.0606946280623557E-3</v>
      </c>
      <c r="P103">
        <v>-1.2886849157860869E-2</v>
      </c>
      <c r="Q103">
        <v>-3.1983860838842748E-2</v>
      </c>
      <c r="R103">
        <v>-1.5960934534285931E-3</v>
      </c>
      <c r="S103">
        <v>8.8261545297985133E-3</v>
      </c>
      <c r="T103">
        <v>2.0337469166369582E-2</v>
      </c>
    </row>
    <row r="104" spans="1:30" x14ac:dyDescent="0.2">
      <c r="A104">
        <v>7.9823348472947142E-3</v>
      </c>
      <c r="B104">
        <v>9.7500114777939739E-3</v>
      </c>
      <c r="C104">
        <v>-2.4815047729092043E-2</v>
      </c>
      <c r="D104">
        <v>2.0036864847239544E-2</v>
      </c>
      <c r="E104">
        <v>1.4254054744972988E-2</v>
      </c>
      <c r="F104">
        <v>1.3793141513547491E-2</v>
      </c>
      <c r="G104">
        <v>4.0033484341146286E-2</v>
      </c>
      <c r="H104">
        <v>5.3701592913111273E-3</v>
      </c>
      <c r="I104">
        <v>1.3404918198298699E-2</v>
      </c>
      <c r="J104">
        <v>3.0551305981481036E-3</v>
      </c>
      <c r="K104">
        <v>-2.7708225631883021E-2</v>
      </c>
      <c r="L104">
        <v>6.46861266860701E-2</v>
      </c>
      <c r="M104">
        <v>4.6644080283071432E-3</v>
      </c>
      <c r="N104">
        <v>1.072334032364064E-2</v>
      </c>
      <c r="O104">
        <v>9.0257066089889371E-3</v>
      </c>
      <c r="P104">
        <v>-2.9906427809802683E-3</v>
      </c>
      <c r="Q104">
        <v>-1.1135555063880309E-2</v>
      </c>
      <c r="R104">
        <v>1.7939389749660917E-2</v>
      </c>
      <c r="S104">
        <v>1.2016349389969205E-2</v>
      </c>
      <c r="T104">
        <v>1.9163300804858618E-2</v>
      </c>
      <c r="V104" s="24" t="s">
        <v>3</v>
      </c>
    </row>
    <row r="105" spans="1:30" x14ac:dyDescent="0.2">
      <c r="A105">
        <v>1.0751396775179334E-3</v>
      </c>
      <c r="B105">
        <v>5.0039480905286426E-2</v>
      </c>
      <c r="C105">
        <v>2.7611325480874083E-3</v>
      </c>
      <c r="D105">
        <v>-2.3343535743141075E-3</v>
      </c>
      <c r="E105">
        <v>3.758403309968017E-4</v>
      </c>
      <c r="F105">
        <v>6.5332433197595741E-4</v>
      </c>
      <c r="G105">
        <v>1.1599829553524899E-2</v>
      </c>
      <c r="H105">
        <v>1.1405056120052048E-2</v>
      </c>
      <c r="I105">
        <v>2.6904143782650936E-2</v>
      </c>
      <c r="J105">
        <v>5.1925206532126289E-3</v>
      </c>
      <c r="K105">
        <v>1.0824634775562281E-2</v>
      </c>
      <c r="L105">
        <v>1.2983559928048782E-2</v>
      </c>
      <c r="M105">
        <v>1.1362965210602205E-2</v>
      </c>
      <c r="N105">
        <v>4.7857647189981201E-2</v>
      </c>
      <c r="O105">
        <v>6.6002649942331626E-3</v>
      </c>
      <c r="P105">
        <v>-3.9318030888184641E-3</v>
      </c>
      <c r="Q105">
        <v>-1.0744005186284822E-2</v>
      </c>
      <c r="R105">
        <v>-2.3769301946535704E-3</v>
      </c>
      <c r="S105">
        <v>1.0532068083051627E-2</v>
      </c>
      <c r="T105">
        <v>1.2058380452028006E-2</v>
      </c>
      <c r="V105" t="s">
        <v>104</v>
      </c>
    </row>
    <row r="106" spans="1:30" ht="16" thickBot="1" x14ac:dyDescent="0.25">
      <c r="A106">
        <v>1.9724782509262795E-3</v>
      </c>
      <c r="B106">
        <v>1.2017557701822223E-2</v>
      </c>
      <c r="C106">
        <v>0.11014705810817071</v>
      </c>
      <c r="D106">
        <v>-4.0594287285733444E-4</v>
      </c>
      <c r="E106">
        <v>1.011820416982645E-2</v>
      </c>
      <c r="F106">
        <v>1.3765261485561009E-3</v>
      </c>
      <c r="G106">
        <v>1.4727448594339831E-2</v>
      </c>
      <c r="H106">
        <v>1.2866596344935699E-2</v>
      </c>
      <c r="I106">
        <v>1.9611250416183834E-2</v>
      </c>
      <c r="J106">
        <v>-1.2131287971125948E-2</v>
      </c>
      <c r="K106">
        <v>6.9963728355182386E-3</v>
      </c>
      <c r="L106">
        <v>1.705559998270556E-2</v>
      </c>
      <c r="M106">
        <v>1.275294932876947E-2</v>
      </c>
      <c r="N106">
        <v>4.7521943434701619E-2</v>
      </c>
      <c r="O106">
        <v>6.5387650685306831E-3</v>
      </c>
      <c r="P106">
        <v>-6.5924129485634975E-3</v>
      </c>
      <c r="Q106">
        <v>-6.2224506052703799E-3</v>
      </c>
      <c r="R106">
        <v>7.1775627770827022E-3</v>
      </c>
      <c r="S106">
        <v>1.3131178017094181E-2</v>
      </c>
      <c r="T106">
        <v>1.42431224934918E-2</v>
      </c>
    </row>
    <row r="107" spans="1:30" x14ac:dyDescent="0.2">
      <c r="A107">
        <v>-1.7269326068826141E-3</v>
      </c>
      <c r="B107">
        <v>-6.7603352632396696E-2</v>
      </c>
      <c r="C107">
        <v>-9.2796302919460949E-2</v>
      </c>
      <c r="D107">
        <v>-1.8425307002197577E-2</v>
      </c>
      <c r="E107">
        <v>5.7418970255702639E-3</v>
      </c>
      <c r="F107">
        <v>1.9668675189759011E-3</v>
      </c>
      <c r="G107">
        <v>8.1639555979213796E-3</v>
      </c>
      <c r="H107">
        <v>6.2805842146256285E-3</v>
      </c>
      <c r="I107">
        <v>-2.9186454607306289E-2</v>
      </c>
      <c r="J107">
        <v>-2.4276524684249456E-2</v>
      </c>
      <c r="K107">
        <v>-3.2304586296036941E-3</v>
      </c>
      <c r="L107">
        <v>-3.8728806637808533E-2</v>
      </c>
      <c r="M107">
        <v>4.3365114767168755E-3</v>
      </c>
      <c r="N107">
        <v>-2.9115531104528136E-2</v>
      </c>
      <c r="O107">
        <v>-2.0813062460760534E-3</v>
      </c>
      <c r="P107">
        <v>-8.5619724767274086E-3</v>
      </c>
      <c r="Q107">
        <v>1.5978653706865464E-2</v>
      </c>
      <c r="R107">
        <v>7.4643573767028126E-3</v>
      </c>
      <c r="S107">
        <v>6.4806662306513552E-3</v>
      </c>
      <c r="T107">
        <v>8.2474517336015296E-3</v>
      </c>
      <c r="V107" s="6" t="s">
        <v>105</v>
      </c>
      <c r="W107" s="6"/>
    </row>
    <row r="108" spans="1:30" x14ac:dyDescent="0.2">
      <c r="A108">
        <v>-1.8242953577762844E-3</v>
      </c>
      <c r="B108">
        <v>9.9679087352921858E-3</v>
      </c>
      <c r="C108">
        <v>6.982098157202965E-2</v>
      </c>
      <c r="D108">
        <v>-7.4883754524490698E-4</v>
      </c>
      <c r="E108">
        <v>6.3824219891057687E-3</v>
      </c>
      <c r="F108">
        <v>1.5779969741502864E-3</v>
      </c>
      <c r="G108">
        <v>1.5524682415018365E-2</v>
      </c>
      <c r="H108">
        <v>5.8451617760928443E-3</v>
      </c>
      <c r="I108">
        <v>1.6745329986961988E-2</v>
      </c>
      <c r="J108">
        <v>1.7160103535825311E-2</v>
      </c>
      <c r="K108">
        <v>-4.8779436311741087E-4</v>
      </c>
      <c r="L108">
        <v>5.1605444687807811E-4</v>
      </c>
      <c r="M108">
        <v>1.0234473797340327E-2</v>
      </c>
      <c r="N108">
        <v>-3.3010780809578089E-3</v>
      </c>
      <c r="O108">
        <v>4.5185292148639533E-3</v>
      </c>
      <c r="P108">
        <v>-1.0912606405140135E-3</v>
      </c>
      <c r="Q108">
        <v>-1.2980033197149687E-3</v>
      </c>
      <c r="R108">
        <v>7.14489374905658E-3</v>
      </c>
      <c r="S108">
        <v>5.6097898553779668E-3</v>
      </c>
      <c r="T108">
        <v>7.4231587502431307E-3</v>
      </c>
      <c r="V108" t="s">
        <v>106</v>
      </c>
      <c r="W108">
        <v>0.8304339194450171</v>
      </c>
    </row>
    <row r="109" spans="1:30" x14ac:dyDescent="0.2">
      <c r="A109">
        <v>1.262618276944627E-3</v>
      </c>
      <c r="B109">
        <v>-5.6157050926208818E-4</v>
      </c>
      <c r="C109">
        <v>-7.4757966172670498E-3</v>
      </c>
      <c r="D109">
        <v>1.0106631164133795E-2</v>
      </c>
      <c r="E109">
        <v>-7.7824117134394077E-3</v>
      </c>
      <c r="F109">
        <v>-1.4239152797478338E-3</v>
      </c>
      <c r="G109">
        <v>9.2955504497604924E-3</v>
      </c>
      <c r="H109">
        <v>1.7282381060420682E-2</v>
      </c>
      <c r="I109">
        <v>-2.7622410015171184E-4</v>
      </c>
      <c r="J109">
        <v>-2.0930873839065889E-2</v>
      </c>
      <c r="K109">
        <v>2.6510451601075014E-2</v>
      </c>
      <c r="L109">
        <v>-2.6071322172074196E-2</v>
      </c>
      <c r="M109">
        <v>1.9871607881609243E-2</v>
      </c>
      <c r="N109">
        <v>-2.3102444940727884E-2</v>
      </c>
      <c r="O109">
        <v>1.1279931639825103E-2</v>
      </c>
      <c r="P109">
        <v>-4.7757931271985576E-4</v>
      </c>
      <c r="Q109">
        <v>7.2503845849438697E-3</v>
      </c>
      <c r="R109">
        <v>-1.0766207597128985E-2</v>
      </c>
      <c r="S109">
        <v>1.1757510952544958E-2</v>
      </c>
      <c r="T109">
        <v>1.5858465780672848E-2</v>
      </c>
      <c r="V109" t="s">
        <v>107</v>
      </c>
      <c r="W109">
        <v>0.68962049456481311</v>
      </c>
    </row>
    <row r="110" spans="1:30" x14ac:dyDescent="0.2">
      <c r="A110">
        <v>-5.0028944559219468E-3</v>
      </c>
      <c r="B110">
        <v>1.3545670876807581E-2</v>
      </c>
      <c r="C110">
        <v>2.286054249587588E-2</v>
      </c>
      <c r="D110">
        <v>1.526979061451339E-2</v>
      </c>
      <c r="E110">
        <v>-7.9613245648367803E-3</v>
      </c>
      <c r="F110">
        <v>-6.9941823583949958E-3</v>
      </c>
      <c r="G110">
        <v>-1.4224073798541959E-2</v>
      </c>
      <c r="H110">
        <v>2.0752070007389767E-2</v>
      </c>
      <c r="I110">
        <v>4.2858990873723579E-2</v>
      </c>
      <c r="J110">
        <v>-2.2136558227891179E-2</v>
      </c>
      <c r="K110">
        <v>1.0797630567976002E-2</v>
      </c>
      <c r="L110">
        <v>2.3972595396878571E-2</v>
      </c>
      <c r="M110">
        <v>2.2881695580633243E-2</v>
      </c>
      <c r="N110">
        <v>-6.9537708538514043E-3</v>
      </c>
      <c r="O110">
        <v>2.0520075697851192E-2</v>
      </c>
      <c r="P110">
        <v>2.8292039105330957E-3</v>
      </c>
      <c r="Q110">
        <v>-1.8429381243616927E-2</v>
      </c>
      <c r="R110">
        <v>-9.3682925802787143E-3</v>
      </c>
      <c r="S110">
        <v>1.7690871787318097E-2</v>
      </c>
      <c r="T110">
        <v>1.3757887648994771E-2</v>
      </c>
      <c r="V110" t="s">
        <v>108</v>
      </c>
      <c r="W110">
        <v>0.63268715899257322</v>
      </c>
    </row>
    <row r="111" spans="1:30" x14ac:dyDescent="0.2">
      <c r="A111">
        <v>3.3893962604549799E-3</v>
      </c>
      <c r="B111">
        <v>5.869604478959678E-3</v>
      </c>
      <c r="C111">
        <v>-5.6316899264906461E-2</v>
      </c>
      <c r="D111">
        <v>-6.7914589939099823E-3</v>
      </c>
      <c r="E111">
        <v>5.2677673337726549E-3</v>
      </c>
      <c r="F111">
        <v>5.0123123795380309E-3</v>
      </c>
      <c r="G111">
        <v>-1.4187822622029334E-3</v>
      </c>
      <c r="H111">
        <v>-3.8462083704327021E-4</v>
      </c>
      <c r="I111">
        <v>1.2443911899440607E-2</v>
      </c>
      <c r="J111">
        <v>-1.9103449969299913E-3</v>
      </c>
      <c r="K111">
        <v>-2.5435862936724618E-3</v>
      </c>
      <c r="L111">
        <v>-4.0867983552996701E-2</v>
      </c>
      <c r="M111">
        <v>3.6419568818162329E-3</v>
      </c>
      <c r="N111">
        <v>-5.0543968263509154E-2</v>
      </c>
      <c r="O111">
        <v>2.6238727119396454E-3</v>
      </c>
      <c r="P111">
        <v>-1.255256793675219E-3</v>
      </c>
      <c r="Q111">
        <v>-1.0409827100810176E-2</v>
      </c>
      <c r="R111">
        <v>5.1787717092071084E-3</v>
      </c>
      <c r="S111">
        <v>3.8791295056148645E-3</v>
      </c>
      <c r="T111">
        <v>4.6276915424947607E-3</v>
      </c>
      <c r="V111" t="s">
        <v>109</v>
      </c>
      <c r="W111">
        <v>8.1881084631458753E-3</v>
      </c>
    </row>
    <row r="112" spans="1:30" ht="16" thickBot="1" x14ac:dyDescent="0.25">
      <c r="A112">
        <v>1.0087753106446939E-3</v>
      </c>
      <c r="B112">
        <v>2.4621590247969394E-2</v>
      </c>
      <c r="C112">
        <v>-4.5410230004328311E-2</v>
      </c>
      <c r="D112">
        <v>3.9177536223049536E-3</v>
      </c>
      <c r="E112">
        <v>5.372909659159042E-3</v>
      </c>
      <c r="F112">
        <v>7.9862224081450606E-4</v>
      </c>
      <c r="G112">
        <v>-7.5272067714631241E-3</v>
      </c>
      <c r="H112">
        <v>9.5074448476391016E-3</v>
      </c>
      <c r="I112">
        <v>3.7513132926226156E-2</v>
      </c>
      <c r="J112">
        <v>-2.1033503297300804E-3</v>
      </c>
      <c r="K112">
        <v>8.6705086329481595E-3</v>
      </c>
      <c r="L112">
        <v>6.7382468187171529E-3</v>
      </c>
      <c r="M112">
        <v>1.0048194037672209E-2</v>
      </c>
      <c r="N112">
        <v>1.1325580364773602E-2</v>
      </c>
      <c r="O112">
        <v>9.3186486452792039E-3</v>
      </c>
      <c r="P112">
        <v>4.8940210561854158E-4</v>
      </c>
      <c r="Q112">
        <v>-2.5280294908052614E-2</v>
      </c>
      <c r="R112">
        <v>3.7827077425052202E-3</v>
      </c>
      <c r="S112">
        <v>8.8292465396606623E-3</v>
      </c>
      <c r="T112">
        <v>1.0306067088453608E-2</v>
      </c>
      <c r="V112" s="4" t="s">
        <v>110</v>
      </c>
      <c r="W112" s="4">
        <v>120</v>
      </c>
    </row>
    <row r="113" spans="1:30" x14ac:dyDescent="0.2">
      <c r="A113">
        <v>5.2666606422180351E-3</v>
      </c>
      <c r="B113">
        <v>8.7959426567836285E-3</v>
      </c>
      <c r="C113">
        <v>-5.0701655971789328E-2</v>
      </c>
      <c r="D113">
        <v>6.477299538610426E-3</v>
      </c>
      <c r="E113">
        <v>6.5275320369748702E-3</v>
      </c>
      <c r="F113">
        <v>1.0118666333720494E-2</v>
      </c>
      <c r="G113">
        <v>2.8342115683348101E-2</v>
      </c>
      <c r="H113">
        <v>8.4516917403525404E-3</v>
      </c>
      <c r="I113">
        <v>2.1226629675467068E-2</v>
      </c>
      <c r="J113">
        <v>6.1058929339254941E-3</v>
      </c>
      <c r="K113">
        <v>-2.2940902240455641E-2</v>
      </c>
      <c r="L113">
        <v>-2.7909977375074835E-2</v>
      </c>
      <c r="M113">
        <v>9.918874697845137E-3</v>
      </c>
      <c r="N113">
        <v>-7.5611893583724554E-2</v>
      </c>
      <c r="O113">
        <v>8.5975033639389409E-3</v>
      </c>
      <c r="P113">
        <v>-2.0453467356416066E-3</v>
      </c>
      <c r="Q113">
        <v>-1.5608335795793682E-2</v>
      </c>
      <c r="R113">
        <v>7.5579583828075947E-3</v>
      </c>
      <c r="S113">
        <v>1.0642850099580548E-2</v>
      </c>
      <c r="T113">
        <v>1.8570358074073035E-2</v>
      </c>
    </row>
    <row r="114" spans="1:30" ht="16" thickBot="1" x14ac:dyDescent="0.25">
      <c r="A114">
        <v>-1.5384718455849433E-2</v>
      </c>
      <c r="B114">
        <v>4.4494655969298469E-2</v>
      </c>
      <c r="C114">
        <v>1.6030636735775206E-2</v>
      </c>
      <c r="D114">
        <v>-1.256238989283176E-2</v>
      </c>
      <c r="E114">
        <v>-4.7184527690352529E-2</v>
      </c>
      <c r="F114">
        <v>-1.7841980244843625E-2</v>
      </c>
      <c r="G114">
        <v>-3.8105534410497244E-2</v>
      </c>
      <c r="H114">
        <v>1.2532811630379226E-2</v>
      </c>
      <c r="I114">
        <v>1.8577364649125183E-2</v>
      </c>
      <c r="J114">
        <v>-7.0892743908621547E-3</v>
      </c>
      <c r="K114">
        <v>1.6576283848616757E-2</v>
      </c>
      <c r="L114">
        <v>-2.2427933583602622E-2</v>
      </c>
      <c r="M114">
        <v>1.8402379258026569E-2</v>
      </c>
      <c r="N114">
        <v>-6.0208165448869533E-2</v>
      </c>
      <c r="O114">
        <v>6.1574763744156602E-3</v>
      </c>
      <c r="P114">
        <v>5.5326475437509348E-3</v>
      </c>
      <c r="Q114">
        <v>-1.1156818841421723E-2</v>
      </c>
      <c r="R114">
        <v>-5.2070056374402984E-2</v>
      </c>
      <c r="S114">
        <v>6.2482883066472539E-4</v>
      </c>
      <c r="T114">
        <v>-5.309168614464399E-3</v>
      </c>
      <c r="V114" t="s">
        <v>111</v>
      </c>
    </row>
    <row r="115" spans="1:30" x14ac:dyDescent="0.2">
      <c r="A115">
        <v>-9.6187393654423303E-3</v>
      </c>
      <c r="B115">
        <v>-3.6412004322886382E-2</v>
      </c>
      <c r="C115">
        <v>-7.10578635133301E-2</v>
      </c>
      <c r="D115">
        <v>-1.5689032159481475E-2</v>
      </c>
      <c r="E115">
        <v>-5.3882066738813572E-2</v>
      </c>
      <c r="F115">
        <v>-1.546854310071244E-2</v>
      </c>
      <c r="G115">
        <v>-5.0315627405696617E-2</v>
      </c>
      <c r="H115">
        <v>-1.0891503291356908E-2</v>
      </c>
      <c r="I115">
        <v>-1.8817855725379418E-2</v>
      </c>
      <c r="J115">
        <v>-1.00036202566407E-2</v>
      </c>
      <c r="K115">
        <v>8.3126969143645368E-3</v>
      </c>
      <c r="L115">
        <v>-4.7145757410487987E-2</v>
      </c>
      <c r="M115">
        <v>-1.0328273971258128E-2</v>
      </c>
      <c r="N115">
        <v>-0.11044098573281447</v>
      </c>
      <c r="O115">
        <v>-1.3137384469871116E-2</v>
      </c>
      <c r="P115">
        <v>-1.1975674863602404E-3</v>
      </c>
      <c r="Q115">
        <v>-2.9219192699019292E-3</v>
      </c>
      <c r="R115">
        <v>-5.4934687633633517E-2</v>
      </c>
      <c r="S115">
        <v>-1.1939816983510876E-2</v>
      </c>
      <c r="T115">
        <v>-2.6360046392069347E-2</v>
      </c>
      <c r="V115" s="5"/>
      <c r="W115" s="5" t="s">
        <v>112</v>
      </c>
      <c r="X115" s="5" t="s">
        <v>113</v>
      </c>
      <c r="Y115" s="5" t="s">
        <v>114</v>
      </c>
      <c r="Z115" s="5" t="s">
        <v>115</v>
      </c>
      <c r="AA115" s="5" t="s">
        <v>116</v>
      </c>
    </row>
    <row r="116" spans="1:30" x14ac:dyDescent="0.2">
      <c r="A116">
        <v>-9.5173428881822897E-4</v>
      </c>
      <c r="B116">
        <v>4.1445654812712007E-2</v>
      </c>
      <c r="C116">
        <v>9.1936816408033639E-3</v>
      </c>
      <c r="D116">
        <v>-6.1322387052076266E-4</v>
      </c>
      <c r="E116">
        <v>7.3875943266201727E-3</v>
      </c>
      <c r="F116">
        <v>1.3671907564567487E-3</v>
      </c>
      <c r="G116">
        <v>9.5003404558864357E-3</v>
      </c>
      <c r="H116">
        <v>1.7438481889677782E-2</v>
      </c>
      <c r="I116">
        <v>5.3021535271521092E-2</v>
      </c>
      <c r="J116">
        <v>-9.7134634403883702E-4</v>
      </c>
      <c r="K116">
        <v>1.9099212355161654E-2</v>
      </c>
      <c r="L116">
        <v>1.3624427376102366E-2</v>
      </c>
      <c r="M116">
        <v>1.3919979417109651E-2</v>
      </c>
      <c r="N116">
        <v>7.333965152730193E-2</v>
      </c>
      <c r="O116">
        <v>9.1891103847112632E-3</v>
      </c>
      <c r="P116">
        <v>3.4419365519455791E-3</v>
      </c>
      <c r="Q116">
        <v>-2.8219349515015812E-2</v>
      </c>
      <c r="R116">
        <v>2.957475789748587E-3</v>
      </c>
      <c r="S116">
        <v>5.7471738327656841E-3</v>
      </c>
      <c r="T116">
        <v>1.880567264613453E-2</v>
      </c>
      <c r="V116" t="s">
        <v>117</v>
      </c>
      <c r="W116">
        <v>15</v>
      </c>
      <c r="X116">
        <v>1.5790292023918649E-2</v>
      </c>
      <c r="Y116">
        <v>1.0526861349279099E-3</v>
      </c>
      <c r="Z116">
        <v>18.116722653245496</v>
      </c>
      <c r="AA116">
        <v>1.4920916623465853E-22</v>
      </c>
    </row>
    <row r="117" spans="1:30" x14ac:dyDescent="0.2">
      <c r="A117">
        <v>-2.9108264612999202E-3</v>
      </c>
      <c r="B117">
        <v>-6.1819435633294617E-3</v>
      </c>
      <c r="C117">
        <v>1.7324692661104146E-2</v>
      </c>
      <c r="D117">
        <v>-1.0876732834084302E-2</v>
      </c>
      <c r="E117">
        <v>-1.0139180827203331E-2</v>
      </c>
      <c r="F117">
        <v>-5.1116402204499645E-3</v>
      </c>
      <c r="G117">
        <v>-2.6803494571850606E-2</v>
      </c>
      <c r="H117">
        <v>-1.0889526147366269E-3</v>
      </c>
      <c r="I117">
        <v>-1.7138501783197868E-2</v>
      </c>
      <c r="J117">
        <v>2.0797803897426803E-2</v>
      </c>
      <c r="K117">
        <v>-2.8006516847357554E-3</v>
      </c>
      <c r="L117">
        <v>3.4023013309380845E-2</v>
      </c>
      <c r="M117">
        <v>-2.3983542157581805E-3</v>
      </c>
      <c r="N117">
        <v>5.2978333220131901E-2</v>
      </c>
      <c r="O117">
        <v>-6.9632203176211993E-3</v>
      </c>
      <c r="P117">
        <v>-5.8214860073264596E-3</v>
      </c>
      <c r="Q117">
        <v>2.0476856171182445E-2</v>
      </c>
      <c r="R117">
        <v>-1.0464824237463088E-2</v>
      </c>
      <c r="S117">
        <v>-1.1417343102947397E-3</v>
      </c>
      <c r="T117">
        <v>-6.2005928351865913E-3</v>
      </c>
      <c r="V117" t="s">
        <v>118</v>
      </c>
      <c r="W117">
        <v>106</v>
      </c>
      <c r="X117">
        <v>7.1067827416495585E-3</v>
      </c>
      <c r="Y117">
        <v>6.7045120204241112E-5</v>
      </c>
    </row>
    <row r="118" spans="1:30" ht="16" thickBot="1" x14ac:dyDescent="0.25">
      <c r="A118">
        <v>1.4079143500636437E-2</v>
      </c>
      <c r="B118">
        <v>2.8588098016335994E-2</v>
      </c>
      <c r="C118">
        <v>1.5724227676923608E-2</v>
      </c>
      <c r="D118">
        <v>-1.6629693997630701E-3</v>
      </c>
      <c r="E118">
        <v>1.6455522221116459E-2</v>
      </c>
      <c r="F118">
        <v>9.4669076627840187E-3</v>
      </c>
      <c r="G118">
        <v>2.6700110562880575E-2</v>
      </c>
      <c r="H118">
        <v>4.4704669561479449E-4</v>
      </c>
      <c r="I118">
        <v>4.4563317714624517E-2</v>
      </c>
      <c r="J118">
        <v>1.951288361641379E-2</v>
      </c>
      <c r="K118">
        <v>3.2443980564370589E-2</v>
      </c>
      <c r="L118">
        <v>-2.5541835752324493E-2</v>
      </c>
      <c r="M118">
        <v>1.5428710928314215E-2</v>
      </c>
      <c r="N118">
        <v>-4.7474682319551098E-2</v>
      </c>
      <c r="O118">
        <v>1.2089449946689035E-2</v>
      </c>
      <c r="P118">
        <v>1.0831444598664586E-3</v>
      </c>
      <c r="Q118">
        <v>-4.725568013956849E-3</v>
      </c>
      <c r="R118">
        <v>1.6977194532704187E-2</v>
      </c>
      <c r="S118">
        <v>1.1006305486822576E-2</v>
      </c>
      <c r="T118">
        <v>9.9139543583988132E-3</v>
      </c>
      <c r="V118" s="4" t="s">
        <v>119</v>
      </c>
      <c r="W118" s="4">
        <v>121</v>
      </c>
      <c r="X118" s="4">
        <v>2.2897074765568209E-2</v>
      </c>
      <c r="Y118" s="4"/>
      <c r="Z118" s="4"/>
      <c r="AA118" s="4"/>
    </row>
    <row r="119" spans="1:30" ht="16" thickBot="1" x14ac:dyDescent="0.25">
      <c r="A119">
        <v>6.8130854157055776E-3</v>
      </c>
      <c r="B119">
        <v>4.5701320800583645E-2</v>
      </c>
      <c r="C119">
        <v>4.1885267856307529E-3</v>
      </c>
      <c r="D119">
        <v>8.2944110470013488E-3</v>
      </c>
      <c r="E119">
        <v>8.318373627398401E-3</v>
      </c>
      <c r="F119">
        <v>8.0849723408842333E-3</v>
      </c>
      <c r="G119">
        <v>2.6696883488435574E-2</v>
      </c>
      <c r="H119">
        <v>1.6497600631038223E-2</v>
      </c>
      <c r="I119">
        <v>4.4235609992200553E-2</v>
      </c>
      <c r="J119">
        <v>4.4182007235749055E-4</v>
      </c>
      <c r="K119">
        <v>-2.0821529552609075E-2</v>
      </c>
      <c r="L119">
        <v>-1.4766192828094882E-2</v>
      </c>
      <c r="M119">
        <v>1.5061970063147134E-2</v>
      </c>
      <c r="N119">
        <v>-4.4919979232974638E-3</v>
      </c>
      <c r="O119">
        <v>1.2077240762550012E-2</v>
      </c>
      <c r="P119">
        <v>1.0787915086685196E-3</v>
      </c>
      <c r="Q119">
        <v>-2.5871635788712544E-2</v>
      </c>
      <c r="R119">
        <v>9.183428233380253E-3</v>
      </c>
      <c r="S119">
        <v>1.0998449253881493E-2</v>
      </c>
      <c r="T119">
        <v>2.4582572971922456E-2</v>
      </c>
    </row>
    <row r="120" spans="1:30" x14ac:dyDescent="0.2">
      <c r="A120">
        <v>-6.2755450602751672E-3</v>
      </c>
      <c r="B120">
        <v>3.8692619096507119E-2</v>
      </c>
      <c r="C120">
        <v>-4.8009687129550782E-2</v>
      </c>
      <c r="D120">
        <v>5.1859124533482071E-3</v>
      </c>
      <c r="E120">
        <v>-1.1446325854465256E-2</v>
      </c>
      <c r="F120">
        <v>-3.7441891062188759E-3</v>
      </c>
      <c r="G120">
        <v>-2.2793450014089278E-2</v>
      </c>
      <c r="H120">
        <v>8.394961353713537E-3</v>
      </c>
      <c r="I120">
        <v>2.8209187344894637E-2</v>
      </c>
      <c r="J120">
        <v>3.1144479193878638E-4</v>
      </c>
      <c r="K120">
        <v>9.5900881622592582E-3</v>
      </c>
      <c r="L120">
        <v>-8.0034620715150329E-3</v>
      </c>
      <c r="M120">
        <v>1.037102495281883E-2</v>
      </c>
      <c r="N120">
        <v>-5.2688464619896291E-2</v>
      </c>
      <c r="O120">
        <v>1.1616239432692188E-2</v>
      </c>
      <c r="P120">
        <v>6.8330470174815527E-3</v>
      </c>
      <c r="Q120">
        <v>-1.8517326710229876E-2</v>
      </c>
      <c r="R120">
        <v>-1.5287032584552662E-2</v>
      </c>
      <c r="S120">
        <v>4.7831924152106353E-3</v>
      </c>
      <c r="T120">
        <v>4.6507722474946611E-3</v>
      </c>
      <c r="V120" s="5"/>
      <c r="W120" s="5" t="s">
        <v>120</v>
      </c>
      <c r="X120" s="5" t="s">
        <v>109</v>
      </c>
      <c r="Y120" s="5" t="s">
        <v>121</v>
      </c>
      <c r="Z120" s="5" t="s">
        <v>122</v>
      </c>
      <c r="AA120" s="5" t="s">
        <v>123</v>
      </c>
      <c r="AB120" s="5" t="s">
        <v>124</v>
      </c>
      <c r="AC120" s="5" t="s">
        <v>125</v>
      </c>
      <c r="AD120" s="5" t="s">
        <v>126</v>
      </c>
    </row>
    <row r="121" spans="1:30" x14ac:dyDescent="0.2">
      <c r="A121">
        <v>-4.7703470676940807E-3</v>
      </c>
      <c r="B121">
        <v>4.1275811936202222E-2</v>
      </c>
      <c r="C121">
        <v>4.8886453779031225E-2</v>
      </c>
      <c r="D121">
        <v>4.652574061155601E-3</v>
      </c>
      <c r="E121">
        <v>-2.0900099074379619E-2</v>
      </c>
      <c r="F121">
        <v>-5.6511475626330743E-3</v>
      </c>
      <c r="G121">
        <v>5.831277434237947E-3</v>
      </c>
      <c r="H121">
        <v>1.1130920190908222E-2</v>
      </c>
      <c r="I121">
        <v>2.8564868469103111E-2</v>
      </c>
      <c r="J121">
        <v>3.2374423996781587E-3</v>
      </c>
      <c r="K121">
        <v>-5.635838384960401E-3</v>
      </c>
      <c r="L121">
        <v>1.2398949640063384E-2</v>
      </c>
      <c r="M121">
        <v>1.1934679026654127E-2</v>
      </c>
      <c r="N121">
        <v>-4.125743008736571E-2</v>
      </c>
      <c r="O121">
        <v>1.5226749450585553E-2</v>
      </c>
      <c r="P121">
        <v>7.5417590831057257E-3</v>
      </c>
      <c r="Q121">
        <v>-1.1172553166579169E-2</v>
      </c>
      <c r="R121">
        <v>-2.0891371379937351E-2</v>
      </c>
      <c r="S121">
        <v>7.684990367479827E-3</v>
      </c>
      <c r="T121">
        <v>5.479772628275148E-3</v>
      </c>
      <c r="V121" t="s">
        <v>127</v>
      </c>
      <c r="W121">
        <v>2.7673628640651092E-3</v>
      </c>
      <c r="X121">
        <v>9.9406865518674673E-4</v>
      </c>
      <c r="Y121">
        <v>2.7838749865271928</v>
      </c>
      <c r="Z121">
        <v>6.362168281331783E-3</v>
      </c>
      <c r="AA121">
        <v>7.9652507028495285E-4</v>
      </c>
      <c r="AB121">
        <v>4.7382006578452658E-3</v>
      </c>
      <c r="AC121">
        <v>7.9652507028495285E-4</v>
      </c>
      <c r="AD121">
        <v>4.7382006578452658E-3</v>
      </c>
    </row>
    <row r="122" spans="1:30" ht="16" thickBot="1" x14ac:dyDescent="0.25">
      <c r="V122" t="s">
        <v>223</v>
      </c>
      <c r="W122">
        <v>0</v>
      </c>
      <c r="X122">
        <v>0</v>
      </c>
      <c r="Y122">
        <v>65535</v>
      </c>
      <c r="Z122" t="e">
        <v>#NUM!</v>
      </c>
      <c r="AA122">
        <v>0</v>
      </c>
      <c r="AB122">
        <v>0</v>
      </c>
      <c r="AC122">
        <v>0</v>
      </c>
      <c r="AD122">
        <v>0</v>
      </c>
    </row>
    <row r="123" spans="1:30" x14ac:dyDescent="0.2">
      <c r="A123" s="5"/>
      <c r="B123" s="5" t="s">
        <v>208</v>
      </c>
      <c r="C123" s="5" t="s">
        <v>209</v>
      </c>
      <c r="D123" s="5" t="s">
        <v>210</v>
      </c>
      <c r="E123" s="5" t="s">
        <v>211</v>
      </c>
      <c r="F123" s="5" t="s">
        <v>212</v>
      </c>
      <c r="G123" s="5" t="s">
        <v>213</v>
      </c>
      <c r="H123" s="5" t="s">
        <v>214</v>
      </c>
      <c r="I123" s="5" t="s">
        <v>215</v>
      </c>
      <c r="J123" s="5" t="s">
        <v>216</v>
      </c>
      <c r="K123" s="5" t="s">
        <v>217</v>
      </c>
      <c r="L123" s="5" t="s">
        <v>218</v>
      </c>
      <c r="M123" s="5" t="s">
        <v>219</v>
      </c>
      <c r="N123" s="5" t="s">
        <v>220</v>
      </c>
      <c r="O123" s="5" t="s">
        <v>221</v>
      </c>
      <c r="P123" s="5" t="s">
        <v>222</v>
      </c>
      <c r="V123" t="s">
        <v>224</v>
      </c>
      <c r="W123">
        <v>-0.12147590615503918</v>
      </c>
      <c r="X123">
        <v>7.0394290395950673E-2</v>
      </c>
      <c r="Y123">
        <v>-1.7256499848463123</v>
      </c>
      <c r="Z123" t="e">
        <v>#NUM!</v>
      </c>
      <c r="AA123">
        <v>-0.26103943353797637</v>
      </c>
      <c r="AB123">
        <v>1.8087621227898001E-2</v>
      </c>
      <c r="AC123">
        <v>-0.26103943353797637</v>
      </c>
      <c r="AD123">
        <v>1.8087621227898001E-2</v>
      </c>
    </row>
    <row r="124" spans="1:30" x14ac:dyDescent="0.2">
      <c r="A124" t="s">
        <v>208</v>
      </c>
      <c r="B124">
        <f>VARP(Project_Page_4_MVO!$F$2:$F$121)</f>
        <v>9.4000669550685709E-5</v>
      </c>
      <c r="V124" t="s">
        <v>225</v>
      </c>
      <c r="W124">
        <v>-0.32224776674186317</v>
      </c>
      <c r="X124">
        <v>0.1724215174558561</v>
      </c>
      <c r="Y124">
        <v>-1.8689533156693512</v>
      </c>
      <c r="Z124">
        <v>6.4389939753914174E-2</v>
      </c>
      <c r="AA124">
        <v>-0.66409019511929568</v>
      </c>
      <c r="AB124">
        <v>1.9594661635569353E-2</v>
      </c>
      <c r="AC124">
        <v>-0.66409019511929568</v>
      </c>
      <c r="AD124">
        <v>1.9594661635569353E-2</v>
      </c>
    </row>
    <row r="125" spans="1:30" x14ac:dyDescent="0.2">
      <c r="A125" t="s">
        <v>209</v>
      </c>
      <c r="B125">
        <v>1.6214518095523584E-4</v>
      </c>
      <c r="C125">
        <f>VARP(Project_Page_4_MVO!$G$2:$G$121)</f>
        <v>6.6590094700644828E-4</v>
      </c>
      <c r="V125" t="s">
        <v>226</v>
      </c>
      <c r="W125">
        <v>0.1792340886839254</v>
      </c>
      <c r="X125">
        <v>0.11924484037767052</v>
      </c>
      <c r="Y125">
        <v>1.5030762598721907</v>
      </c>
      <c r="Z125">
        <v>0.13579288016428939</v>
      </c>
      <c r="AA125">
        <v>-5.7180405328508217E-2</v>
      </c>
      <c r="AB125">
        <v>0.41564858269635901</v>
      </c>
      <c r="AC125">
        <v>-5.7180405328508217E-2</v>
      </c>
      <c r="AD125">
        <v>0.41564858269635901</v>
      </c>
    </row>
    <row r="126" spans="1:30" x14ac:dyDescent="0.2">
      <c r="A126" t="s">
        <v>210</v>
      </c>
      <c r="B126">
        <v>-1.9712824933947751E-5</v>
      </c>
      <c r="C126">
        <v>4.1758465368878553E-4</v>
      </c>
      <c r="D126">
        <f>VARP(Project_Page_4_MVO!$H$2:$H$121)</f>
        <v>8.2915004559702525E-4</v>
      </c>
      <c r="V126" t="s">
        <v>227</v>
      </c>
      <c r="W126">
        <v>-0.17441958528684781</v>
      </c>
      <c r="X126">
        <v>8.6564729534346282E-2</v>
      </c>
      <c r="Y126">
        <v>-2.0149036013292614</v>
      </c>
      <c r="Z126">
        <v>4.6446400358802979E-2</v>
      </c>
      <c r="AA126">
        <v>-0.34604258102711377</v>
      </c>
      <c r="AB126">
        <v>-2.7965895465818335E-3</v>
      </c>
      <c r="AC126">
        <v>-0.34604258102711377</v>
      </c>
      <c r="AD126">
        <v>-2.7965895465818335E-3</v>
      </c>
    </row>
    <row r="127" spans="1:30" x14ac:dyDescent="0.2">
      <c r="A127" t="s">
        <v>211</v>
      </c>
      <c r="B127">
        <v>1.1906100882103766E-5</v>
      </c>
      <c r="C127">
        <v>6.1471036796735936E-4</v>
      </c>
      <c r="D127">
        <v>9.4509692788326835E-4</v>
      </c>
      <c r="E127">
        <f>VARP(Project_Page_4_MVO!$I$2:$I$121)</f>
        <v>1.8573815677965209E-3</v>
      </c>
      <c r="V127" t="s">
        <v>228</v>
      </c>
      <c r="W127">
        <v>-3.9277277111990937E-2</v>
      </c>
      <c r="X127">
        <v>4.3864047904450747E-2</v>
      </c>
      <c r="Y127">
        <v>-0.89543211327757088</v>
      </c>
      <c r="Z127">
        <v>0.37258502553205664</v>
      </c>
      <c r="AA127">
        <v>-0.12624201837730567</v>
      </c>
      <c r="AB127">
        <v>4.7687464153323797E-2</v>
      </c>
      <c r="AC127">
        <v>-0.12624201837730567</v>
      </c>
      <c r="AD127">
        <v>4.7687464153323797E-2</v>
      </c>
    </row>
    <row r="128" spans="1:30" x14ac:dyDescent="0.2">
      <c r="A128" t="s">
        <v>212</v>
      </c>
      <c r="B128">
        <v>-1.221833451629063E-5</v>
      </c>
      <c r="C128">
        <v>-1.9312926205781851E-5</v>
      </c>
      <c r="D128">
        <v>1.9736718094612587E-5</v>
      </c>
      <c r="E128">
        <v>9.0194683515282958E-5</v>
      </c>
      <c r="F128">
        <f>VARP(Project_Page_4_MVO!$J$2:$J$121)</f>
        <v>3.0726279254233285E-4</v>
      </c>
      <c r="V128" t="s">
        <v>229</v>
      </c>
      <c r="W128">
        <v>3.4955529326588193E-2</v>
      </c>
      <c r="X128">
        <v>2.3496031343241471E-2</v>
      </c>
      <c r="Y128">
        <v>1.4877205778261355</v>
      </c>
      <c r="Z128">
        <v>0.13979343062297081</v>
      </c>
      <c r="AA128">
        <v>-1.162763807687869E-2</v>
      </c>
      <c r="AB128">
        <v>8.153869673005508E-2</v>
      </c>
      <c r="AC128">
        <v>-1.162763807687869E-2</v>
      </c>
      <c r="AD128">
        <v>8.153869673005508E-2</v>
      </c>
    </row>
    <row r="129" spans="1:30" x14ac:dyDescent="0.2">
      <c r="A129" t="s">
        <v>213</v>
      </c>
      <c r="B129">
        <v>-3.4684330168194632E-5</v>
      </c>
      <c r="C129">
        <v>1.2140522037261365E-4</v>
      </c>
      <c r="D129">
        <v>2.9687686769428519E-4</v>
      </c>
      <c r="E129">
        <v>4.6134509354100469E-4</v>
      </c>
      <c r="F129">
        <v>-1.5298014917986661E-5</v>
      </c>
      <c r="G129">
        <f>VARP(Project_Page_4_MVO!$K$2:$K$121)</f>
        <v>5.6511428190302374E-4</v>
      </c>
      <c r="V129" t="s">
        <v>230</v>
      </c>
      <c r="W129">
        <v>-0.26384877211282726</v>
      </c>
      <c r="X129">
        <v>0.1748424323022463</v>
      </c>
      <c r="Y129">
        <v>-1.5090660124009121</v>
      </c>
      <c r="Z129">
        <v>0.13425692170469491</v>
      </c>
      <c r="AA129">
        <v>-0.61049089963568048</v>
      </c>
      <c r="AB129">
        <v>8.2793355410025929E-2</v>
      </c>
      <c r="AC129">
        <v>-0.61049089963568048</v>
      </c>
      <c r="AD129">
        <v>8.2793355410025929E-2</v>
      </c>
    </row>
    <row r="130" spans="1:30" x14ac:dyDescent="0.2">
      <c r="A130" t="s">
        <v>214</v>
      </c>
      <c r="B130">
        <v>2.9889884262497238E-5</v>
      </c>
      <c r="C130">
        <v>5.587831926793939E-4</v>
      </c>
      <c r="D130">
        <v>6.9786404267787065E-4</v>
      </c>
      <c r="E130">
        <v>1.120049246461317E-3</v>
      </c>
      <c r="F130">
        <v>1.9494473583062963E-5</v>
      </c>
      <c r="G130">
        <v>1.7045015140628795E-4</v>
      </c>
      <c r="H130">
        <f>VARP(Project_Page_4_MVO!$L$2:$L$121)</f>
        <v>2.6896114643771888E-3</v>
      </c>
      <c r="V130" t="s">
        <v>231</v>
      </c>
      <c r="W130">
        <v>6.2718281292034009E-2</v>
      </c>
      <c r="X130">
        <v>1.8597716973101322E-2</v>
      </c>
      <c r="Y130">
        <v>3.3723645425267068</v>
      </c>
      <c r="Z130">
        <v>1.0412502640130832E-3</v>
      </c>
      <c r="AA130">
        <v>2.5846498546073578E-2</v>
      </c>
      <c r="AB130">
        <v>9.9590064037994433E-2</v>
      </c>
      <c r="AC130">
        <v>2.5846498546073578E-2</v>
      </c>
      <c r="AD130">
        <v>9.9590064037994433E-2</v>
      </c>
    </row>
    <row r="131" spans="1:30" x14ac:dyDescent="0.2">
      <c r="A131" t="s">
        <v>215</v>
      </c>
      <c r="B131">
        <v>-6.5964894062799903E-6</v>
      </c>
      <c r="C131">
        <v>2.6241264236228831E-4</v>
      </c>
      <c r="D131">
        <v>4.4256458805069202E-4</v>
      </c>
      <c r="E131">
        <v>6.7625369625950007E-4</v>
      </c>
      <c r="F131">
        <v>5.6957154696320065E-6</v>
      </c>
      <c r="G131">
        <v>2.0353557954137533E-4</v>
      </c>
      <c r="H131">
        <v>5.8294605846568952E-4</v>
      </c>
      <c r="I131">
        <f>VARP(Project_Page_4_MVO!$M$2:$M$121)</f>
        <v>3.6154829519264426E-4</v>
      </c>
      <c r="V131" t="s">
        <v>232</v>
      </c>
      <c r="W131">
        <v>0</v>
      </c>
      <c r="X131">
        <v>0</v>
      </c>
      <c r="Y131">
        <v>65535</v>
      </c>
      <c r="Z131" t="e">
        <v>#NUM!</v>
      </c>
      <c r="AA131">
        <v>0</v>
      </c>
      <c r="AB131">
        <v>0</v>
      </c>
      <c r="AC131">
        <v>0</v>
      </c>
      <c r="AD131">
        <v>0</v>
      </c>
    </row>
    <row r="132" spans="1:30" x14ac:dyDescent="0.2">
      <c r="A132" t="s">
        <v>216</v>
      </c>
      <c r="B132">
        <v>1.7635052277603996E-4</v>
      </c>
      <c r="C132">
        <v>5.5191496880495079E-4</v>
      </c>
      <c r="D132">
        <v>8.8380036918996524E-5</v>
      </c>
      <c r="E132">
        <v>2.5446496953336904E-4</v>
      </c>
      <c r="F132">
        <v>1.4270462786714318E-5</v>
      </c>
      <c r="G132">
        <v>8.111236631787609E-5</v>
      </c>
      <c r="H132">
        <v>1.435701905059063E-3</v>
      </c>
      <c r="I132">
        <v>1.9126553535347006E-4</v>
      </c>
      <c r="J132">
        <f>VARP(Project_Page_4_MVO!$N$2:$N$121)</f>
        <v>3.0418000016622193E-3</v>
      </c>
      <c r="V132" t="s">
        <v>233</v>
      </c>
      <c r="W132">
        <v>1.1868261740806936</v>
      </c>
      <c r="X132">
        <v>0.18747766395079996</v>
      </c>
      <c r="Y132">
        <v>6.3304937189325878</v>
      </c>
      <c r="Z132" t="e">
        <v>#NUM!</v>
      </c>
      <c r="AA132">
        <v>0.81513347088964516</v>
      </c>
      <c r="AB132">
        <v>1.558518877271742</v>
      </c>
      <c r="AC132">
        <v>0.81513347088964516</v>
      </c>
      <c r="AD132">
        <v>1.558518877271742</v>
      </c>
    </row>
    <row r="133" spans="1:30" x14ac:dyDescent="0.2">
      <c r="A133" t="s">
        <v>217</v>
      </c>
      <c r="B133">
        <v>-5.5294172825989147E-6</v>
      </c>
      <c r="C133">
        <v>1.821639332065277E-4</v>
      </c>
      <c r="D133">
        <v>2.9487888859238218E-4</v>
      </c>
      <c r="E133">
        <v>4.6937815221308773E-4</v>
      </c>
      <c r="F133">
        <v>3.7932780371146767E-5</v>
      </c>
      <c r="G133">
        <v>1.0791933640905081E-4</v>
      </c>
      <c r="H133">
        <v>4.9710573648227238E-4</v>
      </c>
      <c r="I133">
        <v>2.6789334877314156E-4</v>
      </c>
      <c r="J133">
        <v>2.0809488828579632E-4</v>
      </c>
      <c r="K133">
        <f>VARP(Project_Page_4_MVO!$O$2:$O$121)</f>
        <v>2.358022262630979E-4</v>
      </c>
      <c r="V133" t="s">
        <v>234</v>
      </c>
      <c r="W133">
        <v>0.26171944432019428</v>
      </c>
      <c r="X133">
        <v>0.13916120795191605</v>
      </c>
      <c r="Y133">
        <v>1.8806925304257591</v>
      </c>
      <c r="Z133">
        <v>6.2758409999130044E-2</v>
      </c>
      <c r="AA133">
        <v>-1.4181185509253702E-2</v>
      </c>
      <c r="AB133">
        <v>0.5376200741496423</v>
      </c>
      <c r="AC133">
        <v>-1.4181185509253702E-2</v>
      </c>
      <c r="AD133">
        <v>0.5376200741496423</v>
      </c>
    </row>
    <row r="134" spans="1:30" x14ac:dyDescent="0.2">
      <c r="A134" t="s">
        <v>218</v>
      </c>
      <c r="B134">
        <v>-2.1251380167812904E-5</v>
      </c>
      <c r="C134">
        <v>-5.6889361196359155E-5</v>
      </c>
      <c r="D134">
        <v>-5.1055287332915529E-5</v>
      </c>
      <c r="E134">
        <v>2.2748502608164089E-5</v>
      </c>
      <c r="F134">
        <v>1.4537416367848067E-5</v>
      </c>
      <c r="G134">
        <v>9.0552521639667438E-6</v>
      </c>
      <c r="H134">
        <v>6.3200434634369407E-5</v>
      </c>
      <c r="I134">
        <v>2.4338497686632194E-5</v>
      </c>
      <c r="J134">
        <v>3.5206510601980071E-5</v>
      </c>
      <c r="K134">
        <v>4.5680886572362151E-5</v>
      </c>
      <c r="L134">
        <f>VARP(Project_Page_4_MVO!$P$2:$P$121)</f>
        <v>5.894860928184063E-5</v>
      </c>
      <c r="V134" t="s">
        <v>235</v>
      </c>
      <c r="W134">
        <v>-1.8745805653739043E-2</v>
      </c>
      <c r="X134">
        <v>6.9312159265239842E-2</v>
      </c>
      <c r="Y134">
        <v>-0.27045479252786886</v>
      </c>
      <c r="Z134">
        <v>0.78733628421575252</v>
      </c>
      <c r="AA134">
        <v>-0.15616390282005774</v>
      </c>
      <c r="AB134">
        <v>0.11867229151257964</v>
      </c>
      <c r="AC134">
        <v>-0.15616390282005774</v>
      </c>
      <c r="AD134">
        <v>0.11867229151257964</v>
      </c>
    </row>
    <row r="135" spans="1:30" x14ac:dyDescent="0.2">
      <c r="A135" t="s">
        <v>219</v>
      </c>
      <c r="B135">
        <v>-2.1290613355403411E-5</v>
      </c>
      <c r="C135">
        <v>-2.3767982272692169E-4</v>
      </c>
      <c r="D135">
        <v>-3.3569882454304571E-4</v>
      </c>
      <c r="E135">
        <v>-8.1778792261735463E-4</v>
      </c>
      <c r="F135">
        <v>1.042057349755992E-4</v>
      </c>
      <c r="G135">
        <v>-1.5904358970516294E-4</v>
      </c>
      <c r="H135">
        <v>-2.0847519765986613E-4</v>
      </c>
      <c r="I135">
        <v>-2.0016056641592462E-4</v>
      </c>
      <c r="J135">
        <v>1.4246390132640138E-4</v>
      </c>
      <c r="K135">
        <v>-8.5250710007766446E-5</v>
      </c>
      <c r="L135">
        <v>2.6584779583395666E-5</v>
      </c>
      <c r="M135">
        <f>VARP(Project_Page_4_MVO!$Q$2:$Q$121)</f>
        <v>5.9308326848852828E-4</v>
      </c>
      <c r="V135" t="s">
        <v>236</v>
      </c>
      <c r="W135">
        <v>0.20153063579393077</v>
      </c>
      <c r="X135">
        <v>0.21398907768569353</v>
      </c>
      <c r="Y135">
        <v>0.94178001033276248</v>
      </c>
      <c r="Z135">
        <v>0.34844669601059675</v>
      </c>
      <c r="AA135">
        <v>-0.22272352367344991</v>
      </c>
      <c r="AB135">
        <v>0.62578479526131148</v>
      </c>
      <c r="AC135">
        <v>-0.22272352367344991</v>
      </c>
      <c r="AD135">
        <v>0.62578479526131148</v>
      </c>
    </row>
    <row r="136" spans="1:30" ht="16" thickBot="1" x14ac:dyDescent="0.25">
      <c r="A136" t="s">
        <v>220</v>
      </c>
      <c r="B136">
        <v>1.6443892666704154E-4</v>
      </c>
      <c r="C136">
        <v>3.2049664091521931E-4</v>
      </c>
      <c r="D136">
        <v>-2.0441879981602876E-6</v>
      </c>
      <c r="E136">
        <v>9.8194974857879943E-5</v>
      </c>
      <c r="F136">
        <v>2.4100639220012814E-5</v>
      </c>
      <c r="G136">
        <v>-6.6752464165238784E-5</v>
      </c>
      <c r="H136">
        <v>2.7341639756534513E-4</v>
      </c>
      <c r="I136">
        <v>2.3429247024472585E-5</v>
      </c>
      <c r="J136">
        <v>5.1305060460684335E-4</v>
      </c>
      <c r="K136">
        <v>2.5910576919365055E-5</v>
      </c>
      <c r="L136">
        <v>-3.3485723440039701E-5</v>
      </c>
      <c r="M136">
        <v>-4.0077071831732446E-5</v>
      </c>
      <c r="N136">
        <f>VARP(Project_Page_4_MVO!$R$2:$R$121)</f>
        <v>4.3909188248927519E-4</v>
      </c>
      <c r="V136" s="4" t="s">
        <v>237</v>
      </c>
      <c r="W136" s="4">
        <v>0.47793928253759282</v>
      </c>
      <c r="X136" s="4">
        <v>0.18020676978908068</v>
      </c>
      <c r="Y136" s="4">
        <v>2.6521716309381</v>
      </c>
      <c r="Z136" s="4">
        <v>9.2257712538008577E-3</v>
      </c>
      <c r="AA136" s="4">
        <v>0.12066183420215579</v>
      </c>
      <c r="AB136" s="4">
        <v>0.83521673087302983</v>
      </c>
      <c r="AC136" s="4">
        <v>0.12066183420215579</v>
      </c>
      <c r="AD136" s="4">
        <v>0.83521673087302983</v>
      </c>
    </row>
    <row r="137" spans="1:30" x14ac:dyDescent="0.2">
      <c r="A137" t="s">
        <v>221</v>
      </c>
      <c r="B137">
        <v>1.572196288521398E-5</v>
      </c>
      <c r="C137">
        <v>2.3905329440288673E-4</v>
      </c>
      <c r="D137">
        <v>3.4593417592529787E-4</v>
      </c>
      <c r="E137">
        <v>4.4662964960492393E-4</v>
      </c>
      <c r="F137">
        <v>2.3395364003298703E-5</v>
      </c>
      <c r="G137">
        <v>9.8864084245083993E-5</v>
      </c>
      <c r="H137">
        <v>4.339053018479029E-4</v>
      </c>
      <c r="I137">
        <v>2.4355485108650942E-4</v>
      </c>
      <c r="J137">
        <v>1.7288837768381622E-4</v>
      </c>
      <c r="K137">
        <v>1.9012133969073601E-4</v>
      </c>
      <c r="L137">
        <v>-1.3267722709478468E-5</v>
      </c>
      <c r="M137">
        <v>-1.118354895911621E-4</v>
      </c>
      <c r="N137">
        <v>5.9396300359404793E-5</v>
      </c>
      <c r="O137">
        <f>VARP(Project_Page_4_MVO!$S$2:$S$121)</f>
        <v>2.0338906240021425E-4</v>
      </c>
    </row>
    <row r="138" spans="1:30" ht="16" thickBot="1" x14ac:dyDescent="0.25">
      <c r="A138" s="4" t="s">
        <v>222</v>
      </c>
      <c r="B138" s="4">
        <v>7.4287844616738002E-5</v>
      </c>
      <c r="C138" s="4">
        <v>5.7972983464402118E-4</v>
      </c>
      <c r="D138" s="4">
        <v>8.0943722066307731E-4</v>
      </c>
      <c r="E138" s="4">
        <v>9.570030287653717E-4</v>
      </c>
      <c r="F138" s="4">
        <v>7.5183835783219464E-6</v>
      </c>
      <c r="G138" s="4">
        <v>2.6219253752609044E-4</v>
      </c>
      <c r="H138" s="4">
        <v>7.277539269403676E-4</v>
      </c>
      <c r="I138" s="4">
        <v>4.3596809864441209E-4</v>
      </c>
      <c r="J138" s="4">
        <v>2.6473055969503638E-4</v>
      </c>
      <c r="K138" s="4">
        <v>2.8934947130978319E-4</v>
      </c>
      <c r="L138" s="4">
        <v>-7.2306667500728446E-5</v>
      </c>
      <c r="M138" s="4">
        <v>-3.5698943789844921E-4</v>
      </c>
      <c r="N138" s="4">
        <v>1.6239473866888138E-4</v>
      </c>
      <c r="O138" s="4">
        <v>3.6165613881051188E-4</v>
      </c>
      <c r="P138" s="4">
        <f>VARP(Project_Page_4_MVO!$T$2:$T$121)</f>
        <v>8.8372506527981554E-4</v>
      </c>
      <c r="V138" s="24" t="s">
        <v>4</v>
      </c>
    </row>
    <row r="139" spans="1:30" x14ac:dyDescent="0.2">
      <c r="V139" t="s">
        <v>104</v>
      </c>
    </row>
    <row r="140" spans="1:30" ht="16" thickBot="1" x14ac:dyDescent="0.25"/>
    <row r="141" spans="1:30" x14ac:dyDescent="0.2">
      <c r="V141" s="6" t="s">
        <v>105</v>
      </c>
      <c r="W141" s="6"/>
    </row>
    <row r="142" spans="1:30" x14ac:dyDescent="0.2">
      <c r="V142" t="s">
        <v>106</v>
      </c>
      <c r="W142">
        <v>0.98354830492639467</v>
      </c>
    </row>
    <row r="143" spans="1:30" x14ac:dyDescent="0.2">
      <c r="V143" t="s">
        <v>107</v>
      </c>
      <c r="W143">
        <v>0.96736726812358431</v>
      </c>
    </row>
    <row r="144" spans="1:30" x14ac:dyDescent="0.2">
      <c r="V144" t="s">
        <v>108</v>
      </c>
      <c r="W144">
        <v>0.94449721610100501</v>
      </c>
    </row>
    <row r="145" spans="22:30" x14ac:dyDescent="0.2">
      <c r="V145" t="s">
        <v>109</v>
      </c>
      <c r="W145">
        <v>3.9521256892730942E-3</v>
      </c>
    </row>
    <row r="146" spans="22:30" ht="16" thickBot="1" x14ac:dyDescent="0.25">
      <c r="V146" s="4" t="s">
        <v>110</v>
      </c>
      <c r="W146" s="4">
        <v>120</v>
      </c>
    </row>
    <row r="148" spans="22:30" ht="16" thickBot="1" x14ac:dyDescent="0.25">
      <c r="V148" t="s">
        <v>111</v>
      </c>
    </row>
    <row r="149" spans="22:30" x14ac:dyDescent="0.2">
      <c r="V149" s="5"/>
      <c r="W149" s="5" t="s">
        <v>112</v>
      </c>
      <c r="X149" s="5" t="s">
        <v>113</v>
      </c>
      <c r="Y149" s="5" t="s">
        <v>114</v>
      </c>
      <c r="Z149" s="5" t="s">
        <v>115</v>
      </c>
      <c r="AA149" s="5" t="s">
        <v>116</v>
      </c>
    </row>
    <row r="150" spans="22:30" x14ac:dyDescent="0.2">
      <c r="V150" t="s">
        <v>117</v>
      </c>
      <c r="W150">
        <v>15</v>
      </c>
      <c r="X150">
        <v>4.9080086231479983E-2</v>
      </c>
      <c r="Y150">
        <v>3.272005748765332E-3</v>
      </c>
      <c r="Z150">
        <v>241.71325613859543</v>
      </c>
      <c r="AA150">
        <v>1.4364497241961257E-73</v>
      </c>
    </row>
    <row r="151" spans="22:30" x14ac:dyDescent="0.2">
      <c r="V151" t="s">
        <v>118</v>
      </c>
      <c r="W151">
        <v>106</v>
      </c>
      <c r="X151">
        <v>1.6556455311641069E-3</v>
      </c>
      <c r="Y151">
        <v>1.5619297463812328E-5</v>
      </c>
    </row>
    <row r="152" spans="22:30" ht="16" thickBot="1" x14ac:dyDescent="0.25">
      <c r="V152" s="4" t="s">
        <v>119</v>
      </c>
      <c r="W152" s="4">
        <v>121</v>
      </c>
      <c r="X152" s="4">
        <v>5.0735731762644093E-2</v>
      </c>
      <c r="Y152" s="4"/>
      <c r="Z152" s="4"/>
      <c r="AA152" s="4"/>
    </row>
    <row r="153" spans="22:30" ht="16" thickBot="1" x14ac:dyDescent="0.25"/>
    <row r="154" spans="22:30" x14ac:dyDescent="0.2">
      <c r="V154" s="5"/>
      <c r="W154" s="5" t="s">
        <v>120</v>
      </c>
      <c r="X154" s="5" t="s">
        <v>109</v>
      </c>
      <c r="Y154" s="5" t="s">
        <v>121</v>
      </c>
      <c r="Z154" s="5" t="s">
        <v>122</v>
      </c>
      <c r="AA154" s="5" t="s">
        <v>123</v>
      </c>
      <c r="AB154" s="5" t="s">
        <v>124</v>
      </c>
      <c r="AC154" s="5" t="s">
        <v>125</v>
      </c>
      <c r="AD154" s="5" t="s">
        <v>126</v>
      </c>
    </row>
    <row r="155" spans="22:30" x14ac:dyDescent="0.2">
      <c r="V155" t="s">
        <v>127</v>
      </c>
      <c r="W155">
        <v>-1.2427770701602071E-3</v>
      </c>
      <c r="X155">
        <v>4.7980364289841083E-4</v>
      </c>
      <c r="Y155">
        <v>-2.5901784793729488</v>
      </c>
      <c r="Z155">
        <v>1.0941420779037028E-2</v>
      </c>
      <c r="AA155">
        <v>-2.194034458755708E-3</v>
      </c>
      <c r="AB155">
        <v>-2.9151968156470638E-4</v>
      </c>
      <c r="AC155">
        <v>-2.194034458755708E-3</v>
      </c>
      <c r="AD155">
        <v>-2.9151968156470638E-4</v>
      </c>
    </row>
    <row r="156" spans="22:30" x14ac:dyDescent="0.2">
      <c r="V156" t="s">
        <v>223</v>
      </c>
      <c r="W156">
        <v>0</v>
      </c>
      <c r="X156">
        <v>0</v>
      </c>
      <c r="Y156">
        <v>65535</v>
      </c>
      <c r="Z156" t="e">
        <v>#NUM!</v>
      </c>
      <c r="AA156">
        <v>0</v>
      </c>
      <c r="AB156">
        <v>0</v>
      </c>
      <c r="AC156">
        <v>0</v>
      </c>
      <c r="AD156">
        <v>0</v>
      </c>
    </row>
    <row r="157" spans="22:30" x14ac:dyDescent="0.2">
      <c r="V157" t="s">
        <v>224</v>
      </c>
      <c r="W157">
        <v>-2.1643091233225088E-2</v>
      </c>
      <c r="X157">
        <v>3.3976966072711202E-2</v>
      </c>
      <c r="Y157">
        <v>-0.63699304955329317</v>
      </c>
      <c r="Z157" t="e">
        <v>#NUM!</v>
      </c>
      <c r="AA157">
        <v>-8.9005731132081586E-2</v>
      </c>
      <c r="AB157">
        <v>4.571954866563141E-2</v>
      </c>
      <c r="AC157">
        <v>-8.9005731132081586E-2</v>
      </c>
      <c r="AD157">
        <v>4.571954866563141E-2</v>
      </c>
    </row>
    <row r="158" spans="22:30" x14ac:dyDescent="0.2">
      <c r="V158" t="s">
        <v>225</v>
      </c>
      <c r="W158">
        <v>6.4530789868459559E-2</v>
      </c>
      <c r="X158">
        <v>8.3222091107832213E-2</v>
      </c>
      <c r="Y158">
        <v>0.77540457118346096</v>
      </c>
      <c r="Z158">
        <v>0.43982709823541888</v>
      </c>
      <c r="AA158">
        <v>-0.10046510008032748</v>
      </c>
      <c r="AB158">
        <v>0.22952667981724661</v>
      </c>
      <c r="AC158">
        <v>-0.10046510008032748</v>
      </c>
      <c r="AD158">
        <v>0.22952667981724661</v>
      </c>
    </row>
    <row r="159" spans="22:30" x14ac:dyDescent="0.2">
      <c r="V159" t="s">
        <v>226</v>
      </c>
      <c r="W159">
        <v>-2.12429643966759E-2</v>
      </c>
      <c r="X159">
        <v>5.755549026872548E-2</v>
      </c>
      <c r="Y159">
        <v>-0.36908667266133788</v>
      </c>
      <c r="Z159">
        <v>0.71279934443340986</v>
      </c>
      <c r="AA159">
        <v>-0.13535232180302187</v>
      </c>
      <c r="AB159">
        <v>9.2866393009670076E-2</v>
      </c>
      <c r="AC159">
        <v>-0.13535232180302187</v>
      </c>
      <c r="AD159">
        <v>9.2866393009670076E-2</v>
      </c>
    </row>
    <row r="160" spans="22:30" x14ac:dyDescent="0.2">
      <c r="V160" t="s">
        <v>227</v>
      </c>
      <c r="W160">
        <v>2.8197239109998443E-2</v>
      </c>
      <c r="X160">
        <v>4.1781895405697475E-2</v>
      </c>
      <c r="Y160">
        <v>0.67486739977223253</v>
      </c>
      <c r="Z160">
        <v>0.50122937775770948</v>
      </c>
      <c r="AA160">
        <v>-5.463943231270986E-2</v>
      </c>
      <c r="AB160">
        <v>0.11103391053270675</v>
      </c>
      <c r="AC160">
        <v>-5.463943231270986E-2</v>
      </c>
      <c r="AD160">
        <v>0.11103391053270675</v>
      </c>
    </row>
    <row r="161" spans="22:30" x14ac:dyDescent="0.2">
      <c r="V161" t="s">
        <v>228</v>
      </c>
      <c r="W161">
        <v>4.3895141025975686E-2</v>
      </c>
      <c r="X161">
        <v>2.1171706669366939E-2</v>
      </c>
      <c r="Y161">
        <v>2.0732925177679218</v>
      </c>
      <c r="Z161">
        <v>4.0569472873339375E-2</v>
      </c>
      <c r="AA161">
        <v>1.9201733563864352E-3</v>
      </c>
      <c r="AB161">
        <v>8.587010869556494E-2</v>
      </c>
      <c r="AC161">
        <v>1.9201733563864352E-3</v>
      </c>
      <c r="AD161">
        <v>8.587010869556494E-2</v>
      </c>
    </row>
    <row r="162" spans="22:30" x14ac:dyDescent="0.2">
      <c r="V162" t="s">
        <v>229</v>
      </c>
      <c r="W162">
        <v>8.7853830881693372E-3</v>
      </c>
      <c r="X162">
        <v>1.1340747314907189E-2</v>
      </c>
      <c r="Y162">
        <v>0.77467408841929886</v>
      </c>
      <c r="Z162">
        <v>0.44025686180083534</v>
      </c>
      <c r="AA162">
        <v>-1.3698751484740094E-2</v>
      </c>
      <c r="AB162">
        <v>3.1269517661078765E-2</v>
      </c>
      <c r="AC162">
        <v>-1.3698751484740094E-2</v>
      </c>
      <c r="AD162">
        <v>3.1269517661078765E-2</v>
      </c>
    </row>
    <row r="163" spans="22:30" x14ac:dyDescent="0.2">
      <c r="V163" t="s">
        <v>230</v>
      </c>
      <c r="W163">
        <v>-9.763024282732255E-2</v>
      </c>
      <c r="X163">
        <v>8.4390585614106201E-2</v>
      </c>
      <c r="Y163">
        <v>-1.1568854762278518</v>
      </c>
      <c r="Z163">
        <v>0.24991963469370421</v>
      </c>
      <c r="AA163">
        <v>-0.26494278678463645</v>
      </c>
      <c r="AB163">
        <v>6.9682301129991339E-2</v>
      </c>
      <c r="AC163">
        <v>-0.26494278678463645</v>
      </c>
      <c r="AD163">
        <v>6.9682301129991339E-2</v>
      </c>
    </row>
    <row r="164" spans="22:30" x14ac:dyDescent="0.2">
      <c r="V164" t="s">
        <v>231</v>
      </c>
      <c r="W164">
        <v>4.8475140430133453E-3</v>
      </c>
      <c r="X164">
        <v>8.976495040587805E-3</v>
      </c>
      <c r="Y164">
        <v>0.54002302915503164</v>
      </c>
      <c r="Z164">
        <v>0.59031390080823143</v>
      </c>
      <c r="AA164">
        <v>-1.294926044470762E-2</v>
      </c>
      <c r="AB164">
        <v>2.2644288530734313E-2</v>
      </c>
      <c r="AC164">
        <v>-1.294926044470762E-2</v>
      </c>
      <c r="AD164">
        <v>2.2644288530734313E-2</v>
      </c>
    </row>
    <row r="165" spans="22:30" x14ac:dyDescent="0.2">
      <c r="V165" t="s">
        <v>232</v>
      </c>
      <c r="W165">
        <v>0</v>
      </c>
      <c r="X165">
        <v>0</v>
      </c>
      <c r="Y165">
        <v>65535</v>
      </c>
      <c r="Z165" t="e">
        <v>#NUM!</v>
      </c>
      <c r="AA165">
        <v>0</v>
      </c>
      <c r="AB165">
        <v>0</v>
      </c>
      <c r="AC165">
        <v>0</v>
      </c>
      <c r="AD165">
        <v>0</v>
      </c>
    </row>
    <row r="166" spans="22:30" x14ac:dyDescent="0.2">
      <c r="V166" t="s">
        <v>233</v>
      </c>
      <c r="W166">
        <v>-4.1855142962212355E-3</v>
      </c>
      <c r="X166">
        <v>9.0489188705763321E-2</v>
      </c>
      <c r="Y166">
        <v>-4.6254302376728645E-2</v>
      </c>
      <c r="Z166" t="e">
        <v>#NUM!</v>
      </c>
      <c r="AA166">
        <v>-0.18358913204364913</v>
      </c>
      <c r="AB166">
        <v>0.17521810345120667</v>
      </c>
      <c r="AC166">
        <v>-0.18358913204364913</v>
      </c>
      <c r="AD166">
        <v>0.17521810345120667</v>
      </c>
    </row>
    <row r="167" spans="22:30" x14ac:dyDescent="0.2">
      <c r="V167" t="s">
        <v>234</v>
      </c>
      <c r="W167">
        <v>-3.0645803215406019E-2</v>
      </c>
      <c r="X167">
        <v>6.7168453785447169E-2</v>
      </c>
      <c r="Y167">
        <v>-0.45625292065373985</v>
      </c>
      <c r="Z167">
        <v>0.64914155854957678</v>
      </c>
      <c r="AA167">
        <v>-0.16381379576745606</v>
      </c>
      <c r="AB167">
        <v>0.10252218933664402</v>
      </c>
      <c r="AC167">
        <v>-0.16381379576745606</v>
      </c>
      <c r="AD167">
        <v>0.10252218933664402</v>
      </c>
    </row>
    <row r="168" spans="22:30" x14ac:dyDescent="0.2">
      <c r="V168" t="s">
        <v>235</v>
      </c>
      <c r="W168">
        <v>0.93276006725461647</v>
      </c>
      <c r="X168">
        <v>3.3454657622585801E-2</v>
      </c>
      <c r="Y168">
        <v>27.881321571944426</v>
      </c>
      <c r="Z168">
        <v>1.2917367996694287E-50</v>
      </c>
      <c r="AA168">
        <v>0.86643295465877557</v>
      </c>
      <c r="AB168">
        <v>0.99908717985045736</v>
      </c>
      <c r="AC168">
        <v>0.86643295465877557</v>
      </c>
      <c r="AD168">
        <v>0.99908717985045736</v>
      </c>
    </row>
    <row r="169" spans="22:30" x14ac:dyDescent="0.2">
      <c r="V169" t="s">
        <v>236</v>
      </c>
      <c r="W169">
        <v>-1.0980292507565943E-2</v>
      </c>
      <c r="X169">
        <v>0.10328536009897485</v>
      </c>
      <c r="Y169">
        <v>-0.10631025052382935</v>
      </c>
      <c r="Z169">
        <v>0.91553713301703299</v>
      </c>
      <c r="AA169">
        <v>-0.21575356462025702</v>
      </c>
      <c r="AB169">
        <v>0.19379297960512515</v>
      </c>
      <c r="AC169">
        <v>-0.21575356462025702</v>
      </c>
      <c r="AD169">
        <v>0.19379297960512515</v>
      </c>
    </row>
    <row r="170" spans="22:30" ht="16" thickBot="1" x14ac:dyDescent="0.25">
      <c r="V170" s="4" t="s">
        <v>237</v>
      </c>
      <c r="W170" s="4">
        <v>9.9473309528869402E-2</v>
      </c>
      <c r="X170" s="4">
        <v>8.6979771637113942E-2</v>
      </c>
      <c r="Y170" s="4">
        <v>1.1436372809057194</v>
      </c>
      <c r="Z170" s="4">
        <v>0.25535026786508846</v>
      </c>
      <c r="AA170" s="4">
        <v>-7.297254754786113E-2</v>
      </c>
      <c r="AB170" s="4">
        <v>0.27191916660559995</v>
      </c>
      <c r="AC170" s="4">
        <v>-7.297254754786113E-2</v>
      </c>
      <c r="AD170" s="4">
        <v>0.27191916660559995</v>
      </c>
    </row>
  </sheetData>
  <pageMargins left="0.7" right="0.7" top="0.75" bottom="0.75" header="0.3" footer="0.3"/>
  <pageSetup orientation="portrait" horizontalDpi="0" verticalDpi="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60F82-663F-5F49-8CFD-4D271FBBAE2C}">
  <sheetPr>
    <tabColor theme="0"/>
  </sheetPr>
  <dimension ref="A1:CW123"/>
  <sheetViews>
    <sheetView showGridLines="0" topLeftCell="E1" zoomScale="87" zoomScaleNormal="64" workbookViewId="0">
      <selection activeCell="K9" sqref="K9:L9"/>
    </sheetView>
  </sheetViews>
  <sheetFormatPr baseColWidth="10" defaultColWidth="10.83203125" defaultRowHeight="15" x14ac:dyDescent="0.2"/>
  <cols>
    <col min="1" max="6" width="11" bestFit="1" customWidth="1"/>
    <col min="7" max="7" width="19.6640625" bestFit="1" customWidth="1"/>
    <col min="8" max="12" width="19.6640625" customWidth="1"/>
    <col min="13" max="13" width="21.5" bestFit="1" customWidth="1"/>
    <col min="14" max="14" width="11" bestFit="1" customWidth="1"/>
    <col min="15" max="15" width="15.6640625" bestFit="1" customWidth="1"/>
    <col min="16" max="20" width="18.83203125" bestFit="1" customWidth="1"/>
    <col min="24" max="24" width="13.1640625" customWidth="1"/>
    <col min="25" max="25" width="13.6640625" customWidth="1"/>
    <col min="26" max="27" width="12.83203125" customWidth="1"/>
    <col min="30" max="33" width="12.6640625" customWidth="1"/>
    <col min="47" max="47" width="13" customWidth="1"/>
    <col min="48" max="48" width="13.6640625" customWidth="1"/>
    <col min="61" max="61" width="10.6640625" bestFit="1" customWidth="1"/>
    <col min="62" max="62" width="12.6640625" bestFit="1" customWidth="1"/>
    <col min="63" max="68" width="10.6640625" bestFit="1" customWidth="1"/>
    <col min="71" max="76" width="10.6640625" bestFit="1" customWidth="1"/>
    <col min="78" max="79" width="13" customWidth="1"/>
    <col min="80" max="82" width="13.6640625" customWidth="1"/>
    <col min="83" max="83" width="10.6640625" bestFit="1" customWidth="1"/>
  </cols>
  <sheetData>
    <row r="1" spans="1:98" x14ac:dyDescent="0.2">
      <c r="B1" s="43"/>
      <c r="C1" s="43"/>
      <c r="D1" s="43"/>
      <c r="E1" s="43"/>
      <c r="F1" s="43"/>
      <c r="X1" t="s">
        <v>178</v>
      </c>
      <c r="AN1" t="s">
        <v>179</v>
      </c>
      <c r="BD1" t="s">
        <v>180</v>
      </c>
      <c r="BS1" t="s">
        <v>181</v>
      </c>
      <c r="CJ1" t="s">
        <v>182</v>
      </c>
    </row>
    <row r="2" spans="1:98" x14ac:dyDescent="0.2">
      <c r="A2" s="41" t="s">
        <v>166</v>
      </c>
      <c r="B2" s="42">
        <f>Project_Page_4_MVO!AX6</f>
        <v>0.35</v>
      </c>
      <c r="C2" s="42">
        <f>Project_Page_4_MVO!AX7</f>
        <v>0.20660225674464064</v>
      </c>
      <c r="D2" s="42">
        <f>Project_Page_4_MVO!AX8</f>
        <v>9.6968598345192822E-2</v>
      </c>
      <c r="E2" s="42">
        <f>Project_Page_4_MVO!AX9</f>
        <v>0.1</v>
      </c>
      <c r="F2" s="42">
        <f>Project_Page_4_MVO!AX10</f>
        <v>0.24642914491016663</v>
      </c>
      <c r="O2" s="50" t="s">
        <v>167</v>
      </c>
      <c r="X2">
        <f>AD20</f>
        <v>0.59460301199999999</v>
      </c>
      <c r="Y2">
        <f>AD21</f>
        <v>5.2414433000000003E-2</v>
      </c>
      <c r="Z2">
        <f>AD22</f>
        <v>-6.9793960000000002E-2</v>
      </c>
      <c r="AA2">
        <v>1</v>
      </c>
      <c r="AN2">
        <f>AT20</f>
        <v>1.1011339728542899</v>
      </c>
      <c r="AO2">
        <f>AT21</f>
        <v>0.45214916703304903</v>
      </c>
      <c r="AP2">
        <f>AT22</f>
        <v>0.17417432645952199</v>
      </c>
      <c r="AQ2">
        <v>1</v>
      </c>
      <c r="BD2">
        <f>BI20</f>
        <v>0.68741538657185397</v>
      </c>
      <c r="BE2">
        <f>BI21</f>
        <v>1.33989407424533</v>
      </c>
      <c r="BF2">
        <v>1</v>
      </c>
      <c r="BS2">
        <f>BZ20</f>
        <v>8.8277652570716306E-2</v>
      </c>
      <c r="BT2">
        <f>BZ21</f>
        <v>0.31472457422392902</v>
      </c>
      <c r="BU2">
        <f>BZ22</f>
        <v>0.75331524631995705</v>
      </c>
      <c r="BV2">
        <f>BZ23</f>
        <v>3.6420311862406698E-2</v>
      </c>
      <c r="BW2">
        <v>1</v>
      </c>
      <c r="CJ2">
        <f>CP20</f>
        <v>0.90932564086687995</v>
      </c>
      <c r="CK2">
        <f>CP21</f>
        <v>-0.122780401193907</v>
      </c>
      <c r="CL2">
        <f>CP22</f>
        <v>0.15794486020787299</v>
      </c>
      <c r="CM2">
        <v>1</v>
      </c>
    </row>
    <row r="3" spans="1:98" x14ac:dyDescent="0.2">
      <c r="A3" s="24" t="s">
        <v>164</v>
      </c>
      <c r="B3" s="24" t="s">
        <v>0</v>
      </c>
      <c r="C3" s="24" t="s">
        <v>1</v>
      </c>
      <c r="D3" s="24" t="s">
        <v>158</v>
      </c>
      <c r="E3" s="24" t="s">
        <v>3</v>
      </c>
      <c r="F3" s="24" t="s">
        <v>4</v>
      </c>
      <c r="G3" s="24" t="s">
        <v>290</v>
      </c>
      <c r="H3" s="24" t="s">
        <v>292</v>
      </c>
      <c r="I3" s="24" t="s">
        <v>293</v>
      </c>
      <c r="J3" s="24"/>
      <c r="K3" s="24"/>
      <c r="O3" s="45"/>
      <c r="P3" s="45" t="s">
        <v>0</v>
      </c>
      <c r="Q3" s="45" t="s">
        <v>1</v>
      </c>
      <c r="R3" s="45" t="s">
        <v>158</v>
      </c>
      <c r="S3" s="45" t="s">
        <v>3</v>
      </c>
      <c r="T3" s="45" t="s">
        <v>4</v>
      </c>
      <c r="X3" s="57" t="s">
        <v>7</v>
      </c>
      <c r="Y3" s="57" t="s">
        <v>15</v>
      </c>
      <c r="Z3" s="57" t="s">
        <v>128</v>
      </c>
      <c r="AA3" s="58" t="s">
        <v>175</v>
      </c>
      <c r="AC3" t="s">
        <v>104</v>
      </c>
      <c r="AN3" s="57" t="s">
        <v>25</v>
      </c>
      <c r="AO3" s="57" t="s">
        <v>145</v>
      </c>
      <c r="AP3" s="57" t="s">
        <v>146</v>
      </c>
      <c r="AQ3" s="58" t="s">
        <v>175</v>
      </c>
      <c r="AS3" t="s">
        <v>104</v>
      </c>
      <c r="BD3" s="57" t="s">
        <v>10</v>
      </c>
      <c r="BE3" s="57" t="s">
        <v>12</v>
      </c>
      <c r="BF3" s="58" t="s">
        <v>175</v>
      </c>
      <c r="BH3" t="s">
        <v>104</v>
      </c>
      <c r="BS3" s="57" t="s">
        <v>29</v>
      </c>
      <c r="BT3" s="57" t="s">
        <v>13</v>
      </c>
      <c r="BU3" s="59" t="s">
        <v>153</v>
      </c>
      <c r="BV3" s="57" t="s">
        <v>154</v>
      </c>
      <c r="BW3" s="58" t="s">
        <v>175</v>
      </c>
      <c r="BY3" t="s">
        <v>104</v>
      </c>
      <c r="CJ3" s="57" t="s">
        <v>16</v>
      </c>
      <c r="CK3" s="57" t="s">
        <v>14</v>
      </c>
      <c r="CL3" s="57" t="s">
        <v>17</v>
      </c>
      <c r="CM3" s="58" t="s">
        <v>175</v>
      </c>
      <c r="CO3" t="s">
        <v>104</v>
      </c>
    </row>
    <row r="4" spans="1:98" ht="16" thickBot="1" x14ac:dyDescent="0.25">
      <c r="A4" s="1">
        <v>38016</v>
      </c>
      <c r="B4" s="38">
        <f>Data!B2</f>
        <v>6.2656429682741432E-3</v>
      </c>
      <c r="C4" s="38">
        <f>Data!C2</f>
        <v>3.4770514603616132E-2</v>
      </c>
      <c r="D4" s="38">
        <f>Data!D2</f>
        <v>3.260982376995325E-2</v>
      </c>
      <c r="E4" s="38">
        <f>Data!E2</f>
        <v>6.4599982985540372E-3</v>
      </c>
      <c r="F4" s="38">
        <f>Data!F2</f>
        <v>1.1827396930966794E-2</v>
      </c>
      <c r="G4" s="38">
        <f>SUMPRODUCT($B$2:$F$2,B4:F4)</f>
        <v>1.6099385869498325E-2</v>
      </c>
      <c r="H4" s="38">
        <f>1+G4</f>
        <v>1.0160993858694982</v>
      </c>
      <c r="I4" s="39">
        <f>H4/MAX($H$4:H4) - 1</f>
        <v>0</v>
      </c>
      <c r="J4" s="39"/>
      <c r="K4" s="142"/>
      <c r="N4" cm="1">
        <f t="array" ref="N4:N8">TRANSPOSE(B2:F2)</f>
        <v>0.35</v>
      </c>
      <c r="O4" s="46" t="s">
        <v>0</v>
      </c>
      <c r="P4" s="46">
        <f>VARP($B$4:$B$123)</f>
        <v>5.8133493533547113E-5</v>
      </c>
      <c r="Q4" s="46">
        <f>_xlfn.COVARIANCE.S($B$4:$B$123,$C$4:$C$123)</f>
        <v>-5.8006583278946301E-5</v>
      </c>
      <c r="R4" s="46">
        <f>_xlfn.COVARIANCE.S($B$4:$B$123,$D$4:$D$123)</f>
        <v>-3.8632080960862531E-5</v>
      </c>
      <c r="S4" s="46">
        <f>_xlfn.COVARIANCE.S($B$4:$B$123,$E$4:$E$123)</f>
        <v>3.4944769914511711E-6</v>
      </c>
      <c r="T4" s="46">
        <f>_xlfn.COVARIANCE.S($B$4:$B$123,$F$4:$F$123)</f>
        <v>1.0501967419679609E-4</v>
      </c>
      <c r="X4" s="60">
        <v>8.0453023030972997E-3</v>
      </c>
      <c r="Y4" s="60">
        <v>5.1267545875612903E-3</v>
      </c>
      <c r="Z4" s="60">
        <v>8.1077053274645206E-3</v>
      </c>
      <c r="AA4" s="56">
        <f t="shared" ref="AA4:AA35" si="0">B4-SUMPRODUCT(X4:Z4, X$2:Z$2)</f>
        <v>1.7790349128816241E-3</v>
      </c>
      <c r="AN4">
        <v>2.0422331878443101E-2</v>
      </c>
      <c r="AO4">
        <v>2.83860797974E-3</v>
      </c>
      <c r="AP4">
        <v>2.5090926774071799E-2</v>
      </c>
      <c r="AQ4" s="56">
        <f t="shared" ref="AQ4:AQ35" si="1">C4-SUMPRODUCT(AN4:AP4, AN$2:AP$2)</f>
        <v>6.6291216626653167E-3</v>
      </c>
      <c r="BD4">
        <v>1.8131402072775402E-2</v>
      </c>
      <c r="BE4">
        <v>2.79899981743594E-2</v>
      </c>
      <c r="BF4" s="56">
        <f t="shared" ref="BF4:BF35" si="2">D4-SUMPRODUCT(BD4:BE4, BD$2:BE$2)</f>
        <v>-1.7357613686955133E-2</v>
      </c>
      <c r="BS4">
        <v>-3.1291370802744002E-2</v>
      </c>
      <c r="BT4">
        <v>1.53800197665672E-2</v>
      </c>
      <c r="BU4">
        <v>3.2700205686655398E-3</v>
      </c>
      <c r="BV4">
        <v>1.14502969767982E-3</v>
      </c>
      <c r="BW4" s="56">
        <f t="shared" ref="BW4:BW35" si="3">E4-SUMPRODUCT(BS4:BV4, BS$2:BV$2)</f>
        <v>1.876798197314831E-3</v>
      </c>
      <c r="CJ4">
        <v>1.23260816077084E-2</v>
      </c>
      <c r="CK4">
        <v>1.21099991979017E-2</v>
      </c>
      <c r="CL4">
        <v>1.6153007630561801E-2</v>
      </c>
      <c r="CM4" s="56">
        <f t="shared" ref="CM4:CM35" si="4">F4-SUMPRODUCT(CJ4:CL4, CJ$2:CL$2)</f>
        <v>-4.4543909850963681E-4</v>
      </c>
    </row>
    <row r="5" spans="1:98" x14ac:dyDescent="0.2">
      <c r="A5" s="1">
        <v>38044</v>
      </c>
      <c r="B5" s="38">
        <f>Data!B3</f>
        <v>8.4282173017939943E-3</v>
      </c>
      <c r="C5" s="38">
        <f>Data!C3</f>
        <v>-3.2526881720430167E-2</v>
      </c>
      <c r="D5" s="38">
        <f>Data!D3</f>
        <v>8.396542481908309E-2</v>
      </c>
      <c r="E5" s="38">
        <f>Data!E3</f>
        <v>1.998999592325168E-2</v>
      </c>
      <c r="F5" s="38">
        <f>Data!F3</f>
        <v>2.3758424341297602E-2</v>
      </c>
      <c r="G5" s="38">
        <f t="shared" ref="G5:G68" si="5">SUMPRODUCT($B$2:$F$2,B5:F5)</f>
        <v>1.2225526228650203E-2</v>
      </c>
      <c r="H5" s="38">
        <f>H4*(1+G5)</f>
        <v>1.028521735562361</v>
      </c>
      <c r="I5" s="39">
        <f>H5/MAX($H$4:H5) - 1</f>
        <v>0</v>
      </c>
      <c r="J5" s="141"/>
      <c r="K5" s="38"/>
      <c r="L5" s="38"/>
      <c r="N5">
        <v>0.20660225674464064</v>
      </c>
      <c r="O5" s="46" t="s">
        <v>1</v>
      </c>
      <c r="P5" s="46">
        <f>_xlfn.COVARIANCE.S($B$4:$B$123,$C$4:$C$123)</f>
        <v>-5.8006583278946301E-5</v>
      </c>
      <c r="Q5" s="46">
        <f>VARP($C$4:$C$123)</f>
        <v>2.867204937460884E-3</v>
      </c>
      <c r="R5" s="46">
        <f>_xlfn.COVARIANCE.S($C$4:$C$123,$D$4:$D$123)</f>
        <v>1.8845083567208716E-3</v>
      </c>
      <c r="S5" s="46">
        <f>_xlfn.COVARIANCE.S($C$4:$C$123,$E$4:$E$123)</f>
        <v>1.7045495436719126E-4</v>
      </c>
      <c r="T5" s="46">
        <f>_xlfn.COVARIANCE.S($C$4:$C$123,$F$4:$F$123)</f>
        <v>1.3861373969440544E-4</v>
      </c>
      <c r="X5" s="60">
        <v>1.08241419469755E-2</v>
      </c>
      <c r="Y5" s="60">
        <v>3.4824820599408399E-3</v>
      </c>
      <c r="Z5" s="60">
        <v>-1.19207329792014E-2</v>
      </c>
      <c r="AA5" s="56">
        <f t="shared" si="0"/>
        <v>9.7762241448128354E-4</v>
      </c>
      <c r="AC5" s="149" t="s">
        <v>105</v>
      </c>
      <c r="AD5" s="149"/>
      <c r="AN5">
        <v>6.3532895335756097E-3</v>
      </c>
      <c r="AO5">
        <v>-1.50785101937152E-2</v>
      </c>
      <c r="AP5">
        <v>-4.93511228116206E-3</v>
      </c>
      <c r="AQ5" s="56">
        <f t="shared" si="1"/>
        <v>-3.1845398983468672E-2</v>
      </c>
      <c r="AS5" s="149" t="s">
        <v>105</v>
      </c>
      <c r="AT5" s="149"/>
      <c r="BD5">
        <v>6.4882009642222696E-2</v>
      </c>
      <c r="BE5">
        <v>1.20200028346211E-2</v>
      </c>
      <c r="BF5" s="56">
        <f t="shared" si="2"/>
        <v>2.3259002508794938E-2</v>
      </c>
      <c r="BH5" s="149" t="s">
        <v>105</v>
      </c>
      <c r="BI5" s="149"/>
      <c r="BS5">
        <v>-1.5654118524040299E-2</v>
      </c>
      <c r="BT5">
        <v>1.09099828824282E-2</v>
      </c>
      <c r="BU5">
        <v>5.4099751638561101E-3</v>
      </c>
      <c r="BV5">
        <v>-2.7994449585027098E-3</v>
      </c>
      <c r="BW5" s="56">
        <f t="shared" si="3"/>
        <v>1.3964804927440349E-2</v>
      </c>
      <c r="BY5" s="149" t="s">
        <v>105</v>
      </c>
      <c r="BZ5" s="149"/>
      <c r="CJ5">
        <v>2.4775375158765999E-2</v>
      </c>
      <c r="CK5">
        <v>5.5000077185720598E-3</v>
      </c>
      <c r="CL5">
        <v>-1.0965910322259199E-3</v>
      </c>
      <c r="CM5" s="56">
        <f t="shared" si="4"/>
        <v>2.0780345188813262E-3</v>
      </c>
      <c r="CO5" s="149" t="s">
        <v>105</v>
      </c>
      <c r="CP5" s="149"/>
    </row>
    <row r="6" spans="1:98" x14ac:dyDescent="0.2">
      <c r="A6" s="1">
        <v>38077</v>
      </c>
      <c r="B6" s="38">
        <f>Data!B4</f>
        <v>4.3830411305911809E-3</v>
      </c>
      <c r="C6" s="38">
        <f>Data!C4</f>
        <v>-2.6674076132259028E-2</v>
      </c>
      <c r="D6" s="38">
        <f>Data!D4</f>
        <v>-3.5853150441054193E-3</v>
      </c>
      <c r="E6" s="38">
        <f>Data!E4</f>
        <v>1.122999962763771E-2</v>
      </c>
      <c r="F6" s="38">
        <f>Data!F4</f>
        <v>1.6515691841171076E-2</v>
      </c>
      <c r="G6" s="38">
        <f t="shared" si="5"/>
        <v>8.6842487653438112E-4</v>
      </c>
      <c r="H6" s="38">
        <f t="shared" ref="H6:H69" si="6">H5*(1+G6)</f>
        <v>1.0294149294235799</v>
      </c>
      <c r="I6" s="39">
        <f>H6/MAX($H$4:H6) - 1</f>
        <v>0</v>
      </c>
      <c r="J6" s="75"/>
      <c r="K6" s="28"/>
      <c r="L6" s="30" t="s">
        <v>294</v>
      </c>
      <c r="N6">
        <v>9.6968598345192822E-2</v>
      </c>
      <c r="O6" s="46" t="s">
        <v>158</v>
      </c>
      <c r="P6" s="46">
        <f>_xlfn.COVARIANCE.S($B$4:$B$123,$D$4:$D$123)</f>
        <v>-3.8632080960862531E-5</v>
      </c>
      <c r="Q6" s="46">
        <f>_xlfn.COVARIANCE.S($C$4:$C$123,$D$4:$D$123)</f>
        <v>1.8845083567208716E-3</v>
      </c>
      <c r="R6" s="46">
        <f>VARP($D$4:$D$123)</f>
        <v>5.1488146432223684E-3</v>
      </c>
      <c r="S6" s="46">
        <f>_xlfn.COVARIANCE.S($D$4:$D$123,$E$4:$E$123)</f>
        <v>3.8588805059906208E-4</v>
      </c>
      <c r="T6" s="46">
        <f>_xlfn.COVARIANCE.S($D$4:$D$123,$F$4:$F$123)</f>
        <v>3.3336314783809971E-4</v>
      </c>
      <c r="X6" s="60">
        <v>7.4889867841410104E-3</v>
      </c>
      <c r="Y6" s="60">
        <v>2.4958810951028799E-2</v>
      </c>
      <c r="Z6" s="60">
        <v>-8.1760495112725995E-4</v>
      </c>
      <c r="AA6" s="56">
        <f t="shared" si="0"/>
        <v>-1.4351987796944014E-3</v>
      </c>
      <c r="AC6" t="s">
        <v>106</v>
      </c>
      <c r="AD6">
        <v>0.90414418100000005</v>
      </c>
      <c r="AN6">
        <v>-1.8550190416387401E-2</v>
      </c>
      <c r="AO6">
        <v>-9.7981116101799604E-3</v>
      </c>
      <c r="AP6">
        <v>2.44058978901215E-2</v>
      </c>
      <c r="AQ6" s="56">
        <f t="shared" si="1"/>
        <v>-6.0685040854708584E-3</v>
      </c>
      <c r="AS6" t="s">
        <v>106</v>
      </c>
      <c r="AT6">
        <v>0.94872254538697998</v>
      </c>
      <c r="BD6">
        <v>3.0877435445310301E-2</v>
      </c>
      <c r="BE6">
        <v>5.7999971080802105E-4</v>
      </c>
      <c r="BF6" s="56">
        <f t="shared" si="2"/>
        <v>-2.558807744266654E-2</v>
      </c>
      <c r="BH6" t="s">
        <v>106</v>
      </c>
      <c r="BI6">
        <v>0.76428934007916705</v>
      </c>
      <c r="BS6">
        <v>7.6486179477470703E-2</v>
      </c>
      <c r="BT6">
        <v>4.44002185836667E-3</v>
      </c>
      <c r="BU6">
        <v>1.1003247716878701E-4</v>
      </c>
      <c r="BV6">
        <v>1.8676230293140601E-2</v>
      </c>
      <c r="BW6" s="56">
        <f t="shared" si="3"/>
        <v>2.3175119860128039E-3</v>
      </c>
      <c r="BY6" t="s">
        <v>106</v>
      </c>
      <c r="BZ6">
        <v>0.79179941340513704</v>
      </c>
      <c r="CJ6">
        <v>1.7390173366180799E-2</v>
      </c>
      <c r="CK6">
        <v>4.3299893811978903E-3</v>
      </c>
      <c r="CL6">
        <v>6.6713818330137497E-3</v>
      </c>
      <c r="CM6" s="56">
        <f t="shared" si="4"/>
        <v>1.8028866256270676E-4</v>
      </c>
      <c r="CO6" t="s">
        <v>106</v>
      </c>
      <c r="CP6">
        <v>0.98179387625544701</v>
      </c>
    </row>
    <row r="7" spans="1:98" x14ac:dyDescent="0.2">
      <c r="A7" s="1">
        <v>38107</v>
      </c>
      <c r="B7" s="38">
        <f>Data!B5</f>
        <v>-1.7804105065790443E-2</v>
      </c>
      <c r="C7" s="38">
        <f>Data!C5</f>
        <v>-4.6674279189266255E-2</v>
      </c>
      <c r="D7" s="38">
        <f>Data!D5</f>
        <v>-8.5476236266292749E-2</v>
      </c>
      <c r="E7" s="38">
        <f>Data!E5</f>
        <v>-2.839999836017304E-2</v>
      </c>
      <c r="F7" s="38">
        <f>Data!F5</f>
        <v>-4.3864054913778761E-2</v>
      </c>
      <c r="G7" s="38">
        <f t="shared" si="5"/>
        <v>-3.7812340388735821E-2</v>
      </c>
      <c r="H7" s="38">
        <f t="shared" si="6"/>
        <v>0.99049034171096906</v>
      </c>
      <c r="I7" s="39">
        <f>H7/MAX($H$4:H7) - 1</f>
        <v>-3.7812340388735821E-2</v>
      </c>
      <c r="J7" s="75"/>
      <c r="K7" s="129" t="s">
        <v>309</v>
      </c>
      <c r="L7" s="40" cm="1">
        <f t="array" ref="L7">GEOMEAN(1+G4:G123)-1</f>
        <v>4.8313146986851407E-3</v>
      </c>
      <c r="M7" s="155"/>
      <c r="N7">
        <v>0.1</v>
      </c>
      <c r="O7" s="46" t="s">
        <v>3</v>
      </c>
      <c r="P7" s="46">
        <f>_xlfn.COVARIANCE.S($B$4:$B$123,$E$4:$E$123)</f>
        <v>3.4944769914511711E-6</v>
      </c>
      <c r="Q7" s="46">
        <f>_xlfn.COVARIANCE.S($C$4:$C$123,$E$4:$E$123)</f>
        <v>1.7045495436719126E-4</v>
      </c>
      <c r="R7" s="46">
        <f>_xlfn.COVARIANCE.S($D$4:$D$123,$E$4:$E$123)</f>
        <v>3.8588805059906208E-4</v>
      </c>
      <c r="S7" s="46">
        <f>VARP($E$4:$E$123)</f>
        <v>1.9495627852423255E-4</v>
      </c>
      <c r="T7" s="46">
        <f>_xlfn.COVARIANCE.S($E$4:$E$123,$F$4:$F$123)</f>
        <v>4.3873145911932566E-5</v>
      </c>
      <c r="X7" s="60">
        <v>-2.60166156536948E-2</v>
      </c>
      <c r="Y7" s="60">
        <v>-5.4311022948801198E-2</v>
      </c>
      <c r="Z7" s="60">
        <v>1.9415308323291001E-2</v>
      </c>
      <c r="AA7" s="56">
        <f t="shared" si="0"/>
        <v>1.8672056899576746E-3</v>
      </c>
      <c r="AC7" t="s">
        <v>107</v>
      </c>
      <c r="AD7">
        <v>0.81747669999999995</v>
      </c>
      <c r="AN7">
        <v>-1.1625293421694501E-2</v>
      </c>
      <c r="AO7">
        <v>1.28143130781325E-2</v>
      </c>
      <c r="AP7">
        <v>-3.5285975512780197E-2</v>
      </c>
      <c r="AQ7" s="56">
        <f t="shared" si="1"/>
        <v>-3.3521343624211587E-2</v>
      </c>
      <c r="AS7" t="s">
        <v>107</v>
      </c>
      <c r="AT7">
        <v>0.90007446812555003</v>
      </c>
      <c r="BD7">
        <v>-1.77365483074385E-2</v>
      </c>
      <c r="BE7">
        <v>-5.61999095638632E-3</v>
      </c>
      <c r="BF7" s="56">
        <f t="shared" si="2"/>
        <v>-6.5753667475310168E-2</v>
      </c>
      <c r="BH7" t="s">
        <v>107</v>
      </c>
      <c r="BI7">
        <v>0.58413819535864797</v>
      </c>
      <c r="BS7">
        <v>-9.3094149372728294E-2</v>
      </c>
      <c r="BT7">
        <v>-7.0900013461940902E-3</v>
      </c>
      <c r="BU7">
        <v>-2.0300025951655002E-3</v>
      </c>
      <c r="BV7">
        <v>-5.0815691786906302E-3</v>
      </c>
      <c r="BW7" s="56">
        <f t="shared" si="3"/>
        <v>-1.6236163491307389E-2</v>
      </c>
      <c r="BY7" t="s">
        <v>107</v>
      </c>
      <c r="BZ7">
        <v>0.62694631106871801</v>
      </c>
      <c r="CJ7">
        <v>-4.6496063288188498E-2</v>
      </c>
      <c r="CK7">
        <v>-5.0599987510285801E-3</v>
      </c>
      <c r="CL7">
        <v>-6.6013073304038699E-3</v>
      </c>
      <c r="CM7" s="56">
        <f t="shared" si="4"/>
        <v>-1.1626184796618561E-3</v>
      </c>
      <c r="CO7" t="s">
        <v>107</v>
      </c>
      <c r="CP7">
        <v>0.96391921545269599</v>
      </c>
    </row>
    <row r="8" spans="1:98" x14ac:dyDescent="0.2">
      <c r="A8" s="1">
        <v>38138</v>
      </c>
      <c r="B8" s="38">
        <f>Data!B6</f>
        <v>-2.1877217285536377E-3</v>
      </c>
      <c r="C8" s="38">
        <f>Data!C6</f>
        <v>4.9558317113340244E-2</v>
      </c>
      <c r="D8" s="38">
        <f>Data!D6</f>
        <v>4.3707135734297298E-2</v>
      </c>
      <c r="E8" s="38">
        <f>Data!E6</f>
        <v>-6.9499961933691123E-3</v>
      </c>
      <c r="F8" s="38">
        <f>Data!F6</f>
        <v>1.5257636777510797E-2</v>
      </c>
      <c r="G8" s="38">
        <f t="shared" si="5"/>
        <v>1.6776304006021748E-2</v>
      </c>
      <c r="H8" s="38">
        <f t="shared" si="6"/>
        <v>1.0071071087985406</v>
      </c>
      <c r="I8" s="39">
        <f>H8/MAX($H$4:H8) - 1</f>
        <v>-2.1670387700254756E-2</v>
      </c>
      <c r="J8" s="75"/>
      <c r="K8" s="129" t="s">
        <v>310</v>
      </c>
      <c r="L8" s="40">
        <f>(1+L7)^12-1</f>
        <v>5.954140342232761E-2</v>
      </c>
      <c r="N8">
        <v>0.24642914491016663</v>
      </c>
      <c r="O8" s="46" t="s">
        <v>4</v>
      </c>
      <c r="P8" s="46">
        <f>_xlfn.COVARIANCE.S($B$4:$B$123,$F$4:$F$123)</f>
        <v>1.0501967419679609E-4</v>
      </c>
      <c r="Q8" s="46">
        <f>_xlfn.COVARIANCE.S($C$4:$C$123,$F$4:$F$123)</f>
        <v>1.3861373969440544E-4</v>
      </c>
      <c r="R8" s="46">
        <f>_xlfn.COVARIANCE.S($D$4:$D$123,$F$4:$F$123)</f>
        <v>3.3336314783809971E-4</v>
      </c>
      <c r="S8" s="46">
        <f>_xlfn.COVARIANCE.S($E$4:$E$123,$F$4:$F$123)</f>
        <v>4.3873145911932566E-5</v>
      </c>
      <c r="T8" s="46">
        <f>VARP($F$4:$F$123)</f>
        <v>4.2050090874737561E-4</v>
      </c>
      <c r="X8" s="60">
        <v>-4.0058706725372203E-3</v>
      </c>
      <c r="Y8" s="60">
        <v>-1.48276735018624E-2</v>
      </c>
      <c r="Z8" s="60">
        <v>-1.1705638083559001E-2</v>
      </c>
      <c r="AA8" s="56">
        <f t="shared" si="0"/>
        <v>1.5438230215030716E-4</v>
      </c>
      <c r="AC8" t="s">
        <v>108</v>
      </c>
      <c r="AD8">
        <v>0.81275626899999998</v>
      </c>
      <c r="AN8">
        <v>1.8638848184841902E-2</v>
      </c>
      <c r="AO8">
        <v>8.4405039616415305E-3</v>
      </c>
      <c r="AP8">
        <v>2.19338696117744E-3</v>
      </c>
      <c r="AQ8" s="56">
        <f t="shared" si="1"/>
        <v>2.4836049629913766E-2</v>
      </c>
      <c r="AS8" t="s">
        <v>108</v>
      </c>
      <c r="AT8">
        <v>0.89749018712879702</v>
      </c>
      <c r="BD8">
        <v>1.6954736383852299E-2</v>
      </c>
      <c r="BE8">
        <v>-3.1200008209378901E-3</v>
      </c>
      <c r="BF8" s="56">
        <f t="shared" si="2"/>
        <v>3.6232659680382834E-2</v>
      </c>
      <c r="BH8" t="s">
        <v>108</v>
      </c>
      <c r="BI8">
        <v>0.57702944656136002</v>
      </c>
      <c r="BS8">
        <v>2.2753716871363901E-2</v>
      </c>
      <c r="BT8">
        <v>-8.7800170451353098E-3</v>
      </c>
      <c r="BU8">
        <v>-5.3300232453854504E-3</v>
      </c>
      <c r="BV8">
        <v>-1.5632895689677399E-2</v>
      </c>
      <c r="BW8" s="56">
        <f t="shared" si="3"/>
        <v>-1.6108110695036079E-3</v>
      </c>
      <c r="BY8" t="s">
        <v>108</v>
      </c>
      <c r="BZ8">
        <v>0.61397053058415196</v>
      </c>
      <c r="CJ8">
        <v>1.64437363954699E-2</v>
      </c>
      <c r="CK8">
        <v>-3.4499937997498598E-3</v>
      </c>
      <c r="CL8">
        <v>-1.5711508756096199E-2</v>
      </c>
      <c r="CM8" s="56">
        <f t="shared" si="4"/>
        <v>2.362886072740697E-3</v>
      </c>
      <c r="CO8" t="s">
        <v>108</v>
      </c>
      <c r="CP8">
        <v>0.96298609171440397</v>
      </c>
    </row>
    <row r="9" spans="1:98" x14ac:dyDescent="0.2">
      <c r="A9" s="1">
        <v>38168</v>
      </c>
      <c r="B9" s="38">
        <f>Data!B7</f>
        <v>8.8462612906230476E-3</v>
      </c>
      <c r="C9" s="38">
        <f>Data!C7</f>
        <v>2.7674750356633471E-2</v>
      </c>
      <c r="D9" s="38">
        <f>Data!D7</f>
        <v>-3.4057820299501218E-3</v>
      </c>
      <c r="E9" s="38">
        <f>Data!E7</f>
        <v>-1.1000051204472783E-3</v>
      </c>
      <c r="F9" s="38">
        <f>Data!F7</f>
        <v>-1.4189512304110252E-3</v>
      </c>
      <c r="G9" s="38">
        <f t="shared" si="5"/>
        <v>8.0239319701054367E-3</v>
      </c>
      <c r="H9" s="38">
        <f t="shared" si="6"/>
        <v>1.0151880677261496</v>
      </c>
      <c r="I9" s="39">
        <f>H9/MAX($H$4:H9) - 1</f>
        <v>-1.3820337446822095E-2</v>
      </c>
      <c r="J9" s="75"/>
      <c r="K9" s="31" t="s">
        <v>78</v>
      </c>
      <c r="L9" s="40">
        <f>_xlfn.STDEV.S(G4:G123)</f>
        <v>1.835007590697104E-2</v>
      </c>
      <c r="X9" s="60">
        <v>5.6515784546573604E-3</v>
      </c>
      <c r="Y9" s="60">
        <v>1.46837487610587E-2</v>
      </c>
      <c r="Z9" s="60">
        <v>8.8758342949051307E-3</v>
      </c>
      <c r="AA9" s="56">
        <f t="shared" si="0"/>
        <v>5.3356549770493681E-3</v>
      </c>
      <c r="AC9" t="s">
        <v>109</v>
      </c>
      <c r="AD9">
        <v>3.322406E-3</v>
      </c>
      <c r="AN9">
        <v>1.24957505186376E-2</v>
      </c>
      <c r="AO9">
        <v>-1.11324474738006E-2</v>
      </c>
      <c r="AP9">
        <v>2.2668462092829501E-2</v>
      </c>
      <c r="AQ9" s="56">
        <f t="shared" si="1"/>
        <v>1.5000517679676324E-2</v>
      </c>
      <c r="AS9" t="s">
        <v>109</v>
      </c>
      <c r="AT9">
        <v>1.7268148957778898E-2</v>
      </c>
      <c r="BD9">
        <v>-4.1462267061582202E-2</v>
      </c>
      <c r="BE9">
        <v>1.7579991357553799E-2</v>
      </c>
      <c r="BF9" s="56">
        <f t="shared" si="2"/>
        <v>1.5406920650624031E-3</v>
      </c>
      <c r="BH9" t="s">
        <v>109</v>
      </c>
      <c r="BI9">
        <v>4.6755562907556399E-2</v>
      </c>
      <c r="BS9">
        <v>-3.2865630135254799E-3</v>
      </c>
      <c r="BT9">
        <v>3.6000125969946101E-3</v>
      </c>
      <c r="BU9">
        <v>1.9900115237942999E-3</v>
      </c>
      <c r="BV9">
        <v>-8.7949415806041192E-3</v>
      </c>
      <c r="BW9" s="56">
        <f t="shared" si="3"/>
        <v>-3.1216789904268249E-3</v>
      </c>
      <c r="BY9" t="s">
        <v>109</v>
      </c>
      <c r="BZ9">
        <v>8.6184020545678301E-3</v>
      </c>
      <c r="CJ9">
        <v>-2.61481521713824E-3</v>
      </c>
      <c r="CK9">
        <v>1.61000107320031E-3</v>
      </c>
      <c r="CL9">
        <v>1.4527412749562501E-2</v>
      </c>
      <c r="CM9" s="56">
        <f t="shared" si="4"/>
        <v>-1.1380863055598912E-3</v>
      </c>
      <c r="CO9" t="s">
        <v>109</v>
      </c>
      <c r="CP9">
        <v>3.97251875126081E-3</v>
      </c>
    </row>
    <row r="10" spans="1:98" ht="16" thickBot="1" x14ac:dyDescent="0.25">
      <c r="A10" s="1">
        <v>38198</v>
      </c>
      <c r="B10" s="38">
        <f>Data!B8</f>
        <v>8.9616862738517433E-3</v>
      </c>
      <c r="C10" s="38">
        <f>Data!C8</f>
        <v>-7.5513603553581499E-2</v>
      </c>
      <c r="D10" s="38">
        <f>Data!D8</f>
        <v>1.9774084992043583E-2</v>
      </c>
      <c r="E10" s="38">
        <f>Data!E8</f>
        <v>-3.289996510301485E-3</v>
      </c>
      <c r="F10" s="38">
        <f>Data!F8</f>
        <v>1.474351928904527E-2</v>
      </c>
      <c r="G10" s="38">
        <f t="shared" si="5"/>
        <v>-7.242992207668936E-3</v>
      </c>
      <c r="H10" s="38">
        <f t="shared" si="6"/>
        <v>1.0078350684622905</v>
      </c>
      <c r="I10" s="39">
        <f>H10/MAX($H$4:H10) - 1</f>
        <v>-2.0963229058056365E-2</v>
      </c>
      <c r="J10" s="39"/>
      <c r="K10" s="31" t="s">
        <v>79</v>
      </c>
      <c r="L10" s="40">
        <f>L9*SQRT(12)</f>
        <v>6.3566527587238769E-2</v>
      </c>
      <c r="X10" s="60">
        <v>9.9122549949146599E-3</v>
      </c>
      <c r="Y10" s="60">
        <v>2.97022538981946E-2</v>
      </c>
      <c r="Z10" s="60">
        <v>3.5641780845903099E-3</v>
      </c>
      <c r="AA10" s="56">
        <f t="shared" si="0"/>
        <v>1.7597609039363051E-3</v>
      </c>
      <c r="AC10" s="4" t="s">
        <v>110</v>
      </c>
      <c r="AD10" s="4">
        <v>120</v>
      </c>
      <c r="AN10">
        <v>-5.6532161459125103E-2</v>
      </c>
      <c r="AO10">
        <v>-4.2445488955042299E-2</v>
      </c>
      <c r="AP10">
        <v>-3.4236249490822698E-2</v>
      </c>
      <c r="AQ10" s="56">
        <f t="shared" si="1"/>
        <v>1.1890648158842151E-2</v>
      </c>
      <c r="AS10" s="4" t="s">
        <v>110</v>
      </c>
      <c r="AT10" s="4">
        <v>120</v>
      </c>
      <c r="BD10">
        <v>1.7666820897624301E-2</v>
      </c>
      <c r="BE10">
        <v>-9.3100039320574996E-3</v>
      </c>
      <c r="BF10" s="56">
        <f t="shared" si="2"/>
        <v>2.0104059574972032E-2</v>
      </c>
      <c r="BH10" s="4" t="s">
        <v>110</v>
      </c>
      <c r="BI10" s="4">
        <v>120</v>
      </c>
      <c r="BS10">
        <v>-8.1166772352567803E-3</v>
      </c>
      <c r="BT10">
        <v>-5.6499985801872201E-3</v>
      </c>
      <c r="BU10">
        <v>-1.21699851169794E-2</v>
      </c>
      <c r="BV10">
        <v>1.4276937793218199E-2</v>
      </c>
      <c r="BW10" s="56">
        <f t="shared" si="3"/>
        <v>7.8525829094547427E-3</v>
      </c>
      <c r="BY10" s="4" t="s">
        <v>110</v>
      </c>
      <c r="BZ10" s="4">
        <v>120</v>
      </c>
      <c r="CJ10">
        <v>1.6134553149116201E-2</v>
      </c>
      <c r="CK10">
        <v>6.5199865367922003E-3</v>
      </c>
      <c r="CL10">
        <v>1.3476433079504999E-2</v>
      </c>
      <c r="CM10" s="56">
        <f t="shared" si="4"/>
        <v>-1.2560503694525119E-3</v>
      </c>
      <c r="CO10" s="4" t="s">
        <v>110</v>
      </c>
      <c r="CP10" s="4">
        <v>120</v>
      </c>
    </row>
    <row r="11" spans="1:98" x14ac:dyDescent="0.2">
      <c r="A11" s="1">
        <v>38230</v>
      </c>
      <c r="B11" s="38">
        <f>Data!B9</f>
        <v>1.5418905207830846E-2</v>
      </c>
      <c r="C11" s="38">
        <f>Data!C9</f>
        <v>-5.330330330330324E-2</v>
      </c>
      <c r="D11" s="38">
        <f>Data!D9</f>
        <v>-2.4231920390882955E-2</v>
      </c>
      <c r="E11" s="38">
        <f>Data!E9</f>
        <v>-2.3300046663617957E-3</v>
      </c>
      <c r="F11" s="38">
        <f>Data!F9</f>
        <v>2.357337376988311E-2</v>
      </c>
      <c r="G11" s="38">
        <f t="shared" si="5"/>
        <v>-2.3895354130580634E-3</v>
      </c>
      <c r="H11" s="38">
        <f t="shared" si="6"/>
        <v>1.0054268108756781</v>
      </c>
      <c r="I11" s="39">
        <f>H11/MAX($H$4:H11) - 1</f>
        <v>-2.330267209290815E-2</v>
      </c>
      <c r="J11" s="39"/>
      <c r="K11" s="31" t="s">
        <v>80</v>
      </c>
      <c r="L11" s="40">
        <f>MIN(G4:G123)</f>
        <v>-8.8834820430874067E-2</v>
      </c>
      <c r="X11" s="60">
        <v>1.9075174108971599E-2</v>
      </c>
      <c r="Y11" s="60">
        <v>4.1283114327875799E-2</v>
      </c>
      <c r="Z11" s="60">
        <v>-9.0321684533356495E-4</v>
      </c>
      <c r="AA11" s="56">
        <f t="shared" si="0"/>
        <v>1.8498791178675929E-3</v>
      </c>
      <c r="AN11">
        <v>-4.9383484064629002E-3</v>
      </c>
      <c r="AO11">
        <v>-1.91597287817948E-2</v>
      </c>
      <c r="AP11">
        <v>-9.1842866424752794E-3</v>
      </c>
      <c r="AQ11" s="56">
        <f t="shared" si="1"/>
        <v>-3.7602797753924125E-2</v>
      </c>
      <c r="BD11">
        <v>-1.8225954391624801E-2</v>
      </c>
      <c r="BE11">
        <v>4.9100023455581603E-3</v>
      </c>
      <c r="BF11" s="56">
        <f t="shared" si="2"/>
        <v>-1.8282001954467265E-2</v>
      </c>
      <c r="BS11">
        <v>4.8075693645313902E-2</v>
      </c>
      <c r="BT11">
        <v>-9.0006462964087306E-5</v>
      </c>
      <c r="BU11">
        <v>-8.3400215477897905E-3</v>
      </c>
      <c r="BV11">
        <v>-7.71494203265621E-3</v>
      </c>
      <c r="BW11" s="56">
        <f t="shared" si="3"/>
        <v>1.7959180071508603E-5</v>
      </c>
      <c r="CJ11">
        <v>2.5976511659955102E-2</v>
      </c>
      <c r="CK11">
        <v>8.2500150848256997E-3</v>
      </c>
      <c r="CL11">
        <v>1.81719572636381E-2</v>
      </c>
      <c r="CM11" s="56">
        <f t="shared" si="4"/>
        <v>-1.9049614305296191E-3</v>
      </c>
    </row>
    <row r="12" spans="1:98" ht="16" thickBot="1" x14ac:dyDescent="0.25">
      <c r="A12" s="1">
        <v>38260</v>
      </c>
      <c r="B12" s="38">
        <f>Data!B10</f>
        <v>1.5233914296945983E-3</v>
      </c>
      <c r="C12" s="38">
        <f>Data!C10</f>
        <v>2.9183187946074662E-2</v>
      </c>
      <c r="D12" s="38">
        <f>Data!D10</f>
        <v>0.12160576765525155</v>
      </c>
      <c r="E12" s="38">
        <f>Data!E10</f>
        <v>8.3500020813711551E-3</v>
      </c>
      <c r="F12" s="38">
        <f>Data!F10</f>
        <v>2.2524054632169221E-3</v>
      </c>
      <c r="G12" s="38">
        <f t="shared" si="5"/>
        <v>1.9744498889704705E-2</v>
      </c>
      <c r="H12" s="38">
        <f t="shared" si="6"/>
        <v>1.0252784594266922</v>
      </c>
      <c r="I12" s="39">
        <f>H12/MAX($H$4:H12) - 1</f>
        <v>-4.018272786469046E-3</v>
      </c>
      <c r="J12" s="39"/>
      <c r="K12" s="31" t="s">
        <v>81</v>
      </c>
      <c r="L12" s="40">
        <f>MAX(G4:G123)</f>
        <v>5.7878392274673347E-2</v>
      </c>
      <c r="O12" s="51" t="s">
        <v>168</v>
      </c>
      <c r="P12" s="52" cm="1">
        <f t="array" ref="P12">MMULT(MMULT(B2:F2,P4:T8),_xlfn.ANCHORARRAY(N4))</f>
        <v>3.3499918634661386E-4</v>
      </c>
      <c r="X12" s="60">
        <v>2.7134996608124701E-3</v>
      </c>
      <c r="Y12" s="60">
        <v>1.6634612140230098E-2</v>
      </c>
      <c r="Z12" s="60">
        <v>1.1218053190450199E-2</v>
      </c>
      <c r="AA12" s="56">
        <f t="shared" si="0"/>
        <v>-1.7900504953839843E-4</v>
      </c>
      <c r="AC12" t="s">
        <v>111</v>
      </c>
      <c r="AN12">
        <v>9.5108982621412395E-3</v>
      </c>
      <c r="AO12">
        <v>-5.9905211856052798E-3</v>
      </c>
      <c r="AP12">
        <v>3.6114968230201598E-2</v>
      </c>
      <c r="AQ12" s="56">
        <f t="shared" si="1"/>
        <v>1.512872365483298E-2</v>
      </c>
      <c r="AS12" t="s">
        <v>111</v>
      </c>
      <c r="BD12">
        <v>6.84664513582951E-2</v>
      </c>
      <c r="BE12">
        <v>1.36499987987653E-2</v>
      </c>
      <c r="BF12" s="56">
        <f t="shared" si="2"/>
        <v>5.625132302366459E-2</v>
      </c>
      <c r="BH12" t="s">
        <v>111</v>
      </c>
      <c r="BS12">
        <v>2.0495303159692599E-2</v>
      </c>
      <c r="BT12">
        <v>8.2399999444353594E-3</v>
      </c>
      <c r="BU12">
        <v>4.68001390959971E-3</v>
      </c>
      <c r="BV12">
        <v>9.0394150116599493E-3</v>
      </c>
      <c r="BW12" s="56">
        <f t="shared" si="3"/>
        <v>9.2650210721384463E-5</v>
      </c>
      <c r="BY12" t="s">
        <v>111</v>
      </c>
      <c r="CJ12">
        <v>1.5744976158673699E-3</v>
      </c>
      <c r="CK12">
        <v>3.5599860348356502E-3</v>
      </c>
      <c r="CL12">
        <v>1.3931552851262701E-2</v>
      </c>
      <c r="CM12" s="56">
        <f t="shared" si="4"/>
        <v>-9.4264624434450307E-4</v>
      </c>
      <c r="CO12" t="s">
        <v>111</v>
      </c>
    </row>
    <row r="13" spans="1:98" x14ac:dyDescent="0.2">
      <c r="A13" s="1">
        <v>38289</v>
      </c>
      <c r="B13" s="38">
        <f>Data!B11</f>
        <v>8.0551512078639309E-3</v>
      </c>
      <c r="C13" s="38">
        <f>Data!C11</f>
        <v>5.2396363075974728E-2</v>
      </c>
      <c r="D13" s="38">
        <f>Data!D11</f>
        <v>-4.2067679937357161E-2</v>
      </c>
      <c r="E13" s="38">
        <f>Data!E11</f>
        <v>8.3800005220826534E-3</v>
      </c>
      <c r="F13" s="38">
        <f>Data!F11</f>
        <v>1.4042126379137265E-2</v>
      </c>
      <c r="G13" s="38">
        <f t="shared" si="5"/>
        <v>1.3863655068840158E-2</v>
      </c>
      <c r="H13" s="38">
        <f t="shared" si="6"/>
        <v>1.0394925663376957</v>
      </c>
      <c r="I13" s="39">
        <f>H13/MAX($H$4:H13) - 1</f>
        <v>0</v>
      </c>
      <c r="J13" s="39"/>
      <c r="K13" s="31" t="s">
        <v>82</v>
      </c>
      <c r="L13" s="18">
        <f>SKEW(G4:G123)</f>
        <v>-1.1716867145189442</v>
      </c>
      <c r="O13" s="51" t="s">
        <v>169</v>
      </c>
      <c r="P13" s="53">
        <f>SQRT(P12)</f>
        <v>1.8302982990392954E-2</v>
      </c>
      <c r="X13" s="60">
        <v>8.3857442348007592E-3</v>
      </c>
      <c r="Y13" s="60">
        <v>1.6096913375373199E-2</v>
      </c>
      <c r="Z13" s="60">
        <v>1.08944614207263E-2</v>
      </c>
      <c r="AA13" s="56">
        <f t="shared" si="0"/>
        <v>2.9856194449891758E-3</v>
      </c>
      <c r="AC13" s="61"/>
      <c r="AD13" s="61" t="s">
        <v>112</v>
      </c>
      <c r="AE13" s="61" t="s">
        <v>113</v>
      </c>
      <c r="AF13" s="61" t="s">
        <v>114</v>
      </c>
      <c r="AG13" s="61" t="s">
        <v>115</v>
      </c>
      <c r="AH13" s="61" t="s">
        <v>116</v>
      </c>
      <c r="AN13">
        <v>1.55963369293051E-2</v>
      </c>
      <c r="AO13">
        <v>-1.02746078586913E-3</v>
      </c>
      <c r="AP13">
        <v>4.40672037474776E-3</v>
      </c>
      <c r="AQ13" s="56">
        <f t="shared" si="1"/>
        <v>3.4919734616357632E-2</v>
      </c>
      <c r="AS13" s="61"/>
      <c r="AT13" s="61" t="s">
        <v>112</v>
      </c>
      <c r="AU13" s="61" t="s">
        <v>113</v>
      </c>
      <c r="AV13" s="61" t="s">
        <v>114</v>
      </c>
      <c r="AW13" s="61" t="s">
        <v>115</v>
      </c>
      <c r="AX13" s="61" t="s">
        <v>116</v>
      </c>
      <c r="BD13">
        <v>1.6922450702526699E-2</v>
      </c>
      <c r="BE13">
        <v>1.4890002029396301E-2</v>
      </c>
      <c r="BF13" s="56">
        <f t="shared" si="2"/>
        <v>-7.3651458413466736E-2</v>
      </c>
      <c r="BH13" s="61"/>
      <c r="BI13" s="61" t="s">
        <v>112</v>
      </c>
      <c r="BJ13" s="61" t="s">
        <v>113</v>
      </c>
      <c r="BK13" s="61" t="s">
        <v>114</v>
      </c>
      <c r="BL13" s="61" t="s">
        <v>115</v>
      </c>
      <c r="BM13" s="61" t="s">
        <v>116</v>
      </c>
      <c r="BS13">
        <v>2.4626419605499099E-2</v>
      </c>
      <c r="BT13">
        <v>7.7799953911141797E-3</v>
      </c>
      <c r="BU13">
        <v>4.6699963296139603E-3</v>
      </c>
      <c r="BV13">
        <v>-1.0527279307751601E-2</v>
      </c>
      <c r="BW13" s="56">
        <f t="shared" si="3"/>
        <v>6.2290963124972658E-4</v>
      </c>
      <c r="BY13" s="61"/>
      <c r="BZ13" s="61" t="s">
        <v>112</v>
      </c>
      <c r="CA13" s="61" t="s">
        <v>113</v>
      </c>
      <c r="CB13" s="61" t="s">
        <v>114</v>
      </c>
      <c r="CC13" s="61" t="s">
        <v>115</v>
      </c>
      <c r="CD13" s="61" t="s">
        <v>116</v>
      </c>
      <c r="CJ13">
        <v>1.42003546363485E-2</v>
      </c>
      <c r="CK13">
        <v>3.1099990615002199E-3</v>
      </c>
      <c r="CL13">
        <v>1.9280205655526999E-2</v>
      </c>
      <c r="CM13" s="56">
        <f t="shared" si="4"/>
        <v>-1.5339826556548877E-3</v>
      </c>
      <c r="CO13" s="61"/>
      <c r="CP13" s="61" t="s">
        <v>112</v>
      </c>
      <c r="CQ13" s="61" t="s">
        <v>113</v>
      </c>
      <c r="CR13" s="61" t="s">
        <v>114</v>
      </c>
      <c r="CS13" s="61" t="s">
        <v>115</v>
      </c>
      <c r="CT13" s="61" t="s">
        <v>116</v>
      </c>
    </row>
    <row r="14" spans="1:98" x14ac:dyDescent="0.2">
      <c r="A14" s="1">
        <v>38321</v>
      </c>
      <c r="B14" s="38">
        <f>Data!B12</f>
        <v>-2.4905286897548562E-3</v>
      </c>
      <c r="C14" s="38">
        <f>Data!C12</f>
        <v>4.8616195636256965E-2</v>
      </c>
      <c r="D14" s="38">
        <f>Data!D12</f>
        <v>5.0911974623314871E-2</v>
      </c>
      <c r="E14" s="38">
        <f>Data!E12</f>
        <v>2.8050001880210784E-2</v>
      </c>
      <c r="F14" s="38">
        <f>Data!F12</f>
        <v>-4.573748912340081E-3</v>
      </c>
      <c r="G14" s="38">
        <f t="shared" si="5"/>
        <v>1.5787288664103616E-2</v>
      </c>
      <c r="H14" s="38">
        <f t="shared" si="6"/>
        <v>1.0559033355466589</v>
      </c>
      <c r="I14" s="39">
        <f>H14/MAX($H$4:H14) - 1</f>
        <v>0</v>
      </c>
      <c r="J14" s="39"/>
      <c r="K14" s="31" t="s">
        <v>83</v>
      </c>
      <c r="L14" s="18">
        <f>KURT(G4:G123)</f>
        <v>5.5598251336420876</v>
      </c>
      <c r="X14" s="60">
        <v>-7.9764103668484906E-3</v>
      </c>
      <c r="Y14" s="60">
        <v>6.9900375632860898E-3</v>
      </c>
      <c r="Z14" s="60">
        <v>1.838045056511E-2</v>
      </c>
      <c r="AA14" s="56">
        <f t="shared" si="0"/>
        <v>3.1687345153162041E-3</v>
      </c>
      <c r="AC14" t="s">
        <v>117</v>
      </c>
      <c r="AD14">
        <v>3</v>
      </c>
      <c r="AE14">
        <v>5.7348299999999998E-3</v>
      </c>
      <c r="AF14">
        <v>1.91161E-3</v>
      </c>
      <c r="AG14">
        <v>173.17843250000001</v>
      </c>
      <c r="AH14">
        <v>1.12326E-42</v>
      </c>
      <c r="AN14">
        <v>3.4398423802710597E-2</v>
      </c>
      <c r="AO14">
        <v>-1.6159537314374101E-2</v>
      </c>
      <c r="AP14">
        <v>4.6276912821102703E-2</v>
      </c>
      <c r="AQ14" s="56">
        <f t="shared" si="1"/>
        <v>9.9851937895448148E-3</v>
      </c>
      <c r="AS14" t="s">
        <v>117</v>
      </c>
      <c r="AT14">
        <v>3</v>
      </c>
      <c r="AU14">
        <v>0.31156705965333398</v>
      </c>
      <c r="AV14">
        <v>0.10385568655111101</v>
      </c>
      <c r="AW14">
        <v>348.28815800465799</v>
      </c>
      <c r="AX14">
        <v>7.8658089113677994E-58</v>
      </c>
      <c r="BD14">
        <v>-1.19784447294101E-2</v>
      </c>
      <c r="BE14">
        <v>4.0329999084645102E-2</v>
      </c>
      <c r="BF14" s="56">
        <f t="shared" si="2"/>
        <v>5.1082150496763457E-3</v>
      </c>
      <c r="BH14" t="s">
        <v>117</v>
      </c>
      <c r="BI14">
        <v>2</v>
      </c>
      <c r="BJ14">
        <v>0.35926839390960402</v>
      </c>
      <c r="BK14">
        <v>0.17963419695480201</v>
      </c>
      <c r="BL14">
        <v>82.171731202752895</v>
      </c>
      <c r="BM14">
        <v>5.1111482872662798E-23</v>
      </c>
      <c r="BS14">
        <v>5.2269280130673203E-2</v>
      </c>
      <c r="BT14">
        <v>2.6389990525552499E-2</v>
      </c>
      <c r="BU14">
        <v>1.5719983907416E-2</v>
      </c>
      <c r="BV14">
        <v>-6.7615630409612101E-3</v>
      </c>
      <c r="BW14" s="56">
        <f t="shared" si="3"/>
        <v>3.5343686820540239E-3</v>
      </c>
      <c r="BY14" t="s">
        <v>117</v>
      </c>
      <c r="BZ14">
        <v>4</v>
      </c>
      <c r="CA14">
        <v>1.43552365585376E-2</v>
      </c>
      <c r="CB14">
        <v>3.58880913963441E-3</v>
      </c>
      <c r="CC14">
        <v>48.316655157230997</v>
      </c>
      <c r="CD14">
        <v>8.8233460889631707E-24</v>
      </c>
      <c r="CJ14">
        <v>-7.0595322049834498E-3</v>
      </c>
      <c r="CK14">
        <v>1.0670006618136401E-2</v>
      </c>
      <c r="CL14">
        <v>1.0404040198261501E-2</v>
      </c>
      <c r="CM14" s="56">
        <f t="shared" si="4"/>
        <v>1.5124677527817987E-3</v>
      </c>
      <c r="CO14" t="s">
        <v>117</v>
      </c>
      <c r="CP14">
        <v>3</v>
      </c>
      <c r="CQ14">
        <v>4.8905146756066303E-2</v>
      </c>
      <c r="CR14">
        <v>1.6301715585355401E-2</v>
      </c>
      <c r="CS14">
        <v>1033.00256535827</v>
      </c>
      <c r="CT14">
        <v>1.7828933945598999E-83</v>
      </c>
    </row>
    <row r="15" spans="1:98" x14ac:dyDescent="0.2">
      <c r="A15" s="1">
        <v>38352</v>
      </c>
      <c r="B15" s="38">
        <f>Data!B13</f>
        <v>7.0429407937542265E-3</v>
      </c>
      <c r="C15" s="38">
        <f>Data!C13</f>
        <v>2.8487641390867235E-2</v>
      </c>
      <c r="D15" s="38">
        <f>Data!D13</f>
        <v>5.0918293900485301E-2</v>
      </c>
      <c r="E15" s="38">
        <f>Data!E13</f>
        <v>6.0599974547017599E-3</v>
      </c>
      <c r="F15" s="38">
        <f>Data!F13</f>
        <v>1.2207877592492977E-2</v>
      </c>
      <c r="G15" s="38">
        <f t="shared" si="5"/>
        <v>1.6902492449914028E-2</v>
      </c>
      <c r="H15" s="38">
        <f t="shared" si="6"/>
        <v>1.0737507337035752</v>
      </c>
      <c r="I15" s="39">
        <f>H15/MAX($H$4:H15) - 1</f>
        <v>0</v>
      </c>
      <c r="J15" s="39"/>
      <c r="K15" s="31" t="s">
        <v>84</v>
      </c>
      <c r="L15" s="18">
        <f>120/6 * (L13^2 + L14^2/4)</f>
        <v>182.01527272299526</v>
      </c>
      <c r="X15" s="60">
        <v>9.2011221695278405E-3</v>
      </c>
      <c r="Y15" s="60">
        <v>2.50413571637094E-2</v>
      </c>
      <c r="Z15" s="60">
        <v>5.8803135508929101E-3</v>
      </c>
      <c r="AA15" s="56">
        <f t="shared" si="0"/>
        <v>6.6980766944515959E-4</v>
      </c>
      <c r="AC15" t="s">
        <v>118</v>
      </c>
      <c r="AD15">
        <v>116</v>
      </c>
      <c r="AE15">
        <v>1.2804520000000001E-3</v>
      </c>
      <c r="AF15">
        <v>1.1038399999999999E-5</v>
      </c>
      <c r="AN15">
        <v>3.9208485422053803E-2</v>
      </c>
      <c r="AO15">
        <v>5.7219740771994303E-3</v>
      </c>
      <c r="AP15">
        <v>-4.4289796701506602E-3</v>
      </c>
      <c r="AQ15" s="56">
        <f t="shared" si="1"/>
        <v>-1.6501925193357393E-2</v>
      </c>
      <c r="AS15" t="s">
        <v>118</v>
      </c>
      <c r="AT15">
        <v>116</v>
      </c>
      <c r="AU15">
        <v>3.4589920337652701E-2</v>
      </c>
      <c r="AV15">
        <v>2.98188968428041E-4</v>
      </c>
      <c r="BD15">
        <v>-4.9106104596640603E-2</v>
      </c>
      <c r="BE15">
        <v>2.7990000567262901E-2</v>
      </c>
      <c r="BF15" s="56">
        <f t="shared" si="2"/>
        <v>4.7170949876623909E-2</v>
      </c>
      <c r="BH15" t="s">
        <v>118</v>
      </c>
      <c r="BI15">
        <v>117</v>
      </c>
      <c r="BJ15">
        <v>0.25577167154788799</v>
      </c>
      <c r="BK15">
        <v>2.1860826628024598E-3</v>
      </c>
      <c r="BS15">
        <v>-2.7719259341390402E-2</v>
      </c>
      <c r="BT15">
        <v>1.5049999769568599E-2</v>
      </c>
      <c r="BU15">
        <v>7.58999357697898E-3</v>
      </c>
      <c r="BV15">
        <v>-1.6418659500056401E-2</v>
      </c>
      <c r="BW15" s="56">
        <f t="shared" si="3"/>
        <v>-1.3493013508431937E-3</v>
      </c>
      <c r="BY15" t="s">
        <v>118</v>
      </c>
      <c r="BZ15">
        <v>115</v>
      </c>
      <c r="CA15">
        <v>8.5418382070305797E-3</v>
      </c>
      <c r="CB15">
        <v>7.4276853974179001E-5</v>
      </c>
      <c r="CJ15">
        <v>1.37681534694119E-2</v>
      </c>
      <c r="CK15">
        <v>7.4600061925895701E-3</v>
      </c>
      <c r="CL15">
        <v>1.50814357204208E-2</v>
      </c>
      <c r="CM15" s="56">
        <f t="shared" si="4"/>
        <v>-1.7779500879942615E-3</v>
      </c>
      <c r="CO15" t="s">
        <v>118</v>
      </c>
      <c r="CP15">
        <v>116</v>
      </c>
      <c r="CQ15">
        <v>1.83058500657777E-3</v>
      </c>
      <c r="CR15">
        <v>1.5780905229118699E-5</v>
      </c>
    </row>
    <row r="16" spans="1:98" ht="16" thickBot="1" x14ac:dyDescent="0.25">
      <c r="A16" s="1">
        <v>38383</v>
      </c>
      <c r="B16" s="38">
        <f>Data!B14</f>
        <v>5.3219840744269664E-3</v>
      </c>
      <c r="C16" s="38">
        <f>Data!C14</f>
        <v>-5.2410047522063796E-2</v>
      </c>
      <c r="D16" s="38">
        <f>Data!D14</f>
        <v>-2.6241659670363737E-2</v>
      </c>
      <c r="E16" s="38">
        <f>Data!E14</f>
        <v>-5.7600019640531297E-3</v>
      </c>
      <c r="F16" s="38">
        <f>Data!F14</f>
        <v>2.3324131618960298E-3</v>
      </c>
      <c r="G16" s="38">
        <f t="shared" si="5"/>
        <v>-1.1511182239931604E-2</v>
      </c>
      <c r="H16" s="38">
        <f t="shared" si="6"/>
        <v>1.0613905933276531</v>
      </c>
      <c r="I16" s="39">
        <f>H16/MAX($H$4:H16) - 1</f>
        <v>-1.1511182239931639E-2</v>
      </c>
      <c r="J16" s="39"/>
      <c r="K16" s="31" t="s">
        <v>86</v>
      </c>
      <c r="L16" s="18">
        <f>_xlfn.CHISQ.DIST.RT(L15, 2)</f>
        <v>2.9914773377270412E-40</v>
      </c>
      <c r="X16" s="60">
        <v>6.2794738148424E-3</v>
      </c>
      <c r="Y16" s="60">
        <v>6.2656245055536797E-3</v>
      </c>
      <c r="Z16" s="60">
        <v>-7.2984348321349897E-3</v>
      </c>
      <c r="AA16" s="56">
        <f t="shared" si="0"/>
        <v>7.5039420576040756E-4</v>
      </c>
      <c r="AC16" s="4" t="s">
        <v>119</v>
      </c>
      <c r="AD16" s="4">
        <v>119</v>
      </c>
      <c r="AE16" s="4">
        <v>7.0152820000000003E-3</v>
      </c>
      <c r="AF16" s="4"/>
      <c r="AG16" s="4"/>
      <c r="AH16" s="4"/>
      <c r="AN16">
        <v>-3.3348502855081098E-2</v>
      </c>
      <c r="AO16">
        <v>-1.5597855042587899E-2</v>
      </c>
      <c r="AP16">
        <v>-1.73483823651784E-2</v>
      </c>
      <c r="AQ16" s="56">
        <f t="shared" si="1"/>
        <v>-5.6146781058801568E-3</v>
      </c>
      <c r="AS16" s="4" t="s">
        <v>119</v>
      </c>
      <c r="AT16" s="4">
        <v>119</v>
      </c>
      <c r="AU16" s="4">
        <v>0.34615697999098699</v>
      </c>
      <c r="AV16" s="4"/>
      <c r="AW16" s="4"/>
      <c r="AX16" s="4"/>
      <c r="BD16">
        <v>1.0434130850706999E-2</v>
      </c>
      <c r="BE16">
        <v>-1.4799960669028599E-3</v>
      </c>
      <c r="BF16" s="56">
        <f t="shared" si="2"/>
        <v>-3.1431203802694263E-2</v>
      </c>
      <c r="BH16" s="4" t="s">
        <v>119</v>
      </c>
      <c r="BI16" s="4">
        <v>119</v>
      </c>
      <c r="BJ16" s="4">
        <v>0.61504006545749201</v>
      </c>
      <c r="BK16" s="4"/>
      <c r="BL16" s="4"/>
      <c r="BM16" s="4"/>
      <c r="BS16">
        <v>-3.6150074124757597E-2</v>
      </c>
      <c r="BT16">
        <v>1.70011860413766E-4</v>
      </c>
      <c r="BU16">
        <v>-2.8399794031672698E-3</v>
      </c>
      <c r="BV16">
        <v>1.85550084221352E-2</v>
      </c>
      <c r="BW16" s="56">
        <f t="shared" si="3"/>
        <v>-1.1586446001470678E-3</v>
      </c>
      <c r="BY16" s="4" t="s">
        <v>119</v>
      </c>
      <c r="BZ16" s="4">
        <v>119</v>
      </c>
      <c r="CA16" s="4">
        <v>2.2897074765568199E-2</v>
      </c>
      <c r="CB16" s="4"/>
      <c r="CC16" s="4"/>
      <c r="CD16" s="4"/>
      <c r="CJ16">
        <v>5.4076539101497499E-3</v>
      </c>
      <c r="CK16">
        <v>3.0099912635810399E-3</v>
      </c>
      <c r="CL16">
        <v>-1.0189610172925999E-3</v>
      </c>
      <c r="CM16" s="56">
        <f t="shared" si="4"/>
        <v>-2.0543976051709944E-3</v>
      </c>
      <c r="CO16" s="4" t="s">
        <v>119</v>
      </c>
      <c r="CP16" s="4">
        <v>119</v>
      </c>
      <c r="CQ16" s="4">
        <v>5.07357317626441E-2</v>
      </c>
      <c r="CR16" s="4"/>
      <c r="CS16" s="4"/>
      <c r="CT16" s="4"/>
    </row>
    <row r="17" spans="1:101" ht="16" thickBot="1" x14ac:dyDescent="0.25">
      <c r="A17" s="1">
        <v>38411</v>
      </c>
      <c r="B17" s="38">
        <f>Data!B15</f>
        <v>-4.6350965979836678E-3</v>
      </c>
      <c r="C17" s="38">
        <f>Data!C15</f>
        <v>4.298610116060253E-4</v>
      </c>
      <c r="D17" s="38">
        <f>Data!D15</f>
        <v>5.9643669489554574E-2</v>
      </c>
      <c r="E17" s="38">
        <f>Data!E15</f>
        <v>1.8060007063214423E-2</v>
      </c>
      <c r="F17" s="38">
        <f>Data!F15</f>
        <v>-5.8469196895389874E-3</v>
      </c>
      <c r="G17" s="38">
        <f t="shared" si="5"/>
        <v>4.6152387632260369E-3</v>
      </c>
      <c r="H17" s="38">
        <f t="shared" si="6"/>
        <v>1.0662891643369024</v>
      </c>
      <c r="I17" s="39">
        <f>H17/MAX($H$4:H17) - 1</f>
        <v>-6.949070331189855E-3</v>
      </c>
      <c r="J17" s="39"/>
      <c r="K17" s="31" t="s">
        <v>87</v>
      </c>
      <c r="L17" s="18" t="str">
        <f>IF(L16&lt;0.05, "REJECT", "PASS")</f>
        <v>REJECT</v>
      </c>
      <c r="O17" s="13" t="s">
        <v>170</v>
      </c>
      <c r="X17" s="60">
        <v>-5.9031974282449697E-3</v>
      </c>
      <c r="Y17" s="60">
        <v>6.6668763168653599E-3</v>
      </c>
      <c r="Z17" s="60">
        <v>2.01871790483555E-2</v>
      </c>
      <c r="AA17" s="56">
        <f t="shared" si="0"/>
        <v>-6.5535001734420145E-5</v>
      </c>
      <c r="AN17">
        <v>1.06425047805494E-2</v>
      </c>
      <c r="AO17">
        <v>-2.2499515418030299E-2</v>
      </c>
      <c r="AP17">
        <v>-4.1057787242657602E-3</v>
      </c>
      <c r="AQ17" s="56">
        <f t="shared" si="1"/>
        <v>-4.0070415972064198E-4</v>
      </c>
      <c r="BD17">
        <v>7.0644959787616202E-2</v>
      </c>
      <c r="BE17">
        <v>1.38499941464674E-2</v>
      </c>
      <c r="BF17" s="56">
        <f t="shared" si="2"/>
        <v>-7.4762879373868746E-3</v>
      </c>
      <c r="BS17">
        <v>3.08802650260291E-2</v>
      </c>
      <c r="BT17">
        <v>1.41900086230009E-2</v>
      </c>
      <c r="BU17">
        <v>6.3600110545871703E-3</v>
      </c>
      <c r="BV17">
        <v>2.3578104194732499E-4</v>
      </c>
      <c r="BW17" s="56">
        <f t="shared" si="3"/>
        <v>6.0683448205841959E-3</v>
      </c>
      <c r="CJ17">
        <v>-7.1714246310853299E-3</v>
      </c>
      <c r="CK17">
        <v>7.8299975684137397E-3</v>
      </c>
      <c r="CL17">
        <v>1.4283981620110599E-2</v>
      </c>
      <c r="CM17" s="56">
        <f t="shared" si="4"/>
        <v>-6.2047062835183207E-4</v>
      </c>
    </row>
    <row r="18" spans="1:101" x14ac:dyDescent="0.2">
      <c r="A18" s="1">
        <v>38442</v>
      </c>
      <c r="B18" s="38">
        <f>Data!B16</f>
        <v>-1.8562159021209279E-3</v>
      </c>
      <c r="C18" s="38">
        <f>Data!C16</f>
        <v>-2.2916069894013069E-2</v>
      </c>
      <c r="D18" s="38">
        <f>Data!D16</f>
        <v>1.204954713829931E-2</v>
      </c>
      <c r="E18" s="38">
        <f>Data!E16</f>
        <v>-6.0100030506643476E-3</v>
      </c>
      <c r="F18" s="38">
        <f>Data!F16</f>
        <v>-2.8739889188467149E-3</v>
      </c>
      <c r="G18" s="38">
        <f t="shared" si="5"/>
        <v>-5.5249945616872541E-3</v>
      </c>
      <c r="H18" s="38">
        <f t="shared" si="6"/>
        <v>1.0603979225027549</v>
      </c>
      <c r="I18" s="39">
        <f>H18/MAX($H$4:H18) - 1</f>
        <v>-1.2435671317088559E-2</v>
      </c>
      <c r="J18" s="39"/>
      <c r="K18" s="31" t="s">
        <v>88</v>
      </c>
      <c r="L18" s="40">
        <f>_xlfn.PERCENTILE.INC(G4:G123, 0.05)</f>
        <v>-2.4006284145373147E-2</v>
      </c>
      <c r="O18" s="46"/>
      <c r="P18" s="45" t="s">
        <v>0</v>
      </c>
      <c r="Q18" s="45" t="s">
        <v>1</v>
      </c>
      <c r="R18" s="45" t="s">
        <v>158</v>
      </c>
      <c r="S18" s="45" t="s">
        <v>3</v>
      </c>
      <c r="T18" s="45" t="s">
        <v>4</v>
      </c>
      <c r="X18" s="60">
        <v>-5.1360091306828001E-3</v>
      </c>
      <c r="Y18" s="60">
        <v>-2.5459998125644399E-2</v>
      </c>
      <c r="Z18" s="60">
        <v>-2.2176904370909901E-2</v>
      </c>
      <c r="AA18" s="56">
        <f t="shared" si="0"/>
        <v>9.8432798599216911E-4</v>
      </c>
      <c r="AC18" s="61"/>
      <c r="AD18" s="61" t="s">
        <v>120</v>
      </c>
      <c r="AE18" s="61" t="s">
        <v>109</v>
      </c>
      <c r="AF18" s="61" t="s">
        <v>121</v>
      </c>
      <c r="AG18" s="61" t="s">
        <v>122</v>
      </c>
      <c r="AH18" s="61" t="s">
        <v>123</v>
      </c>
      <c r="AI18" s="61" t="s">
        <v>124</v>
      </c>
      <c r="AJ18" s="61" t="s">
        <v>125</v>
      </c>
      <c r="AK18" s="61" t="s">
        <v>126</v>
      </c>
      <c r="AN18">
        <v>-1.8219344079550202E-2</v>
      </c>
      <c r="AO18">
        <v>-4.4976356246436699E-3</v>
      </c>
      <c r="AP18">
        <v>-1.0918705421757E-2</v>
      </c>
      <c r="AQ18" s="56">
        <f t="shared" si="1"/>
        <v>1.0812291990465878E-3</v>
      </c>
      <c r="AS18" s="61"/>
      <c r="AT18" s="61" t="s">
        <v>120</v>
      </c>
      <c r="AU18" s="61" t="s">
        <v>109</v>
      </c>
      <c r="AV18" s="61" t="s">
        <v>121</v>
      </c>
      <c r="AW18" s="61" t="s">
        <v>122</v>
      </c>
      <c r="AX18" s="61" t="s">
        <v>123</v>
      </c>
      <c r="AY18" s="61" t="s">
        <v>124</v>
      </c>
      <c r="AZ18" s="61" t="s">
        <v>125</v>
      </c>
      <c r="BA18" s="61" t="s">
        <v>126</v>
      </c>
      <c r="BD18">
        <v>3.5651904388571701E-2</v>
      </c>
      <c r="BE18">
        <v>-1.9799979756719402E-3</v>
      </c>
      <c r="BF18" s="56">
        <f t="shared" si="2"/>
        <v>-9.8051329443729004E-3</v>
      </c>
      <c r="BH18" s="61"/>
      <c r="BI18" s="61" t="s">
        <v>120</v>
      </c>
      <c r="BJ18" s="61" t="s">
        <v>109</v>
      </c>
      <c r="BK18" s="61" t="s">
        <v>121</v>
      </c>
      <c r="BL18" s="61" t="s">
        <v>122</v>
      </c>
      <c r="BM18" s="61" t="s">
        <v>123</v>
      </c>
      <c r="BN18" s="61" t="s">
        <v>124</v>
      </c>
      <c r="BO18" s="61" t="s">
        <v>125</v>
      </c>
      <c r="BP18" s="61" t="s">
        <v>126</v>
      </c>
      <c r="BS18">
        <v>-1.675657064157E-2</v>
      </c>
      <c r="BT18">
        <v>-5.1600136702056902E-3</v>
      </c>
      <c r="BU18">
        <v>-1.66002098953921E-3</v>
      </c>
      <c r="BV18">
        <v>7.1780439117846697E-3</v>
      </c>
      <c r="BW18" s="56">
        <f t="shared" si="3"/>
        <v>-1.9176967011442459E-3</v>
      </c>
      <c r="BY18" s="61"/>
      <c r="BZ18" s="61" t="s">
        <v>120</v>
      </c>
      <c r="CA18" s="61" t="s">
        <v>109</v>
      </c>
      <c r="CB18" s="61" t="s">
        <v>121</v>
      </c>
      <c r="CC18" s="61" t="s">
        <v>122</v>
      </c>
      <c r="CD18" s="61" t="s">
        <v>123</v>
      </c>
      <c r="CE18" s="61" t="s">
        <v>124</v>
      </c>
      <c r="CF18" s="61" t="s">
        <v>125</v>
      </c>
      <c r="CG18" s="61" t="s">
        <v>126</v>
      </c>
      <c r="CJ18">
        <v>-4.4377508572096599E-3</v>
      </c>
      <c r="CK18">
        <v>-3.4999926806664802E-3</v>
      </c>
      <c r="CL18">
        <v>-2.7312913501592699E-2</v>
      </c>
      <c r="CM18" s="56">
        <f t="shared" si="4"/>
        <v>5.0455755227638219E-3</v>
      </c>
      <c r="CO18" s="61"/>
      <c r="CP18" s="61" t="s">
        <v>120</v>
      </c>
      <c r="CQ18" s="61" t="s">
        <v>109</v>
      </c>
      <c r="CR18" s="61" t="s">
        <v>121</v>
      </c>
      <c r="CS18" s="61" t="s">
        <v>122</v>
      </c>
      <c r="CT18" s="61" t="s">
        <v>123</v>
      </c>
      <c r="CU18" s="61" t="s">
        <v>124</v>
      </c>
      <c r="CV18" s="61" t="s">
        <v>125</v>
      </c>
      <c r="CW18" s="61" t="s">
        <v>126</v>
      </c>
    </row>
    <row r="19" spans="1:101" x14ac:dyDescent="0.2">
      <c r="A19" s="1">
        <v>38471</v>
      </c>
      <c r="B19" s="38">
        <f>Data!B17</f>
        <v>1.1069066446740772E-2</v>
      </c>
      <c r="C19" s="38">
        <f>Data!C17</f>
        <v>-3.9577836411609502E-2</v>
      </c>
      <c r="D19" s="38">
        <f>Data!D17</f>
        <v>-4.4170461697952579E-2</v>
      </c>
      <c r="E19" s="38">
        <f>Data!E17</f>
        <v>-1.0610002179281874E-2</v>
      </c>
      <c r="F19" s="38">
        <f>Data!F17</f>
        <v>2.1743329173352199E-2</v>
      </c>
      <c r="G19" s="38">
        <f t="shared" si="5"/>
        <v>-4.2886550246986743E-3</v>
      </c>
      <c r="H19" s="38">
        <f t="shared" si="6"/>
        <v>1.0558502416242335</v>
      </c>
      <c r="I19" s="39">
        <f>H19/MAX($H$4:H19) - 1</f>
        <v>-1.6670994037507603E-2</v>
      </c>
      <c r="J19" s="39"/>
      <c r="K19" s="31" t="s">
        <v>162</v>
      </c>
      <c r="L19" s="152">
        <f>_xlfn.PERCENTILE.INC(G4:G123, 0.01)</f>
        <v>-4.6022991689495203E-2</v>
      </c>
      <c r="O19" s="48" t="s">
        <v>171</v>
      </c>
      <c r="P19" s="49">
        <f>B2*N4*P4</f>
        <v>7.1213529578595204E-6</v>
      </c>
      <c r="Q19" s="49">
        <f>C2*N4*Q4</f>
        <v>-4.1945018540166853E-6</v>
      </c>
      <c r="R19" s="49">
        <f>D2*N4*R4</f>
        <v>-1.3111345596764972E-6</v>
      </c>
      <c r="S19" s="49">
        <f>E2*N4*S4</f>
        <v>1.2230669470079097E-7</v>
      </c>
      <c r="T19" s="49">
        <f>F2*N4*T4</f>
        <v>9.0579679788712623E-6</v>
      </c>
      <c r="X19" s="60">
        <v>1.35339595976389E-2</v>
      </c>
      <c r="Y19" s="60">
        <v>1.57712527247083E-2</v>
      </c>
      <c r="Z19" s="60">
        <v>-2.42616617774403E-2</v>
      </c>
      <c r="AA19" s="56">
        <f t="shared" si="0"/>
        <v>5.0177458480488504E-4</v>
      </c>
      <c r="AC19" t="s">
        <v>127</v>
      </c>
      <c r="AD19">
        <v>1.16593E-4</v>
      </c>
      <c r="AE19">
        <v>3.3168500000000002E-4</v>
      </c>
      <c r="AF19">
        <v>0.35151554299999999</v>
      </c>
      <c r="AG19">
        <v>0.72583930600000002</v>
      </c>
      <c r="AH19">
        <v>-5.4035200000000002E-4</v>
      </c>
      <c r="AI19">
        <v>7.7399999999999995E-4</v>
      </c>
      <c r="AJ19">
        <v>-5.4000000000000001E-4</v>
      </c>
      <c r="AK19">
        <v>7.7399999999999995E-4</v>
      </c>
      <c r="AN19">
        <v>-1.9043376817335599E-2</v>
      </c>
      <c r="AO19">
        <v>-1.1328093150875199E-3</v>
      </c>
      <c r="AP19">
        <v>-3.8302915145590498E-2</v>
      </c>
      <c r="AQ19" s="56">
        <f t="shared" si="1"/>
        <v>-1.1424944005031919E-2</v>
      </c>
      <c r="AS19" t="s">
        <v>127</v>
      </c>
      <c r="AT19">
        <v>-2.7021658969361901E-3</v>
      </c>
      <c r="AU19">
        <v>1.59869911407063E-3</v>
      </c>
      <c r="AV19">
        <v>-1.6902279316687101</v>
      </c>
      <c r="AW19">
        <v>9.3669972176674998E-2</v>
      </c>
      <c r="AX19">
        <v>-5.86859093237279E-3</v>
      </c>
      <c r="AY19">
        <v>4.6425913850040203E-4</v>
      </c>
      <c r="AZ19">
        <v>-5.86859093237279E-3</v>
      </c>
      <c r="BA19">
        <v>4.6425913850040203E-4</v>
      </c>
      <c r="BD19">
        <v>-5.8346126220019001E-2</v>
      </c>
      <c r="BE19">
        <v>-1.7059994942389901E-2</v>
      </c>
      <c r="BF19" s="56">
        <f t="shared" si="2"/>
        <v>1.87961493425155E-2</v>
      </c>
      <c r="BH19" t="s">
        <v>127</v>
      </c>
      <c r="BI19">
        <v>-2.8003893071181E-3</v>
      </c>
      <c r="BJ19">
        <v>4.52594925518204E-3</v>
      </c>
      <c r="BK19">
        <v>-0.61874076557790902</v>
      </c>
      <c r="BL19">
        <v>0.53728994797496998</v>
      </c>
      <c r="BM19">
        <v>-1.1763794641306301E-2</v>
      </c>
      <c r="BN19">
        <v>6.1630160270701104E-3</v>
      </c>
      <c r="BO19">
        <v>-1.1763794641306301E-2</v>
      </c>
      <c r="BP19">
        <v>6.1630160270701104E-3</v>
      </c>
      <c r="BS19">
        <v>1.41006186529706E-2</v>
      </c>
      <c r="BT19">
        <v>-1.5129993096155901E-2</v>
      </c>
      <c r="BU19">
        <v>-6.6899932505322104E-3</v>
      </c>
      <c r="BV19">
        <v>-3.3539855990342201E-3</v>
      </c>
      <c r="BW19" s="56">
        <f t="shared" si="3"/>
        <v>-1.9311639436599536E-3</v>
      </c>
      <c r="BY19" t="s">
        <v>127</v>
      </c>
      <c r="BZ19">
        <v>2.2418120502784599E-3</v>
      </c>
      <c r="CA19">
        <v>8.7226811548798803E-4</v>
      </c>
      <c r="CB19">
        <v>2.5700951467477302</v>
      </c>
      <c r="CC19">
        <v>1.1444741811640499E-2</v>
      </c>
      <c r="CD19">
        <v>5.1401678925535905E-4</v>
      </c>
      <c r="CE19">
        <v>3.96960731130156E-3</v>
      </c>
      <c r="CF19">
        <v>5.1401678925535905E-4</v>
      </c>
      <c r="CG19">
        <v>3.96960731130156E-3</v>
      </c>
      <c r="CJ19">
        <v>2.5283828043532401E-2</v>
      </c>
      <c r="CK19">
        <v>-8.4399998456237101E-3</v>
      </c>
      <c r="CL19">
        <v>-1.07277021798014E-2</v>
      </c>
      <c r="CM19" s="56">
        <f t="shared" si="4"/>
        <v>-5.8978511188265831E-4</v>
      </c>
      <c r="CO19" t="s">
        <v>127</v>
      </c>
      <c r="CP19">
        <v>-1.37490228537868E-3</v>
      </c>
      <c r="CQ19">
        <v>3.95474440244219E-4</v>
      </c>
      <c r="CR19">
        <v>-3.4765894972368701</v>
      </c>
      <c r="CS19">
        <v>7.1550629534004797E-4</v>
      </c>
      <c r="CT19">
        <v>-2.1581892450343401E-3</v>
      </c>
      <c r="CU19">
        <v>-5.9161532572302698E-4</v>
      </c>
      <c r="CV19">
        <v>-2.1581892450343401E-3</v>
      </c>
      <c r="CW19">
        <v>-5.9161532572302698E-4</v>
      </c>
    </row>
    <row r="20" spans="1:101" x14ac:dyDescent="0.2">
      <c r="A20" s="1">
        <v>38503</v>
      </c>
      <c r="B20" s="38">
        <f>Data!B18</f>
        <v>7.8770382336241784E-3</v>
      </c>
      <c r="C20" s="38">
        <f>Data!C18</f>
        <v>7.7838827838828006E-2</v>
      </c>
      <c r="D20" s="38">
        <f>Data!D18</f>
        <v>-1.1698171676479574E-2</v>
      </c>
      <c r="E20" s="38">
        <f>Data!E18</f>
        <v>3.4500029695099244E-3</v>
      </c>
      <c r="F20" s="38">
        <f>Data!F18</f>
        <v>5.6782242644120018E-3</v>
      </c>
      <c r="G20" s="38">
        <f t="shared" si="5"/>
        <v>1.9448565811996429E-2</v>
      </c>
      <c r="H20" s="38">
        <f t="shared" si="6"/>
        <v>1.0763850145360747</v>
      </c>
      <c r="I20" s="39">
        <f>H20/MAX($H$4:H20) - 1</f>
        <v>0</v>
      </c>
      <c r="J20" s="39"/>
      <c r="K20" s="31" t="s">
        <v>89</v>
      </c>
      <c r="L20" s="40">
        <f>AVERAGEIF(G4:G123, "&lt;="&amp;L18)</f>
        <v>-4.3283449348953736E-2</v>
      </c>
      <c r="O20" s="48" t="s">
        <v>172</v>
      </c>
      <c r="P20" s="49">
        <f>B2*N5*P5</f>
        <v>-4.1945018540166853E-6</v>
      </c>
      <c r="Q20" s="49">
        <f>C2*N5*Q5</f>
        <v>1.2238518762601252E-4</v>
      </c>
      <c r="R20" s="49">
        <f>D2*N5*R5</f>
        <v>3.7754110861388244E-5</v>
      </c>
      <c r="S20" s="49">
        <f>E2*N5*S5</f>
        <v>3.5216378245566458E-6</v>
      </c>
      <c r="T20" s="49">
        <f>F2*N5*T5</f>
        <v>7.0572160273537241E-6</v>
      </c>
      <c r="X20" s="60">
        <v>1.08187470266898E-2</v>
      </c>
      <c r="Y20" s="60">
        <v>2.9916687705125102E-2</v>
      </c>
      <c r="Z20" s="60">
        <v>7.0841965285153297E-3</v>
      </c>
      <c r="AA20" s="56">
        <f t="shared" si="0"/>
        <v>3.7054657132951346E-4</v>
      </c>
      <c r="AC20" t="s">
        <v>7</v>
      </c>
      <c r="AD20">
        <v>0.59460301199999999</v>
      </c>
      <c r="AE20">
        <v>5.6770538000000002E-2</v>
      </c>
      <c r="AF20">
        <v>10.47379566</v>
      </c>
      <c r="AG20">
        <v>1.80018E-18</v>
      </c>
      <c r="AH20">
        <v>0.482161809</v>
      </c>
      <c r="AI20">
        <v>0.70704400000000001</v>
      </c>
      <c r="AJ20">
        <v>0.48216199999999998</v>
      </c>
      <c r="AK20">
        <v>0.70704400000000001</v>
      </c>
      <c r="AN20">
        <v>4.8382484297934999E-2</v>
      </c>
      <c r="AO20">
        <v>2.4309576317880902E-2</v>
      </c>
      <c r="AP20">
        <v>3.3632219756530399E-2</v>
      </c>
      <c r="AQ20" s="56">
        <f t="shared" si="1"/>
        <v>7.7138067807940441E-3</v>
      </c>
      <c r="AS20" t="s">
        <v>25</v>
      </c>
      <c r="AT20">
        <v>1.1011339728542899</v>
      </c>
      <c r="AU20">
        <v>4.1448860673993101E-2</v>
      </c>
      <c r="AV20">
        <v>26.566085411008501</v>
      </c>
      <c r="AW20">
        <v>3.8429527616046201E-51</v>
      </c>
      <c r="AX20">
        <v>1.01903928163108</v>
      </c>
      <c r="AY20">
        <v>1.18322866407751</v>
      </c>
      <c r="AZ20">
        <v>1.01903928163108</v>
      </c>
      <c r="BA20">
        <v>1.18322866407751</v>
      </c>
      <c r="BD20">
        <v>-7.76245975747913E-3</v>
      </c>
      <c r="BE20">
        <v>1.2000003710082899E-2</v>
      </c>
      <c r="BF20" s="56">
        <f t="shared" si="2"/>
        <v>-2.2440871263605649E-2</v>
      </c>
      <c r="BH20" t="s">
        <v>151</v>
      </c>
      <c r="BI20">
        <v>0.68741538657185397</v>
      </c>
      <c r="BJ20">
        <v>0.102037968739414</v>
      </c>
      <c r="BK20">
        <v>6.7368587895686503</v>
      </c>
      <c r="BL20">
        <v>6.4073240789053197E-10</v>
      </c>
      <c r="BM20">
        <v>0.48533453640734903</v>
      </c>
      <c r="BN20">
        <v>0.88949623673635902</v>
      </c>
      <c r="BO20">
        <v>0.48533453640734903</v>
      </c>
      <c r="BP20">
        <v>0.88949623673635902</v>
      </c>
      <c r="BS20">
        <v>-3.9457630240106699E-2</v>
      </c>
      <c r="BT20">
        <v>2.1699911997266098E-3</v>
      </c>
      <c r="BU20">
        <v>3.20999521962151E-3</v>
      </c>
      <c r="BV20">
        <v>-1.6298994743119799E-2</v>
      </c>
      <c r="BW20" s="56">
        <f t="shared" si="3"/>
        <v>4.4257565187393105E-3</v>
      </c>
      <c r="BY20" t="s">
        <v>29</v>
      </c>
      <c r="BZ20">
        <v>8.8277652570716306E-2</v>
      </c>
      <c r="CA20">
        <v>1.4965432288189799E-2</v>
      </c>
      <c r="CB20">
        <v>5.8987706382783198</v>
      </c>
      <c r="CC20">
        <v>3.7589544983225298E-8</v>
      </c>
      <c r="CD20">
        <v>5.8634011438389998E-2</v>
      </c>
      <c r="CE20">
        <v>0.117921293703043</v>
      </c>
      <c r="CF20">
        <v>5.8634011438389998E-2</v>
      </c>
      <c r="CG20">
        <v>0.117921293703043</v>
      </c>
      <c r="CJ20">
        <v>6.9189282107480201E-3</v>
      </c>
      <c r="CK20">
        <v>-1.0400040198948999E-3</v>
      </c>
      <c r="CL20">
        <v>1.7902943555205199E-2</v>
      </c>
      <c r="CM20" s="56">
        <f t="shared" si="4"/>
        <v>-3.568704592880674E-3</v>
      </c>
      <c r="CO20" t="s">
        <v>16</v>
      </c>
      <c r="CP20">
        <v>0.90932564086687995</v>
      </c>
      <c r="CQ20">
        <v>1.79456563381988E-2</v>
      </c>
      <c r="CR20">
        <v>50.671071803114103</v>
      </c>
      <c r="CS20">
        <v>5.6433247448885004E-81</v>
      </c>
      <c r="CT20">
        <v>0.87378200729224897</v>
      </c>
      <c r="CU20">
        <v>0.94486927444151103</v>
      </c>
      <c r="CV20">
        <v>0.87378200729224897</v>
      </c>
      <c r="CW20">
        <v>0.94486927444151103</v>
      </c>
    </row>
    <row r="21" spans="1:101" ht="16" thickBot="1" x14ac:dyDescent="0.25">
      <c r="A21" s="1">
        <v>38533</v>
      </c>
      <c r="B21" s="38">
        <f>Data!B19</f>
        <v>3.6260632220390665E-3</v>
      </c>
      <c r="C21" s="38">
        <f>Data!C19</f>
        <v>-1.7417162276975429E-2</v>
      </c>
      <c r="D21" s="38">
        <f>Data!D19</f>
        <v>-4.1377842976965118E-3</v>
      </c>
      <c r="E21" s="38">
        <f>Data!E19</f>
        <v>1.0550001702261502E-2</v>
      </c>
      <c r="F21" s="38">
        <f>Data!F19</f>
        <v>3.1158728781699452E-3</v>
      </c>
      <c r="G21" s="38">
        <f t="shared" si="5"/>
        <v>-9.0769598915710348E-4</v>
      </c>
      <c r="H21" s="38">
        <f t="shared" si="6"/>
        <v>1.0754079841755915</v>
      </c>
      <c r="I21" s="39">
        <f>H21/MAX($H$4:H21) - 1</f>
        <v>-9.0769598915718674E-4</v>
      </c>
      <c r="J21" s="39"/>
      <c r="K21" s="31" t="s">
        <v>163</v>
      </c>
      <c r="L21" s="153">
        <f>AVERAGEIF(G4:G123, "&lt;="&amp;L19)</f>
        <v>-6.8391883681878637E-2</v>
      </c>
      <c r="O21" s="48" t="s">
        <v>172</v>
      </c>
      <c r="P21" s="49">
        <f>B2*N6*P6</f>
        <v>-1.3111345596764972E-6</v>
      </c>
      <c r="Q21" s="49">
        <f>C2*N6*Q6</f>
        <v>3.7754110861388244E-5</v>
      </c>
      <c r="R21" s="49">
        <f>D2*N6*R6</f>
        <v>4.8413835882921668E-5</v>
      </c>
      <c r="S21" s="49">
        <f>E2*N6*S6</f>
        <v>3.7419023384749893E-6</v>
      </c>
      <c r="T21" s="49">
        <f>F2*N6*T6</f>
        <v>7.9660087018708174E-6</v>
      </c>
      <c r="X21" s="60">
        <v>5.4529078117773197E-3</v>
      </c>
      <c r="Y21" s="60">
        <v>1.77717857580586E-2</v>
      </c>
      <c r="Z21" s="60">
        <v>1.3578147492161199E-2</v>
      </c>
      <c r="AA21" s="56">
        <f t="shared" si="0"/>
        <v>3.9992242203382503E-4</v>
      </c>
      <c r="AC21" t="s">
        <v>15</v>
      </c>
      <c r="AD21">
        <v>5.2414433000000003E-2</v>
      </c>
      <c r="AE21">
        <v>2.5722588000000001E-2</v>
      </c>
      <c r="AF21">
        <v>2.0376811639999999</v>
      </c>
      <c r="AG21">
        <v>4.3856832999999998E-2</v>
      </c>
      <c r="AH21">
        <v>1.467606E-3</v>
      </c>
      <c r="AI21">
        <v>0.10336099999999999</v>
      </c>
      <c r="AJ21">
        <v>1.4679999999999999E-3</v>
      </c>
      <c r="AK21">
        <v>0.10336099999999999</v>
      </c>
      <c r="AN21">
        <v>-3.6864905444146099E-3</v>
      </c>
      <c r="AO21">
        <v>-1.46348315915533E-2</v>
      </c>
      <c r="AP21">
        <v>3.7151268662191997E-2</v>
      </c>
      <c r="AQ21" s="56">
        <f t="shared" si="1"/>
        <v>-1.3211512580478656E-2</v>
      </c>
      <c r="AS21" t="s">
        <v>145</v>
      </c>
      <c r="AT21">
        <v>0.45214916703304903</v>
      </c>
      <c r="AU21">
        <v>9.1052421465137395E-2</v>
      </c>
      <c r="AV21">
        <v>4.9658115595110299</v>
      </c>
      <c r="AW21">
        <v>2.3756776891114101E-6</v>
      </c>
      <c r="AX21">
        <v>0.271808373492334</v>
      </c>
      <c r="AY21">
        <v>0.63248996057376405</v>
      </c>
      <c r="AZ21">
        <v>0.271808373492334</v>
      </c>
      <c r="BA21">
        <v>0.63248996057376405</v>
      </c>
      <c r="BD21">
        <v>1.6833418122208999E-2</v>
      </c>
      <c r="BE21">
        <v>1.32499943114504E-2</v>
      </c>
      <c r="BF21" s="56">
        <f t="shared" si="2"/>
        <v>-3.3462923785197184E-2</v>
      </c>
      <c r="BH21" s="4" t="s">
        <v>12</v>
      </c>
      <c r="BI21" s="4">
        <v>1.33989407424533</v>
      </c>
      <c r="BJ21" s="4">
        <v>0.278306544559558</v>
      </c>
      <c r="BK21" s="4">
        <v>4.8144540631116604</v>
      </c>
      <c r="BL21" s="4">
        <v>4.4548038594861002E-6</v>
      </c>
      <c r="BM21" s="4">
        <v>0.78872254637448003</v>
      </c>
      <c r="BN21" s="4">
        <v>1.89106560211619</v>
      </c>
      <c r="BO21" s="4">
        <v>0.78872254637448003</v>
      </c>
      <c r="BP21" s="4">
        <v>1.89106560211619</v>
      </c>
      <c r="BS21">
        <v>4.3738765727980897E-2</v>
      </c>
      <c r="BT21">
        <v>1.30400010497622E-2</v>
      </c>
      <c r="BU21">
        <v>3.4499910457253002E-3</v>
      </c>
      <c r="BV21">
        <v>1.8180603069193099E-2</v>
      </c>
      <c r="BW21" s="56">
        <f t="shared" si="3"/>
        <v>-6.7623672884998577E-4</v>
      </c>
      <c r="BY21" t="s">
        <v>13</v>
      </c>
      <c r="BZ21">
        <v>0.31472457422392902</v>
      </c>
      <c r="CA21">
        <v>6.0837686281572899E-2</v>
      </c>
      <c r="CB21">
        <v>5.1731844759397996</v>
      </c>
      <c r="CC21">
        <v>9.8495087261299497E-7</v>
      </c>
      <c r="CD21">
        <v>0.19421682645407501</v>
      </c>
      <c r="CE21">
        <v>0.43523232199378198</v>
      </c>
      <c r="CF21">
        <v>0.19421682645407501</v>
      </c>
      <c r="CG21">
        <v>0.43523232199378198</v>
      </c>
      <c r="CJ21">
        <v>3.6562030971028E-3</v>
      </c>
      <c r="CK21">
        <v>9.5900100040369196E-3</v>
      </c>
      <c r="CL21">
        <v>1.9031055303938602E-2</v>
      </c>
      <c r="CM21" s="56">
        <f t="shared" si="4"/>
        <v>-2.0371984400821778E-3</v>
      </c>
      <c r="CO21" t="s">
        <v>14</v>
      </c>
      <c r="CP21">
        <v>-0.122780401193907</v>
      </c>
      <c r="CQ21">
        <v>4.8781905292294002E-2</v>
      </c>
      <c r="CR21">
        <v>-2.5169250864275399</v>
      </c>
      <c r="CS21">
        <v>1.3203982314726701E-2</v>
      </c>
      <c r="CT21">
        <v>-0.21939911126532199</v>
      </c>
      <c r="CU21">
        <v>-2.6161691122492899E-2</v>
      </c>
      <c r="CV21">
        <v>-0.21939911126532199</v>
      </c>
      <c r="CW21">
        <v>-2.6161691122492899E-2</v>
      </c>
    </row>
    <row r="22" spans="1:101" ht="16" thickBot="1" x14ac:dyDescent="0.25">
      <c r="A22" s="1">
        <v>38562</v>
      </c>
      <c r="B22" s="38">
        <f>Data!B20</f>
        <v>-5.0122935591238038E-3</v>
      </c>
      <c r="C22" s="38">
        <f>Data!C20</f>
        <v>5.8509871739443664E-2</v>
      </c>
      <c r="D22" s="38">
        <f>Data!D20</f>
        <v>6.2487700931636914E-2</v>
      </c>
      <c r="E22" s="38">
        <f>Data!E20</f>
        <v>7.4099945559380487E-3</v>
      </c>
      <c r="F22" s="38">
        <f>Data!F20</f>
        <v>-1.6957947461352818E-2</v>
      </c>
      <c r="G22" s="38">
        <f t="shared" si="5"/>
        <v>1.2955380533930732E-2</v>
      </c>
      <c r="H22" s="38">
        <f t="shared" si="6"/>
        <v>1.0893403038398135</v>
      </c>
      <c r="I22" s="39">
        <f>H22/MAX($H$4:H22) - 1</f>
        <v>0</v>
      </c>
      <c r="J22" s="39"/>
      <c r="K22" s="31" t="s">
        <v>90</v>
      </c>
      <c r="L22" s="40">
        <f>(L7 - AVERAGE(Factors!$AB$40:$AB$124)) / L9</f>
        <v>0.21844929649365827</v>
      </c>
      <c r="O22" s="48" t="s">
        <v>172</v>
      </c>
      <c r="P22" s="49">
        <f>B2*N7*P7</f>
        <v>1.2230669470079097E-7</v>
      </c>
      <c r="Q22" s="49">
        <f>C2*N7*Q7</f>
        <v>3.5216378245566458E-6</v>
      </c>
      <c r="R22" s="49">
        <f>D2*N7*R7</f>
        <v>3.7419023384749893E-6</v>
      </c>
      <c r="S22" s="49">
        <f>E2*N7*S7</f>
        <v>1.9495627852423259E-6</v>
      </c>
      <c r="T22" s="49">
        <f>F2*N7*T7</f>
        <v>1.0811621831596516E-6</v>
      </c>
      <c r="X22" s="60">
        <v>-9.0953845160560692E-3</v>
      </c>
      <c r="Y22" s="60">
        <v>-2.4686897880541502E-3</v>
      </c>
      <c r="Z22" s="60">
        <v>2.4795568738883101E-2</v>
      </c>
      <c r="AA22" s="56">
        <f t="shared" si="0"/>
        <v>2.2558253776539042E-3</v>
      </c>
      <c r="AC22" s="4" t="s">
        <v>128</v>
      </c>
      <c r="AD22" s="4">
        <v>-6.9793960000000002E-2</v>
      </c>
      <c r="AE22" s="4">
        <v>1.7599310999999999E-2</v>
      </c>
      <c r="AF22" s="4">
        <v>-3.965720991</v>
      </c>
      <c r="AG22" s="4">
        <v>1.2701300000000001E-4</v>
      </c>
      <c r="AH22" s="4">
        <v>-0.10465161100000001</v>
      </c>
      <c r="AI22" s="4">
        <v>-3.4939999999999999E-2</v>
      </c>
      <c r="AJ22" s="4">
        <v>-0.10465000000000001</v>
      </c>
      <c r="AK22" s="4">
        <v>-3.4939999999999999E-2</v>
      </c>
      <c r="AN22">
        <v>4.8875218404193399E-2</v>
      </c>
      <c r="AO22">
        <v>1.9943220107235999E-2</v>
      </c>
      <c r="AP22">
        <v>2.6166996830751601E-2</v>
      </c>
      <c r="AQ22" s="56">
        <f t="shared" si="1"/>
        <v>-8.8832210839950437E-3</v>
      </c>
      <c r="AS22" s="4" t="s">
        <v>146</v>
      </c>
      <c r="AT22" s="4">
        <v>0.17417432645952199</v>
      </c>
      <c r="AU22" s="4">
        <v>7.4656959588164595E-2</v>
      </c>
      <c r="AV22" s="4">
        <v>2.3329951744664101</v>
      </c>
      <c r="AW22" s="4">
        <v>2.1371477772040001E-2</v>
      </c>
      <c r="AX22" s="4">
        <v>2.6306811034665499E-2</v>
      </c>
      <c r="AY22" s="4">
        <v>0.32204184188437801</v>
      </c>
      <c r="AZ22" s="4">
        <v>2.6306811034665499E-2</v>
      </c>
      <c r="BA22" s="4">
        <v>0.32204184188437801</v>
      </c>
      <c r="BD22">
        <v>4.4831598920809901E-2</v>
      </c>
      <c r="BE22">
        <v>2.35099993288332E-2</v>
      </c>
      <c r="BF22" s="56">
        <f t="shared" si="2"/>
        <v>1.6886124263877644E-4</v>
      </c>
      <c r="BS22">
        <v>-1.3088404133180199E-2</v>
      </c>
      <c r="BT22">
        <v>1.8030012270868499E-2</v>
      </c>
      <c r="BU22">
        <v>4.6300243355219496E-3</v>
      </c>
      <c r="BV22">
        <v>-7.6985043331008196E-3</v>
      </c>
      <c r="BW22" s="56">
        <f t="shared" si="3"/>
        <v>-3.1656578058473876E-4</v>
      </c>
      <c r="BY22" t="s">
        <v>153</v>
      </c>
      <c r="BZ22">
        <v>0.75331524631995705</v>
      </c>
      <c r="CA22">
        <v>0.115220918484844</v>
      </c>
      <c r="CB22">
        <v>6.5380076484900203</v>
      </c>
      <c r="CC22">
        <v>1.7877033843850601E-9</v>
      </c>
      <c r="CD22">
        <v>0.52508478209225795</v>
      </c>
      <c r="CE22">
        <v>0.98154571054765505</v>
      </c>
      <c r="CF22">
        <v>0.52508478209225795</v>
      </c>
      <c r="CG22">
        <v>0.98154571054765505</v>
      </c>
      <c r="CJ22">
        <v>-1.8193157898467101E-2</v>
      </c>
      <c r="CK22">
        <v>1.3399987935346599E-2</v>
      </c>
      <c r="CL22">
        <v>1.5700184222826999E-2</v>
      </c>
      <c r="CM22" s="56">
        <f t="shared" si="4"/>
        <v>-1.2489500035537775E-3</v>
      </c>
      <c r="CO22" s="4" t="s">
        <v>17</v>
      </c>
      <c r="CP22" s="4">
        <v>0.15794486020787299</v>
      </c>
      <c r="CQ22" s="4">
        <v>2.3757199100005299E-2</v>
      </c>
      <c r="CR22" s="4">
        <v>6.6482946724067897</v>
      </c>
      <c r="CS22" s="4">
        <v>1.0171385517805601E-9</v>
      </c>
      <c r="CT22" s="4">
        <v>0.110890733924804</v>
      </c>
      <c r="CU22" s="4">
        <v>0.204998986490941</v>
      </c>
      <c r="CV22" s="4">
        <v>0.110890733924804</v>
      </c>
      <c r="CW22" s="4">
        <v>0.204998986490941</v>
      </c>
    </row>
    <row r="23" spans="1:101" ht="16" thickBot="1" x14ac:dyDescent="0.25">
      <c r="A23" s="1">
        <v>38595</v>
      </c>
      <c r="B23" s="38">
        <f>Data!B21</f>
        <v>8.8594016924239405E-3</v>
      </c>
      <c r="C23" s="38">
        <f>Data!C21</f>
        <v>-2.3144996596323741E-3</v>
      </c>
      <c r="D23" s="38">
        <f>Data!D21</f>
        <v>2.1669762347001909E-2</v>
      </c>
      <c r="E23" s="38">
        <f>Data!E21</f>
        <v>7.2499982455480616E-3</v>
      </c>
      <c r="F23" s="38">
        <f>Data!F21</f>
        <v>2.2609639154851147E-2</v>
      </c>
      <c r="G23" s="38">
        <f t="shared" si="5"/>
        <v>1.1020570088908034E-2</v>
      </c>
      <c r="H23" s="38">
        <f t="shared" si="6"/>
        <v>1.1013454550089525</v>
      </c>
      <c r="I23" s="39">
        <f>H23/MAX($H$4:H23) - 1</f>
        <v>0</v>
      </c>
      <c r="J23" s="39"/>
      <c r="K23" s="31" t="s">
        <v>91</v>
      </c>
      <c r="L23" s="18">
        <f>L22 *SQRT(12)</f>
        <v>0.75673056080938783</v>
      </c>
      <c r="O23" s="48" t="s">
        <v>172</v>
      </c>
      <c r="P23" s="49">
        <f>B2*N8*P8</f>
        <v>9.0579679788712623E-6</v>
      </c>
      <c r="Q23" s="49">
        <f>C2*N8*Q8</f>
        <v>7.0572160273537241E-6</v>
      </c>
      <c r="R23" s="49">
        <f>D2*N8*R8</f>
        <v>7.9660087018708174E-6</v>
      </c>
      <c r="S23" s="49">
        <f>E2*N8*S8</f>
        <v>1.0811621831596516E-6</v>
      </c>
      <c r="T23" s="49">
        <f>F2*N8*T8</f>
        <v>2.5535894701211883E-5</v>
      </c>
      <c r="U23" s="54">
        <f>SUM(P19:T23)</f>
        <v>3.349991863466137E-4</v>
      </c>
      <c r="V23" s="54"/>
      <c r="W23" s="54"/>
      <c r="X23" s="60">
        <v>1.28113241354597E-2</v>
      </c>
      <c r="Y23" s="60">
        <v>1.94060481680449E-2</v>
      </c>
      <c r="Z23" s="60">
        <v>-9.1915546250565007E-3</v>
      </c>
      <c r="AA23" s="56">
        <f t="shared" si="0"/>
        <v>-4.1692223356646317E-4</v>
      </c>
      <c r="AN23">
        <v>-1.2878843090505901E-2</v>
      </c>
      <c r="AO23">
        <v>-8.5300653654503105E-3</v>
      </c>
      <c r="AP23">
        <v>-9.4164056039929295E-3</v>
      </c>
      <c r="AQ23" s="56">
        <f t="shared" si="1"/>
        <v>1.7363790051854368E-2</v>
      </c>
      <c r="BD23">
        <v>7.5479996736767196E-2</v>
      </c>
      <c r="BE23">
        <v>8.8700061158561994E-3</v>
      </c>
      <c r="BF23" s="56">
        <f t="shared" si="2"/>
        <v>-4.2101217421400744E-2</v>
      </c>
      <c r="BS23">
        <v>1.2563983248022201E-2</v>
      </c>
      <c r="BT23">
        <v>8.4599893882217891E-3</v>
      </c>
      <c r="BU23">
        <v>1.54999077652418E-3</v>
      </c>
      <c r="BV23">
        <v>1.65340635397969E-2</v>
      </c>
      <c r="BW23" s="56">
        <f t="shared" si="3"/>
        <v>1.7085053052445726E-3</v>
      </c>
      <c r="BY23" s="4" t="s">
        <v>154</v>
      </c>
      <c r="BZ23" s="4">
        <v>3.6420311862406698E-2</v>
      </c>
      <c r="CA23" s="4">
        <v>3.4908986180566003E-2</v>
      </c>
      <c r="CB23" s="4">
        <v>1.0432933134758899</v>
      </c>
      <c r="CC23" s="4">
        <v>0.29900066712902301</v>
      </c>
      <c r="CD23" s="4">
        <v>-3.2727671216350701E-2</v>
      </c>
      <c r="CE23" s="4">
        <v>0.105568294941164</v>
      </c>
      <c r="CF23" s="4">
        <v>-3.2727671216350701E-2</v>
      </c>
      <c r="CG23" s="4">
        <v>0.105568294941164</v>
      </c>
      <c r="CJ23">
        <v>2.4976539377752099E-2</v>
      </c>
      <c r="CK23">
        <v>6.9099986116976098E-3</v>
      </c>
      <c r="CL23">
        <v>3.6197695104032198E-3</v>
      </c>
      <c r="CM23" s="56">
        <f t="shared" si="4"/>
        <v>1.7451989102807222E-4</v>
      </c>
    </row>
    <row r="24" spans="1:101" x14ac:dyDescent="0.2">
      <c r="A24" s="1">
        <v>38625</v>
      </c>
      <c r="B24" s="38">
        <f>Data!B22</f>
        <v>-5.2610852957392096E-3</v>
      </c>
      <c r="C24" s="38">
        <f>Data!C22</f>
        <v>2.8657205240174566E-3</v>
      </c>
      <c r="D24" s="38">
        <f>Data!D22</f>
        <v>1.8200841154411895E-2</v>
      </c>
      <c r="E24" s="38">
        <f>Data!E22</f>
        <v>2.1080005550678793E-2</v>
      </c>
      <c r="F24" s="38">
        <f>Data!F22</f>
        <v>-3.3695137863297697E-3</v>
      </c>
      <c r="G24" s="38">
        <f t="shared" si="5"/>
        <v>1.7932486833391564E-3</v>
      </c>
      <c r="H24" s="38">
        <f t="shared" si="6"/>
        <v>1.1033204412960489</v>
      </c>
      <c r="I24" s="39">
        <f>H24/MAX($H$4:H24) - 1</f>
        <v>0</v>
      </c>
      <c r="J24" s="39"/>
      <c r="K24" s="33" t="s">
        <v>92</v>
      </c>
      <c r="L24" s="144">
        <f>MIN(I4:I123)</f>
        <v>-0.16823800700866731</v>
      </c>
      <c r="X24" s="60">
        <v>-1.03011539544047E-2</v>
      </c>
      <c r="Y24" s="60">
        <v>1.6904994522900299E-2</v>
      </c>
      <c r="Z24" s="60">
        <v>2.8635717886849E-4</v>
      </c>
      <c r="AA24" s="56">
        <f t="shared" si="0"/>
        <v>-2.0678286727290884E-6</v>
      </c>
      <c r="AN24">
        <v>4.6048521083328397E-3</v>
      </c>
      <c r="AO24">
        <v>-9.4355618191159802E-3</v>
      </c>
      <c r="AP24">
        <v>-4.9627077149831901E-3</v>
      </c>
      <c r="AQ24" s="56">
        <f t="shared" si="1"/>
        <v>2.9258191182372651E-3</v>
      </c>
      <c r="BD24">
        <v>4.6525663816047599E-2</v>
      </c>
      <c r="BE24">
        <v>9.9799919184655507E-3</v>
      </c>
      <c r="BF24" s="56">
        <f t="shared" si="2"/>
        <v>-2.7153748055776861E-2</v>
      </c>
      <c r="BI24" t="s">
        <v>151</v>
      </c>
      <c r="BJ24" t="s">
        <v>12</v>
      </c>
      <c r="BK24" t="s">
        <v>175</v>
      </c>
      <c r="BS24">
        <v>7.8354779411764705E-2</v>
      </c>
      <c r="BT24">
        <v>1.52599973717178E-2</v>
      </c>
      <c r="BU24">
        <v>3.50998328242036E-3</v>
      </c>
      <c r="BV24">
        <v>1.44306862444805E-2</v>
      </c>
      <c r="BW24" s="56">
        <f t="shared" si="3"/>
        <v>6.1906393666518074E-3</v>
      </c>
      <c r="CJ24">
        <v>-5.2538911190929101E-3</v>
      </c>
      <c r="CK24">
        <v>1.1750014089297401E-2</v>
      </c>
      <c r="CL24">
        <v>-1.0014796775536201E-2</v>
      </c>
      <c r="CM24" s="56">
        <f t="shared" si="4"/>
        <v>4.4324412432245174E-3</v>
      </c>
    </row>
    <row r="25" spans="1:101" x14ac:dyDescent="0.2">
      <c r="A25" s="1">
        <v>38656</v>
      </c>
      <c r="B25" s="38">
        <f>Data!B23</f>
        <v>-6.967427277477789E-3</v>
      </c>
      <c r="C25" s="38">
        <f>Data!C23</f>
        <v>-2.1907742550006826E-2</v>
      </c>
      <c r="D25" s="38">
        <f>Data!D23</f>
        <v>4.7735804905840951E-2</v>
      </c>
      <c r="E25" s="38">
        <f>Data!E23</f>
        <v>-6.3400048991615332E-3</v>
      </c>
      <c r="F25" s="38">
        <f>Data!F23</f>
        <v>-1.2013005697185886E-2</v>
      </c>
      <c r="G25" s="38">
        <f t="shared" si="5"/>
        <v>-5.930269717204879E-3</v>
      </c>
      <c r="H25" s="38">
        <f t="shared" si="6"/>
        <v>1.0967774534946577</v>
      </c>
      <c r="I25" s="39">
        <f>H25/MAX($H$4:H25) - 1</f>
        <v>-5.9302697172050056E-3</v>
      </c>
      <c r="J25" s="39"/>
      <c r="K25" s="38" t="s">
        <v>327</v>
      </c>
      <c r="L25" s="38" cm="1">
        <f t="array" ref="L25">STDEV(G4:G123-Project_Page_3!G4:G123)*SQRT(12)</f>
        <v>2.7610779102633435E-2</v>
      </c>
      <c r="O25" s="15" t="s">
        <v>173</v>
      </c>
      <c r="P25" s="47">
        <f>SUM(P19:P23)</f>
        <v>1.0795991217738391E-5</v>
      </c>
      <c r="Q25" s="47">
        <f>SUM(Q19:Q23)</f>
        <v>1.6652365048529444E-4</v>
      </c>
      <c r="R25" s="47">
        <f>SUM(R19:R23)</f>
        <v>9.6564723224979232E-5</v>
      </c>
      <c r="S25" s="47">
        <f>SUM(S19:S23)</f>
        <v>1.0416571826134403E-5</v>
      </c>
      <c r="T25" s="47">
        <f>SUM(T19:T23)</f>
        <v>5.0698249592467342E-5</v>
      </c>
      <c r="X25" s="60">
        <v>-7.9139379560264605E-3</v>
      </c>
      <c r="Y25" s="60">
        <v>-1.47897985326658E-2</v>
      </c>
      <c r="Z25" s="60">
        <v>6.1975345286024996E-4</v>
      </c>
      <c r="AA25" s="56">
        <f t="shared" si="0"/>
        <v>-1.4433219800706323E-3</v>
      </c>
      <c r="AD25" t="s">
        <v>7</v>
      </c>
      <c r="AE25" t="s">
        <v>15</v>
      </c>
      <c r="AF25" t="s">
        <v>128</v>
      </c>
      <c r="AG25" t="s">
        <v>175</v>
      </c>
      <c r="AN25">
        <v>-9.7199283778962604E-3</v>
      </c>
      <c r="AO25">
        <v>1.56776103553284E-2</v>
      </c>
      <c r="AP25">
        <v>-1.43784942743904E-2</v>
      </c>
      <c r="AQ25" s="56">
        <f t="shared" si="1"/>
        <v>-1.5789053106881161E-2</v>
      </c>
      <c r="AT25" t="s">
        <v>25</v>
      </c>
      <c r="AU25" t="s">
        <v>145</v>
      </c>
      <c r="AV25" t="s">
        <v>146</v>
      </c>
      <c r="AW25" t="s">
        <v>175</v>
      </c>
      <c r="BD25">
        <v>-6.2839566867097796E-2</v>
      </c>
      <c r="BE25">
        <v>-1.7979998465396801E-2</v>
      </c>
      <c r="BF25" s="56">
        <f t="shared" si="2"/>
        <v>0.11502398345452015</v>
      </c>
      <c r="BG25">
        <f>BD2</f>
        <v>0.68741538657185397</v>
      </c>
      <c r="BH25" t="s">
        <v>151</v>
      </c>
      <c r="BI25">
        <f>_xlfn.VAR.S(BD4:BD123)</f>
        <v>2.7122132413887621E-3</v>
      </c>
      <c r="BJ25">
        <f>_xlfn.COVARIANCE.S(BD4:BD123,BE4:BE123)</f>
        <v>5.8784476483935116E-4</v>
      </c>
      <c r="BK25">
        <f>_xlfn.COVARIANCE.S(BD4:BD123,BF4:BF123)</f>
        <v>3.4841828037972609E-6</v>
      </c>
      <c r="BS25">
        <v>-8.7577242701897297E-3</v>
      </c>
      <c r="BT25">
        <v>-1.51000034412222E-2</v>
      </c>
      <c r="BU25">
        <v>-1.15500014348816E-2</v>
      </c>
      <c r="BV25">
        <v>-2.0591313627064101E-3</v>
      </c>
      <c r="BW25" s="56">
        <f t="shared" si="3"/>
        <v>7.9612349774000474E-3</v>
      </c>
      <c r="CJ25">
        <v>-1.2573985443629501E-2</v>
      </c>
      <c r="CK25">
        <v>-3.55000200634059E-3</v>
      </c>
      <c r="CL25">
        <v>-7.2941845031662097E-3</v>
      </c>
      <c r="CM25" s="56">
        <f t="shared" si="4"/>
        <v>1.3704995569867665E-4</v>
      </c>
      <c r="CP25" t="s">
        <v>16</v>
      </c>
      <c r="CQ25" t="s">
        <v>14</v>
      </c>
      <c r="CR25" t="s">
        <v>17</v>
      </c>
      <c r="CS25" t="s">
        <v>175</v>
      </c>
    </row>
    <row r="26" spans="1:101" x14ac:dyDescent="0.2">
      <c r="A26" s="1">
        <v>38686</v>
      </c>
      <c r="B26" s="38">
        <f>Data!B24</f>
        <v>3.2530178118670428E-3</v>
      </c>
      <c r="C26" s="38">
        <f>Data!C24</f>
        <v>6.3995548135781899E-2</v>
      </c>
      <c r="D26" s="38">
        <f>Data!D24</f>
        <v>9.2947379664604757E-2</v>
      </c>
      <c r="E26" s="38">
        <f>Data!E24</f>
        <v>1.4620007114644507E-2</v>
      </c>
      <c r="F26" s="38">
        <f>Data!F24</f>
        <v>1.4634572539424795E-3</v>
      </c>
      <c r="G26" s="38">
        <f t="shared" si="5"/>
        <v>2.5195797257717565E-2</v>
      </c>
      <c r="H26" s="38">
        <f t="shared" si="6"/>
        <v>1.1244116358497447</v>
      </c>
      <c r="I26" s="39">
        <f>H26/MAX($H$4:H26) - 1</f>
        <v>0</v>
      </c>
      <c r="J26" s="39"/>
      <c r="K26" t="s">
        <v>317</v>
      </c>
      <c r="L26" s="156" cm="1">
        <f t="array" ref="L26">SQRT(SUMPRODUCT((G4:G123&lt;0)*G4:G123^2)/60)*SQRT(12)</f>
        <v>5.9023855316344458E-2</v>
      </c>
      <c r="O26" s="15" t="s">
        <v>174</v>
      </c>
      <c r="P26" s="44">
        <f>P25/$U$23</f>
        <v>3.2226917729191437E-2</v>
      </c>
      <c r="Q26" s="44">
        <f>Q25/$U$23</f>
        <v>0.49708673116894492</v>
      </c>
      <c r="R26" s="44">
        <f>R25/$U$23</f>
        <v>0.28825360526418287</v>
      </c>
      <c r="S26" s="44">
        <f>S25/$U$23</f>
        <v>3.1094319779501452E-2</v>
      </c>
      <c r="T26" s="44">
        <f>T25/$U$23</f>
        <v>0.15133842605817965</v>
      </c>
      <c r="U26" s="55">
        <f>SUM(P26:T26)</f>
        <v>1.0000000000000004</v>
      </c>
      <c r="V26" s="55"/>
      <c r="W26" s="55"/>
      <c r="X26" s="60">
        <v>4.42260442260456E-3</v>
      </c>
      <c r="Y26" s="60">
        <v>1.5277777777777699E-2</v>
      </c>
      <c r="Z26" s="60">
        <v>4.02072200553105E-4</v>
      </c>
      <c r="AA26" s="56">
        <f t="shared" si="0"/>
        <v>-1.4938994733785203E-4</v>
      </c>
      <c r="AB26">
        <f>AD20</f>
        <v>0.59460301199999999</v>
      </c>
      <c r="AC26" t="s">
        <v>7</v>
      </c>
      <c r="AD26">
        <f>_xlfn.VAR.S(X4:X123)</f>
        <v>9.4790591143548654E-5</v>
      </c>
      <c r="AE26">
        <f>_xlfn.COVARIANCE.S(X4:X123,Y4:Y123)</f>
        <v>1.6350774550107804E-4</v>
      </c>
      <c r="AF26">
        <f>_xlfn.COVARIANCE.S(X4:X123,Z4:Z123)</f>
        <v>-1.9878478924989346E-5</v>
      </c>
      <c r="AG26">
        <f>_xlfn.COVARIANCE.S(AA4:AA123,X4:X123)</f>
        <v>2.059980179790718E-7</v>
      </c>
      <c r="AN26">
        <v>4.3145157320720003E-2</v>
      </c>
      <c r="AO26">
        <v>1.04450967590386E-2</v>
      </c>
      <c r="AP26">
        <v>1.07236794810146E-2</v>
      </c>
      <c r="AQ26" s="56">
        <f t="shared" si="1"/>
        <v>9.8964181958417149E-3</v>
      </c>
      <c r="AR26">
        <f>AN2</f>
        <v>1.1011339728542899</v>
      </c>
      <c r="AS26" t="s">
        <v>25</v>
      </c>
      <c r="AT26">
        <f>_xlfn.VAR.S(AN4:AN123)</f>
        <v>1.8729898162653984E-3</v>
      </c>
      <c r="AU26">
        <f>_xlfn.COVARIANCE.S(AN4:AN123,AO4:AO123)</f>
        <v>9.0952622032217895E-5</v>
      </c>
      <c r="AV26">
        <f>_xlfn.COVARIANCE.S(AN4:AN123,AP4:AP123)</f>
        <v>4.6522194306655934E-4</v>
      </c>
      <c r="AW26">
        <f>_xlfn.COVARIANCE.S(AN4:AN123,AQ4:AQ123)</f>
        <v>-6.7123315220213129E-6</v>
      </c>
      <c r="BD26">
        <v>2.58258904551822E-3</v>
      </c>
      <c r="BE26">
        <v>1.29000046763252E-2</v>
      </c>
      <c r="BF26" s="56">
        <f t="shared" si="2"/>
        <v>7.3887428393978438E-2</v>
      </c>
      <c r="BG26">
        <f>BE2</f>
        <v>1.33989407424533</v>
      </c>
      <c r="BH26" t="s">
        <v>12</v>
      </c>
      <c r="BI26">
        <f>_xlfn.COVARIANCE.S(BD4:BD123,BE4:BE123)</f>
        <v>5.8784476483935116E-4</v>
      </c>
      <c r="BJ26">
        <f>_xlfn.VAR.S(BE4:BE123)</f>
        <v>3.6458651616064956E-4</v>
      </c>
      <c r="BK26">
        <f>_xlfn.COVARIANCE.S(BE4:BE123,BF4:BF123)</f>
        <v>-9.6680321827933498E-7</v>
      </c>
      <c r="BS26">
        <v>5.9953997291429403E-2</v>
      </c>
      <c r="BT26">
        <v>1.70200220336192E-2</v>
      </c>
      <c r="BU26">
        <v>8.7800296204909607E-3</v>
      </c>
      <c r="BV26">
        <v>-1.64722980932193E-2</v>
      </c>
      <c r="BW26" s="56">
        <f t="shared" si="3"/>
        <v>-2.0434141588977495E-3</v>
      </c>
      <c r="BZ26" t="s">
        <v>29</v>
      </c>
      <c r="CA26" t="s">
        <v>13</v>
      </c>
      <c r="CB26" t="s">
        <v>153</v>
      </c>
      <c r="CC26" t="s">
        <v>154</v>
      </c>
      <c r="CD26" t="s">
        <v>175</v>
      </c>
      <c r="CJ26">
        <v>1.9717784724810898E-3</v>
      </c>
      <c r="CK26">
        <v>8.2399924131282293E-3</v>
      </c>
      <c r="CL26">
        <v>4.82467662315766E-3</v>
      </c>
      <c r="CM26" s="56">
        <f t="shared" si="4"/>
        <v>-7.98547696681006E-5</v>
      </c>
      <c r="CN26">
        <f>CJ2</f>
        <v>0.90932564086687995</v>
      </c>
      <c r="CO26" t="s">
        <v>16</v>
      </c>
      <c r="CP26">
        <f>_xlfn.VAR.S(CJ4:CJ123)</f>
        <v>4.4278173024128601E-4</v>
      </c>
      <c r="CQ26">
        <f>_xlfn.COVARIANCE.S(CJ4:CJ123,CK4:CK123)</f>
        <v>5.9895428933853539E-5</v>
      </c>
      <c r="CR26">
        <f>_xlfn.COVARIANCE.S(CJ4:CJ123,CL4:CL123)</f>
        <v>1.6375940033836776E-4</v>
      </c>
      <c r="CS26">
        <f>_xlfn.COVARIANCE.S(CJ4:CJ123,CM4:CM123)</f>
        <v>3.2955124120871896E-7</v>
      </c>
    </row>
    <row r="27" spans="1:101" x14ac:dyDescent="0.2">
      <c r="A27" s="1">
        <v>38716</v>
      </c>
      <c r="B27" s="38">
        <f>Data!B25</f>
        <v>9.7830406103471823E-3</v>
      </c>
      <c r="C27" s="38">
        <f>Data!C25</f>
        <v>-2.9288702928870425E-2</v>
      </c>
      <c r="D27" s="38">
        <f>Data!D25</f>
        <v>7.3452978543822933E-2</v>
      </c>
      <c r="E27" s="38">
        <f>Data!E25</f>
        <v>1.2749997693833448E-2</v>
      </c>
      <c r="F27" s="38">
        <f>Data!F25</f>
        <v>7.7500781551034237E-3</v>
      </c>
      <c r="G27" s="38">
        <f t="shared" si="5"/>
        <v>7.6804293671999925E-3</v>
      </c>
      <c r="H27" s="38">
        <f t="shared" si="6"/>
        <v>1.1330475999985463</v>
      </c>
      <c r="I27" s="39">
        <f>H27/MAX($H$4:H27) - 1</f>
        <v>0</v>
      </c>
      <c r="J27" s="39"/>
      <c r="K27" t="s">
        <v>318</v>
      </c>
      <c r="L27" s="157">
        <f>L8/L26</f>
        <v>1.0087684564691564</v>
      </c>
      <c r="X27" s="60">
        <v>9.50750163078928E-3</v>
      </c>
      <c r="Y27" s="60">
        <v>1.84824053322468E-2</v>
      </c>
      <c r="Z27" s="60">
        <v>-3.5321919425168602E-4</v>
      </c>
      <c r="AA27" s="56">
        <f t="shared" si="0"/>
        <v>3.1364541418042371E-3</v>
      </c>
      <c r="AB27">
        <f>AD21</f>
        <v>5.2414433000000003E-2</v>
      </c>
      <c r="AC27" t="s">
        <v>15</v>
      </c>
      <c r="AD27">
        <f>_xlfn.COVARIANCE.S(X4:X123,Y4:Y123)</f>
        <v>1.6350774550107804E-4</v>
      </c>
      <c r="AE27">
        <f>_xlfn.VAR.S(Y4:Y123)</f>
        <v>6.7149675328381266E-4</v>
      </c>
      <c r="AF27">
        <f>_xlfn.COVARIANCE.S(Z4:Z123,Y4:Y123)</f>
        <v>4.2109376842566602E-4</v>
      </c>
      <c r="AG27">
        <f>_xlfn.COVARIANCE.S(Y4:Y123,AA4:AA123)</f>
        <v>-2.3274697968547044E-6</v>
      </c>
      <c r="AN27">
        <v>-3.1349221617339401E-3</v>
      </c>
      <c r="AO27">
        <v>-9.2760357063009797E-3</v>
      </c>
      <c r="AP27">
        <v>-4.9183165392930901E-3</v>
      </c>
      <c r="AQ27" s="56">
        <f t="shared" si="1"/>
        <v>-2.0785937345812463E-2</v>
      </c>
      <c r="AR27">
        <f>AO2</f>
        <v>0.45214916703304903</v>
      </c>
      <c r="AS27" t="s">
        <v>145</v>
      </c>
      <c r="AT27">
        <f>_xlfn.COVARIANCE.S(AN4:AN123,AO4:AO123)</f>
        <v>9.0952622032217895E-5</v>
      </c>
      <c r="AU27">
        <f>_xlfn.VAR.S(AO4:AO123)</f>
        <v>3.0984483281579781E-4</v>
      </c>
      <c r="AV27">
        <f>_xlfn.COVARIANCE.S(AO4:AO123,AP4:AP123)</f>
        <v>-1.5426569665196682E-5</v>
      </c>
      <c r="AW27">
        <f>_xlfn.COVARIANCE.S(AO4:AO123,AQ4:AQ123)</f>
        <v>-2.6322735066732256E-6</v>
      </c>
      <c r="BD27">
        <v>3.18839218632605E-2</v>
      </c>
      <c r="BE27">
        <v>1.5669995623428499E-2</v>
      </c>
      <c r="BF27" s="56">
        <f t="shared" si="2"/>
        <v>3.0539345791480828E-2</v>
      </c>
      <c r="BG27">
        <f>BF2</f>
        <v>1</v>
      </c>
      <c r="BH27" t="s">
        <v>175</v>
      </c>
      <c r="BI27">
        <f>_xlfn.COVARIANCE.S(BD4:BD123,BF4:BF123)</f>
        <v>3.4841828037972609E-6</v>
      </c>
      <c r="BJ27">
        <f>_xlfn.COVARIANCE.S(BE4:BE123,BF4:BF123)</f>
        <v>-9.6680321827933498E-7</v>
      </c>
      <c r="BK27">
        <f>_xlfn.VAR.S(BF4:BF123)</f>
        <v>2.1708205255396144E-3</v>
      </c>
      <c r="BS27">
        <v>4.8511397744788E-2</v>
      </c>
      <c r="BT27">
        <v>2.0079989311307101E-2</v>
      </c>
      <c r="BU27">
        <v>5.3299862399158703E-3</v>
      </c>
      <c r="BV27">
        <v>2.2811883108241799E-2</v>
      </c>
      <c r="BW27" s="56">
        <f t="shared" si="3"/>
        <v>-2.6981165025980903E-3</v>
      </c>
      <c r="BX27">
        <f>BS2</f>
        <v>8.8277652570716306E-2</v>
      </c>
      <c r="BY27" t="s">
        <v>29</v>
      </c>
      <c r="BZ27">
        <f>_xlfn.VAR.S(BS4:BS123)</f>
        <v>3.0673613462140043E-3</v>
      </c>
      <c r="CA27">
        <f>_xlfn.COVARIANCE.S(BS4:BS123,BT4:BT123)</f>
        <v>2.0984358482601276E-4</v>
      </c>
      <c r="CB27">
        <f>_xlfn.COVARIANCE.S(BS4:BS123,BU4:BU123)</f>
        <v>3.5502363632248837E-5</v>
      </c>
      <c r="CC27">
        <f>_xlfn.COVARIANCE.S(BS4:BS123,BV4:BV123)</f>
        <v>1.4366107696779995E-4</v>
      </c>
      <c r="CD27">
        <f>_xlfn.COVARIANCE.S(BS4:BS123,BW4:BW123)</f>
        <v>8.1990546821011753E-6</v>
      </c>
      <c r="CJ27">
        <v>8.4798523002940201E-3</v>
      </c>
      <c r="CK27">
        <v>1.47500030713912E-2</v>
      </c>
      <c r="CL27">
        <v>9.1542824365375992E-3</v>
      </c>
      <c r="CM27" s="56">
        <f t="shared" si="4"/>
        <v>4.0427046265653199E-4</v>
      </c>
      <c r="CN27">
        <f>CK2</f>
        <v>-0.122780401193907</v>
      </c>
      <c r="CO27" t="s">
        <v>14</v>
      </c>
      <c r="CP27">
        <f>_xlfn.COVARIANCE.S(CJ4:CJ123,CK4:CK123)</f>
        <v>5.9895428933853539E-5</v>
      </c>
      <c r="CQ27">
        <f>_xlfn.VAR.S(CK4:CK123)</f>
        <v>2.0509821418509009E-4</v>
      </c>
      <c r="CR27">
        <f>_xlfn.COVARIANCE.S(CK4:CK123,CL4:CL123)</f>
        <v>3.6469526602740719E-4</v>
      </c>
      <c r="CS27">
        <f>_xlfn.COVARIANCE.S(CK4:CK123,CM4:CM123)</f>
        <v>-1.045115819046244E-6</v>
      </c>
    </row>
    <row r="28" spans="1:101" x14ac:dyDescent="0.2">
      <c r="A28" s="1">
        <v>38748</v>
      </c>
      <c r="B28" s="38">
        <f>Data!B26</f>
        <v>3.2189263424655667E-3</v>
      </c>
      <c r="C28" s="38">
        <f>Data!C26</f>
        <v>3.2058189655172598E-2</v>
      </c>
      <c r="D28" s="38">
        <f>Data!D26</f>
        <v>0.11698566078338057</v>
      </c>
      <c r="E28" s="38">
        <f>Data!E26</f>
        <v>2.4009993160515331E-2</v>
      </c>
      <c r="F28" s="38">
        <f>Data!F26</f>
        <v>1.0316492681061717E-3</v>
      </c>
      <c r="G28" s="38">
        <f t="shared" si="5"/>
        <v>2.1749081865458042E-2</v>
      </c>
      <c r="H28" s="38">
        <f t="shared" si="6"/>
        <v>1.1576903450083753</v>
      </c>
      <c r="I28" s="39">
        <f>H28/MAX($H$4:H28) - 1</f>
        <v>0</v>
      </c>
      <c r="J28" s="39"/>
      <c r="K28" t="s">
        <v>319</v>
      </c>
      <c r="L28" cm="1">
        <f t="array" ref="L28">SUMPRODUCT((G4:G123&gt;(1.0602^(1/12)-1))*((G4:G123-(1.0602^(1/12)-1))))/SUMPRODUCT((G4:G123&lt;(1.0602^(1/12)-1))*((1.0602^(1/12)-1)-G4:G123))</f>
        <v>1.0178259795465348</v>
      </c>
      <c r="X28" s="60">
        <v>5.6540070755950501E-5</v>
      </c>
      <c r="Y28" s="60">
        <v>1.1974165523548101E-2</v>
      </c>
      <c r="Z28" s="60">
        <v>1.5792999503792701E-2</v>
      </c>
      <c r="AA28" s="56">
        <f t="shared" si="0"/>
        <v>3.6599443251781913E-3</v>
      </c>
      <c r="AB28">
        <f>AD22</f>
        <v>-6.9793960000000002E-2</v>
      </c>
      <c r="AC28" t="s">
        <v>128</v>
      </c>
      <c r="AD28">
        <f>_xlfn.COVARIANCE.S(X4:X123,Z4:Z123)</f>
        <v>-1.9878478924989346E-5</v>
      </c>
      <c r="AE28">
        <f>_xlfn.COVARIANCE.S(Z4:Z123,Y4:Y123)</f>
        <v>4.2109376842566602E-4</v>
      </c>
      <c r="AF28">
        <f>_xlfn.VAR.S(Z4:Z123)</f>
        <v>8.3611769303901771E-4</v>
      </c>
      <c r="AG28">
        <f>_xlfn.COVARIANCE.S(Z4:Z123, AA4:AA123)</f>
        <v>-7.1775970698485389E-6</v>
      </c>
      <c r="AN28">
        <v>1.75559117995185E-2</v>
      </c>
      <c r="AO28">
        <v>-2.1283242067911198E-2</v>
      </c>
      <c r="AP28">
        <v>6.3194492052989701E-2</v>
      </c>
      <c r="AQ28" s="56">
        <f t="shared" si="1"/>
        <v>1.1343120831776986E-2</v>
      </c>
      <c r="AR28">
        <f>AP2</f>
        <v>0.17417432645952199</v>
      </c>
      <c r="AS28" t="s">
        <v>146</v>
      </c>
      <c r="AT28">
        <f>_xlfn.COVARIANCE.S(AN4:AN123,AP4:AP123)</f>
        <v>4.6522194306655934E-4</v>
      </c>
      <c r="AU28">
        <f>_xlfn.COVARIANCE.S(AO4:AO123,AP4:AP123)</f>
        <v>-1.5426569665196682E-5</v>
      </c>
      <c r="AV28">
        <f>_xlfn.VAR.S(AP4:AP123)</f>
        <v>5.6986314141481431E-4</v>
      </c>
      <c r="AW28">
        <f>_xlfn.COVARIANCE.S(AP4:AP123,AQ4:AQ123)</f>
        <v>-2.8565829177035715E-6</v>
      </c>
      <c r="BD28">
        <v>1.8495043068421899E-2</v>
      </c>
      <c r="BE28">
        <v>3.3220002740831603E-2</v>
      </c>
      <c r="BF28" s="56">
        <f t="shared" si="2"/>
        <v>5.9760598783984362E-2</v>
      </c>
      <c r="BS28">
        <v>0.10038684719535799</v>
      </c>
      <c r="BT28">
        <v>2.8360008065332301E-2</v>
      </c>
      <c r="BU28">
        <v>6.3700025238666597E-3</v>
      </c>
      <c r="BV28">
        <v>1.30424709052157E-2</v>
      </c>
      <c r="BW28" s="56">
        <f t="shared" si="3"/>
        <v>9.4885559963535024E-4</v>
      </c>
      <c r="BX28">
        <f>BT2</f>
        <v>0.31472457422392902</v>
      </c>
      <c r="BY28" t="s">
        <v>13</v>
      </c>
      <c r="BZ28">
        <f>_xlfn.COVARIANCE.S(BS4:BS123,BT4:BT123)</f>
        <v>2.0984358482601276E-4</v>
      </c>
      <c r="CA28">
        <f>_xlfn.VAR.S(BT4:BT123)</f>
        <v>2.3778375757623347E-4</v>
      </c>
      <c r="CB28">
        <f>_xlfn.COVARIANCE.S(BT4:BT123,BU4:BU123)</f>
        <v>4.606475956876853E-5</v>
      </c>
      <c r="CC28">
        <f>_xlfn.COVARIANCE.S(BT4:BT123,BV4:BV123)</f>
        <v>-8.5967102528840058E-5</v>
      </c>
      <c r="CD28">
        <f>_xlfn.COVARIANCE.S(BT4:BT123,BW4:BW123)</f>
        <v>1.1301252812442289E-6</v>
      </c>
      <c r="CJ28">
        <v>7.8054041780206695E-4</v>
      </c>
      <c r="CK28">
        <v>2.1990005541465699E-2</v>
      </c>
      <c r="CL28">
        <v>1.5849539574548599E-2</v>
      </c>
      <c r="CM28" s="56">
        <f t="shared" si="4"/>
        <v>5.1847224264197278E-4</v>
      </c>
      <c r="CN28">
        <f>CL2</f>
        <v>0.15794486020787299</v>
      </c>
      <c r="CO28" t="s">
        <v>17</v>
      </c>
      <c r="CP28">
        <f>_xlfn.COVARIANCE.S(CJ4:CJ123,CL4:CL123)</f>
        <v>1.6375940033836776E-4</v>
      </c>
      <c r="CQ28">
        <f>_xlfn.COVARIANCE.S(CK4:CK123,CL4:CL123)</f>
        <v>3.6469526602740719E-4</v>
      </c>
      <c r="CR28">
        <f>_xlfn.VAR.S(CL4:CL123)</f>
        <v>8.9115132633258809E-4</v>
      </c>
      <c r="CS28">
        <f>_xlfn.COVARIANCE.S(CL4:CL123,CM4:CM123)</f>
        <v>-6.9716010362074369E-6</v>
      </c>
    </row>
    <row r="29" spans="1:101" x14ac:dyDescent="0.2">
      <c r="A29" s="1">
        <v>38776</v>
      </c>
      <c r="B29" s="38">
        <f>Data!B27</f>
        <v>4.6599199811721004E-3</v>
      </c>
      <c r="C29" s="38">
        <f>Data!C27</f>
        <v>-9.1359958235448513E-3</v>
      </c>
      <c r="D29" s="38">
        <f>Data!D27</f>
        <v>-1.78204909711982E-2</v>
      </c>
      <c r="E29" s="38">
        <f>Data!E27</f>
        <v>-4.7199913832056684E-3</v>
      </c>
      <c r="F29" s="38">
        <f>Data!F27</f>
        <v>-2.9115858052984889E-3</v>
      </c>
      <c r="G29" s="38">
        <f t="shared" si="5"/>
        <v>-3.1740721312968484E-3</v>
      </c>
      <c r="H29" s="38">
        <f t="shared" si="6"/>
        <v>1.1540157523476129</v>
      </c>
      <c r="I29" s="39">
        <f>H29/MAX($H$4:H29) - 1</f>
        <v>-3.1740721312967235E-3</v>
      </c>
      <c r="J29" s="39"/>
      <c r="K29" t="s">
        <v>320</v>
      </c>
      <c r="L29" cm="1">
        <f t="array" ref="L29">SQRT(SUMPRODUCT(I4:I123^2)/60)</f>
        <v>5.4876006125189669E-2</v>
      </c>
      <c r="X29" s="60">
        <v>3.3195221826463101E-3</v>
      </c>
      <c r="Y29" s="60">
        <v>2.22247324277767E-2</v>
      </c>
      <c r="Z29" s="60">
        <v>3.0028342558992001E-3</v>
      </c>
      <c r="AA29" s="56">
        <f t="shared" si="0"/>
        <v>1.7308050381340196E-3</v>
      </c>
      <c r="AB29">
        <v>1</v>
      </c>
      <c r="AC29" t="s">
        <v>175</v>
      </c>
      <c r="AD29">
        <f>_xlfn.COVARIANCE.S(AA4:AA123,X4:X123)</f>
        <v>2.059980179790718E-7</v>
      </c>
      <c r="AE29">
        <f>_xlfn.COVARIANCE.S(Y4:Y123,AA4:AA123)</f>
        <v>-2.3274697968547044E-6</v>
      </c>
      <c r="AF29">
        <f>_xlfn.COVARIANCE.S(Z4:Z123, AA4:AA123)</f>
        <v>-7.1775970698485389E-6</v>
      </c>
      <c r="AG29">
        <f>_xlfn.VAR.S(AA4:AA123)</f>
        <v>9.427269378640074E-6</v>
      </c>
      <c r="AN29">
        <v>-1.5890373835297799E-3</v>
      </c>
      <c r="AO29">
        <v>-7.6931104759693199E-3</v>
      </c>
      <c r="AP29">
        <v>-5.4668283774368404E-3</v>
      </c>
      <c r="AQ29" s="56">
        <f t="shared" si="1"/>
        <v>-2.9556381322921044E-3</v>
      </c>
      <c r="AR29">
        <f>AQ2</f>
        <v>1</v>
      </c>
      <c r="AS29" t="s">
        <v>175</v>
      </c>
      <c r="AT29">
        <f>_xlfn.COVARIANCE.S(AN4:AN123,AQ4:AQ123)</f>
        <v>-6.7123315220213129E-6</v>
      </c>
      <c r="AU29">
        <f>_xlfn.COVARIANCE.S(AO4:AO123,AQ4:AQ123)</f>
        <v>-2.6322735066732256E-6</v>
      </c>
      <c r="AV29">
        <f>_xlfn.COVARIANCE.S(AP4:AP123,AQ4:AQ123)</f>
        <v>-2.8565829177035715E-6</v>
      </c>
      <c r="AW29">
        <f>_xlfn.VAR.S(AQ4:AQ123)</f>
        <v>2.9124631118722784E-4</v>
      </c>
      <c r="BD29">
        <v>-6.2602923342056499E-2</v>
      </c>
      <c r="BE29">
        <v>9.6500029984780706E-3</v>
      </c>
      <c r="BF29" s="56">
        <f t="shared" si="2"/>
        <v>1.2283739944399276E-2</v>
      </c>
      <c r="BH29" t="s">
        <v>176</v>
      </c>
      <c r="BJ29" s="62">
        <f>MMULT(MMULT(BD2:BF2,BI25:BK27),BG25:BG27)</f>
        <v>5.1920819931654139E-3</v>
      </c>
      <c r="BS29">
        <v>-1.29196695377044E-2</v>
      </c>
      <c r="BT29">
        <v>3.4699830436075701E-3</v>
      </c>
      <c r="BU29">
        <v>-2.7600065209820702E-3</v>
      </c>
      <c r="BV29">
        <v>-2.51371649493093E-3</v>
      </c>
      <c r="BW29" s="56">
        <f t="shared" si="3"/>
        <v>-2.500856889514022E-3</v>
      </c>
      <c r="BX29">
        <f>BU2</f>
        <v>0.75331524631995705</v>
      </c>
      <c r="BY29" t="s">
        <v>153</v>
      </c>
      <c r="BZ29">
        <f>_xlfn.COVARIANCE.S(BS4:BS123,BU4:BU123)</f>
        <v>3.5502363632248837E-5</v>
      </c>
      <c r="CA29">
        <f>_xlfn.COVARIANCE.S(BT4:BT123,BU4:BU123)</f>
        <v>4.606475956876853E-5</v>
      </c>
      <c r="CB29">
        <f>_xlfn.VAR.S(BU4:BU123)</f>
        <v>5.9443975746393887E-5</v>
      </c>
      <c r="CC29">
        <f>_xlfn.COVARIANCE.S(BU4:BU123,BV4:BV123)</f>
        <v>2.6808181092499864E-5</v>
      </c>
      <c r="CD29">
        <f>_xlfn.COVARIANCE.S(BU4:BU123,BW4:BW123)</f>
        <v>2.1752411002902464E-6</v>
      </c>
      <c r="CJ29">
        <v>-3.4033381074605202E-3</v>
      </c>
      <c r="CK29">
        <v>6.2299895645896398E-3</v>
      </c>
      <c r="CL29">
        <v>6.3223564385455101E-3</v>
      </c>
      <c r="CM29" s="56">
        <f t="shared" si="4"/>
        <v>-5.0506285341523488E-5</v>
      </c>
      <c r="CN29">
        <f>CM2</f>
        <v>1</v>
      </c>
      <c r="CO29" t="s">
        <v>175</v>
      </c>
      <c r="CP29">
        <f>_xlfn.COVARIANCE.S(CJ4:CJ123,CM4:CM123)</f>
        <v>3.2955124120871896E-7</v>
      </c>
      <c r="CQ29">
        <f>_xlfn.COVARIANCE.S(CK4:CK123,CM4:CM123)</f>
        <v>-1.045115819046244E-6</v>
      </c>
      <c r="CR29">
        <f>_xlfn.COVARIANCE.S(CL4:CL123,CM4:CM123)</f>
        <v>-6.9716010362074369E-6</v>
      </c>
      <c r="CS29">
        <f>_xlfn.VAR.S(CM4:CM123)</f>
        <v>1.4413188866252609E-5</v>
      </c>
    </row>
    <row r="30" spans="1:101" x14ac:dyDescent="0.2">
      <c r="A30" s="1">
        <v>38807</v>
      </c>
      <c r="B30" s="38">
        <f>Data!B28</f>
        <v>-8.480134932533856E-3</v>
      </c>
      <c r="C30" s="38">
        <f>Data!C28</f>
        <v>1.8177028451000998E-2</v>
      </c>
      <c r="D30" s="38">
        <f>Data!D28</f>
        <v>7.6038083167360826E-2</v>
      </c>
      <c r="E30" s="38">
        <f>Data!E28</f>
        <v>1.1469992218373193E-2</v>
      </c>
      <c r="F30" s="38">
        <f>Data!F28</f>
        <v>-1.6747137735630857E-2</v>
      </c>
      <c r="G30" s="38">
        <f t="shared" si="5"/>
        <v>5.1806906080486973E-3</v>
      </c>
      <c r="H30" s="38">
        <f t="shared" si="6"/>
        <v>1.1599943509173405</v>
      </c>
      <c r="I30" s="39">
        <f>H30/MAX($H$4:H30) - 1</f>
        <v>0</v>
      </c>
      <c r="J30" s="39"/>
      <c r="K30" t="s">
        <v>321</v>
      </c>
      <c r="L30" cm="1">
        <f t="array" ref="L30">(L8-((GEOMEAN(1+Factors!AB4:AB123)^12)-1))/L29</f>
        <v>0.79525818457417929</v>
      </c>
      <c r="X30" s="60">
        <v>-9.8129185986605104E-3</v>
      </c>
      <c r="Y30" s="60">
        <v>-1.89789491132107E-2</v>
      </c>
      <c r="Z30" s="60">
        <v>1.6063403223981101E-2</v>
      </c>
      <c r="AA30" s="56">
        <f t="shared" si="0"/>
        <v>-5.2944459847629674E-4</v>
      </c>
      <c r="AN30">
        <v>1.4765655520604199E-2</v>
      </c>
      <c r="AO30">
        <v>1.2187249222725999E-3</v>
      </c>
      <c r="AP30">
        <v>3.6069976843303299E-2</v>
      </c>
      <c r="AQ30" s="56">
        <f t="shared" si="1"/>
        <v>-4.9154458547406646E-3</v>
      </c>
      <c r="BD30">
        <v>2.2241968650842402E-2</v>
      </c>
      <c r="BE30">
        <v>2.4759997125974199E-2</v>
      </c>
      <c r="BF30" s="56">
        <f t="shared" si="2"/>
        <v>2.7572838261698707E-2</v>
      </c>
      <c r="BH30" t="s">
        <v>177</v>
      </c>
      <c r="BJ30">
        <f>SQRT(BJ29)</f>
        <v>7.2056103094501403E-2</v>
      </c>
      <c r="BS30">
        <v>3.9355355711868899E-2</v>
      </c>
      <c r="BT30">
        <v>1.66100142039807E-2</v>
      </c>
      <c r="BU30">
        <v>3.2700063212793801E-3</v>
      </c>
      <c r="BV30">
        <v>1.30129253872475E-2</v>
      </c>
      <c r="BW30" s="56">
        <f t="shared" si="3"/>
        <v>-1.6906626638553933E-4</v>
      </c>
      <c r="BX30">
        <f>BV2</f>
        <v>3.6420311862406698E-2</v>
      </c>
      <c r="BY30" t="s">
        <v>154</v>
      </c>
      <c r="BZ30">
        <f>_xlfn.COVARIANCE.S(BS4:BS123,BV4:BV123)</f>
        <v>1.4366107696779995E-4</v>
      </c>
      <c r="CA30">
        <f>_xlfn.COVARIANCE.S(BT4:BT123,BV4:BV123)</f>
        <v>-8.5967102528840058E-5</v>
      </c>
      <c r="CB30">
        <f>_xlfn.COVARIANCE.S(BU4:BU123,BV4:BV123)</f>
        <v>2.6808181092499864E-5</v>
      </c>
      <c r="CC30">
        <f>_xlfn.VAR.S(BV4:BV123)</f>
        <v>5.9806716150103681E-4</v>
      </c>
      <c r="CD30">
        <f>_xlfn.COVARIANCE.S(BV4:BV123,BW4:BW123)</f>
        <v>4.2906245725498724E-6</v>
      </c>
      <c r="CJ30">
        <v>-2.0532449238037001E-2</v>
      </c>
      <c r="CK30">
        <v>1.33400078827013E-2</v>
      </c>
      <c r="CL30">
        <v>6.2504846253206301E-3</v>
      </c>
      <c r="CM30" s="56">
        <f t="shared" si="4"/>
        <v>2.5742044257040381E-3</v>
      </c>
    </row>
    <row r="31" spans="1:101" x14ac:dyDescent="0.2">
      <c r="A31" s="1">
        <v>38835</v>
      </c>
      <c r="B31" s="38">
        <f>Data!B29</f>
        <v>5.5127659909448568E-5</v>
      </c>
      <c r="C31" s="38">
        <f>Data!C29</f>
        <v>-1.1384217335058122E-2</v>
      </c>
      <c r="D31" s="38">
        <f>Data!D29</f>
        <v>0.22182414762569147</v>
      </c>
      <c r="E31" s="38">
        <f>Data!E29</f>
        <v>2.7640000711400159E-2</v>
      </c>
      <c r="F31" s="38">
        <f>Data!F29</f>
        <v>2.5581651780792747E-3</v>
      </c>
      <c r="G31" s="38">
        <f t="shared" si="5"/>
        <v>2.2571672891167328E-2</v>
      </c>
      <c r="H31" s="38">
        <f t="shared" si="6"/>
        <v>1.1861773639618487</v>
      </c>
      <c r="I31" s="39">
        <f>H31/MAX($H$4:H31) - 1</f>
        <v>0</v>
      </c>
      <c r="J31" s="39"/>
      <c r="X31" s="60">
        <v>-1.8129344335596799E-3</v>
      </c>
      <c r="Y31" s="60">
        <v>-8.44808650840578E-4</v>
      </c>
      <c r="Z31" s="60">
        <v>8.2388531200333608E-3</v>
      </c>
      <c r="AA31" s="56">
        <f t="shared" si="0"/>
        <v>1.7524062861953354E-3</v>
      </c>
      <c r="AC31" t="s">
        <v>176</v>
      </c>
      <c r="AE31" s="62">
        <f>MMULT(MMULT(X2:AA2,AD26:AG29),AB26:AB29)</f>
        <v>5.8622010285929886E-5</v>
      </c>
      <c r="AN31">
        <v>-1.3600246009989299E-3</v>
      </c>
      <c r="AO31">
        <v>-2.67715401020675E-2</v>
      </c>
      <c r="AP31">
        <v>-1.3590947316672E-2</v>
      </c>
      <c r="AQ31" s="56">
        <f t="shared" si="1"/>
        <v>4.5852756091892821E-3</v>
      </c>
      <c r="AS31" t="s">
        <v>176</v>
      </c>
      <c r="AU31" s="62">
        <f>MMULT(MMULT(AN2:AQ2,AT26:AW29),AR26:AR29)</f>
        <v>2.8912990965992108E-3</v>
      </c>
      <c r="BD31">
        <v>6.7798585878097603E-2</v>
      </c>
      <c r="BE31">
        <v>1.6289995721916899E-2</v>
      </c>
      <c r="BF31" s="56">
        <f t="shared" si="2"/>
        <v>0.15339148776799574</v>
      </c>
      <c r="BS31">
        <v>0.121254176304292</v>
      </c>
      <c r="BT31">
        <v>1.7169992265817498E-2</v>
      </c>
      <c r="BU31">
        <v>6.0199914344778501E-3</v>
      </c>
      <c r="BV31">
        <v>4.1719547542262703E-3</v>
      </c>
      <c r="BW31" s="56">
        <f t="shared" si="3"/>
        <v>6.8452529340414375E-3</v>
      </c>
      <c r="BX31">
        <f>BW2</f>
        <v>1</v>
      </c>
      <c r="BY31" t="s">
        <v>175</v>
      </c>
      <c r="BZ31">
        <f>_xlfn.COVARIANCE.S(BS4:BS123,BW4:BW123)</f>
        <v>8.1990546821011753E-6</v>
      </c>
      <c r="CA31">
        <f>_xlfn.COVARIANCE.S(BT4:BT123,BW4:BW123)</f>
        <v>1.1301252812442289E-6</v>
      </c>
      <c r="CB31">
        <f>_xlfn.COVARIANCE.S(BU4:BU123,BW4:BW123)</f>
        <v>2.1752411002902464E-6</v>
      </c>
      <c r="CC31">
        <f>_xlfn.COVARIANCE.S(BV4:BV123,BW4:BW123)</f>
        <v>4.2906245725498724E-6</v>
      </c>
      <c r="CD31">
        <f>_xlfn.VAR.S(BW4:BW123)</f>
        <v>7.0213567253584342E-5</v>
      </c>
      <c r="CJ31">
        <v>1.0169097565238E-4</v>
      </c>
      <c r="CK31">
        <v>1.11500008313397E-2</v>
      </c>
      <c r="CL31">
        <v>6.4259186864736896E-3</v>
      </c>
      <c r="CM31" s="56">
        <f t="shared" si="4"/>
        <v>2.8197557132158355E-3</v>
      </c>
      <c r="CO31" t="s">
        <v>176</v>
      </c>
      <c r="CQ31" s="62">
        <f>MMULT(MMULT(CJ2:CM2,CP26:CS29),CN26:CN29)</f>
        <v>4.2403452982928645E-4</v>
      </c>
    </row>
    <row r="32" spans="1:101" x14ac:dyDescent="0.2">
      <c r="A32" s="1">
        <v>38868</v>
      </c>
      <c r="B32" s="38">
        <f>Data!B30</f>
        <v>-1.897861952198987E-3</v>
      </c>
      <c r="C32" s="38">
        <f>Data!C30</f>
        <v>-7.0923841926197384E-2</v>
      </c>
      <c r="D32" s="38">
        <f>Data!D30</f>
        <v>8.8305502955184467E-2</v>
      </c>
      <c r="E32" s="38">
        <f>Data!E30</f>
        <v>-1.3640000732359936E-2</v>
      </c>
      <c r="F32" s="38">
        <f>Data!F30</f>
        <v>2.2510136893894028E-3</v>
      </c>
      <c r="G32" s="38">
        <f t="shared" si="5"/>
        <v>-7.5637013290693481E-3</v>
      </c>
      <c r="H32" s="38">
        <f t="shared" si="6"/>
        <v>1.1772054726575385</v>
      </c>
      <c r="I32" s="39">
        <f>H32/MAX($H$4:H32) - 1</f>
        <v>-7.5637013290693611E-3</v>
      </c>
      <c r="J32" s="39"/>
      <c r="N32" s="24"/>
      <c r="X32" s="60">
        <v>-1.0669316349300999E-3</v>
      </c>
      <c r="Y32" s="60">
        <v>-2.0489839632479301E-2</v>
      </c>
      <c r="Z32" s="60">
        <v>4.3572578899297998E-4</v>
      </c>
      <c r="AA32" s="56">
        <f t="shared" si="0"/>
        <v>-1.5908683358618978E-4</v>
      </c>
      <c r="AC32" t="s">
        <v>177</v>
      </c>
      <c r="AE32">
        <f>SQRT(AE31)</f>
        <v>7.6565011778180958E-3</v>
      </c>
      <c r="AN32">
        <v>-3.3895547634328602E-2</v>
      </c>
      <c r="AO32">
        <v>-8.6361784064806803E-3</v>
      </c>
      <c r="AP32">
        <v>-2.7378886812217101E-2</v>
      </c>
      <c r="AQ32" s="56">
        <f t="shared" si="1"/>
        <v>-2.4926762854968851E-2</v>
      </c>
      <c r="AS32" t="s">
        <v>177</v>
      </c>
      <c r="AU32">
        <f>SQRT(AU31)</f>
        <v>5.3770801524611951E-2</v>
      </c>
      <c r="BD32">
        <v>9.5660201987437504E-3</v>
      </c>
      <c r="BE32">
        <v>-5.4199986073308901E-3</v>
      </c>
      <c r="BF32" s="56">
        <f t="shared" si="2"/>
        <v>8.8991897498691463E-2</v>
      </c>
      <c r="BH32" t="s">
        <v>170</v>
      </c>
      <c r="BS32">
        <v>-1.40888114666421E-2</v>
      </c>
      <c r="BT32">
        <v>-1.9659986305596001E-2</v>
      </c>
      <c r="BU32">
        <v>-2.16999772446127E-2</v>
      </c>
      <c r="BV32">
        <v>5.5513250984435799E-3</v>
      </c>
      <c r="BW32" s="56">
        <f t="shared" si="3"/>
        <v>9.9359500025315538E-3</v>
      </c>
      <c r="CJ32">
        <v>2.1352933486338301E-3</v>
      </c>
      <c r="CK32">
        <v>2.03999093901675E-3</v>
      </c>
      <c r="CL32">
        <v>-6.3120584593712203E-4</v>
      </c>
      <c r="CM32" s="56">
        <f t="shared" si="4"/>
        <v>6.5950332172750171E-4</v>
      </c>
      <c r="CO32" t="s">
        <v>177</v>
      </c>
      <c r="CQ32">
        <f>SQRT(CQ31)</f>
        <v>2.0592098723279433E-2</v>
      </c>
    </row>
    <row r="33" spans="1:98" x14ac:dyDescent="0.2">
      <c r="A33" s="1">
        <v>38898</v>
      </c>
      <c r="B33" s="38">
        <f>Data!B31</f>
        <v>1.9330303604114807E-3</v>
      </c>
      <c r="C33" s="38">
        <f>Data!C31</f>
        <v>-1.6478873239436642E-2</v>
      </c>
      <c r="D33" s="38">
        <f>Data!D31</f>
        <v>-5.1785045792712148E-2</v>
      </c>
      <c r="E33" s="38">
        <f>Data!E31</f>
        <v>-4.839994333079245E-3</v>
      </c>
      <c r="F33" s="38">
        <f>Data!F31</f>
        <v>4.1114931597046045E-3</v>
      </c>
      <c r="G33" s="38">
        <f t="shared" si="5"/>
        <v>-7.2203427691513011E-3</v>
      </c>
      <c r="H33" s="38">
        <f t="shared" si="6"/>
        <v>1.1687056456352303</v>
      </c>
      <c r="I33" s="39">
        <f>H33/MAX($H$4:H33) - 1</f>
        <v>-1.4729431582021335E-2</v>
      </c>
      <c r="J33" s="39"/>
      <c r="K33" s="38"/>
      <c r="L33" s="38"/>
      <c r="X33" s="60">
        <v>2.1198359573098E-3</v>
      </c>
      <c r="Y33" s="60">
        <v>-5.75473326812626E-5</v>
      </c>
      <c r="Z33" s="60">
        <v>-5.9113317201404704E-3</v>
      </c>
      <c r="AA33" s="56">
        <f t="shared" si="0"/>
        <v>2.6301057644010587E-4</v>
      </c>
      <c r="AN33">
        <v>-3.9456266437060102E-3</v>
      </c>
      <c r="AO33">
        <v>-1.0341834374350999E-2</v>
      </c>
      <c r="AP33">
        <v>5.0737944709020599E-3</v>
      </c>
      <c r="AQ33" s="56">
        <f t="shared" si="1"/>
        <v>-8.3418826344597609E-3</v>
      </c>
      <c r="BD33">
        <v>-1.55369020733376E-2</v>
      </c>
      <c r="BE33">
        <v>-1.1599962117382399E-3</v>
      </c>
      <c r="BF33" s="56">
        <f t="shared" si="2"/>
        <v>-3.9550468197584641E-2</v>
      </c>
      <c r="BI33" t="s">
        <v>151</v>
      </c>
      <c r="BJ33" t="s">
        <v>12</v>
      </c>
      <c r="BK33" t="s">
        <v>175</v>
      </c>
      <c r="BS33">
        <v>-4.5489770613763303E-2</v>
      </c>
      <c r="BT33">
        <v>-6.2600113383721699E-3</v>
      </c>
      <c r="BU33">
        <v>-1.1780019686965499E-2</v>
      </c>
      <c r="BV33">
        <v>-6.7056015019577603E-3</v>
      </c>
      <c r="BW33" s="56">
        <f t="shared" si="3"/>
        <v>1.0264203765856966E-2</v>
      </c>
      <c r="BY33" t="s">
        <v>176</v>
      </c>
      <c r="CA33" s="62">
        <f>MMULT(MMULT(BS2:BW2,BZ27:CD31),BX27:BX31)</f>
        <v>1.9659456657905808E-4</v>
      </c>
      <c r="CJ33">
        <v>3.5947238730251701E-3</v>
      </c>
      <c r="CK33">
        <v>5.5200083485933398E-3</v>
      </c>
      <c r="CL33">
        <v>-3.7914957628306699E-3</v>
      </c>
      <c r="CM33" s="56">
        <f t="shared" si="4"/>
        <v>2.1193146779995582E-3</v>
      </c>
    </row>
    <row r="34" spans="1:98" x14ac:dyDescent="0.2">
      <c r="A34" s="1">
        <v>38929</v>
      </c>
      <c r="B34" s="38">
        <f>Data!B32</f>
        <v>1.4324075313609796E-2</v>
      </c>
      <c r="C34" s="38">
        <f>Data!C32</f>
        <v>-3.7806100529858222E-2</v>
      </c>
      <c r="D34" s="38">
        <f>Data!D32</f>
        <v>6.4177382359074109E-2</v>
      </c>
      <c r="E34" s="38">
        <f>Data!E32</f>
        <v>-2.5999997582957235E-3</v>
      </c>
      <c r="F34" s="38">
        <f>Data!F32</f>
        <v>1.4702882289511221E-2</v>
      </c>
      <c r="G34" s="38">
        <f t="shared" si="5"/>
        <v>6.7890102188923971E-3</v>
      </c>
      <c r="H34" s="38">
        <f t="shared" si="6"/>
        <v>1.1766400002063251</v>
      </c>
      <c r="I34" s="39">
        <f>H34/MAX($H$4:H34) - 1</f>
        <v>-8.0404196246577353E-3</v>
      </c>
      <c r="J34" s="39"/>
      <c r="K34" s="38"/>
      <c r="L34" s="38"/>
      <c r="X34" s="60">
        <v>1.3521979318368699E-2</v>
      </c>
      <c r="Y34" s="60">
        <v>3.2717541436464E-2</v>
      </c>
      <c r="Z34" s="60">
        <v>-2.8526315591568302E-3</v>
      </c>
      <c r="AA34" s="56">
        <f t="shared" si="0"/>
        <v>4.3698978462252663E-3</v>
      </c>
      <c r="AC34" t="s">
        <v>170</v>
      </c>
      <c r="AN34">
        <v>-1.90462259275948E-2</v>
      </c>
      <c r="AO34">
        <v>-4.3349556362262599E-2</v>
      </c>
      <c r="AP34">
        <v>-3.8707189226529701E-2</v>
      </c>
      <c r="AQ34" s="56">
        <f t="shared" si="1"/>
        <v>9.5086103067959504E-3</v>
      </c>
      <c r="AS34" t="s">
        <v>170</v>
      </c>
      <c r="BD34">
        <v>3.2100849829908497E-2</v>
      </c>
      <c r="BE34">
        <v>-4.3700025114713501E-3</v>
      </c>
      <c r="BF34" s="56">
        <f t="shared" si="2"/>
        <v>4.7966104733520198E-2</v>
      </c>
      <c r="BH34" t="s">
        <v>171</v>
      </c>
      <c r="BI34">
        <f>BD2*BG25*BI25</f>
        <v>1.2816290110102657E-3</v>
      </c>
      <c r="BJ34">
        <f>BE2*BG25*BJ25</f>
        <v>5.4144253468403321E-4</v>
      </c>
      <c r="BK34">
        <f>BF2*BG25*BK25</f>
        <v>2.3950808689593002E-6</v>
      </c>
      <c r="BS34">
        <v>3.3936835268328303E-2</v>
      </c>
      <c r="BT34">
        <v>-2.2099992923791901E-3</v>
      </c>
      <c r="BU34">
        <v>-6.3899906906006399E-3</v>
      </c>
      <c r="BV34">
        <v>-1.1588534564024901E-2</v>
      </c>
      <c r="BW34" s="56">
        <f t="shared" si="3"/>
        <v>3.3541262878850368E-4</v>
      </c>
      <c r="BY34" t="s">
        <v>177</v>
      </c>
      <c r="CA34">
        <f>SQRT(CA33)</f>
        <v>1.4021218441314509E-2</v>
      </c>
      <c r="CJ34">
        <v>1.6696033969785501E-2</v>
      </c>
      <c r="CK34">
        <v>4.1799913982214498E-3</v>
      </c>
      <c r="CL34">
        <v>1.0669347759211901E-2</v>
      </c>
      <c r="CM34" s="56">
        <f t="shared" si="4"/>
        <v>-1.6511971194763733E-3</v>
      </c>
      <c r="CO34" t="s">
        <v>170</v>
      </c>
    </row>
    <row r="35" spans="1:98" x14ac:dyDescent="0.2">
      <c r="A35" s="1">
        <v>38960</v>
      </c>
      <c r="B35" s="38">
        <f>Data!B33</f>
        <v>1.4533258803800964E-2</v>
      </c>
      <c r="C35" s="38">
        <f>Data!C33</f>
        <v>8.3792230986753813E-2</v>
      </c>
      <c r="D35" s="38">
        <f>Data!D33</f>
        <v>1.4740384263686179E-2</v>
      </c>
      <c r="E35" s="38">
        <f>Data!E33</f>
        <v>2.3199960805679876E-3</v>
      </c>
      <c r="F35" s="38">
        <f>Data!F33</f>
        <v>1.6141308250161579E-2</v>
      </c>
      <c r="G35" s="38">
        <f t="shared" si="5"/>
        <v>2.8037347399856603E-2</v>
      </c>
      <c r="H35" s="38">
        <f t="shared" si="6"/>
        <v>1.209629864656677</v>
      </c>
      <c r="I35" s="39">
        <f>H35/MAX($H$4:H35) - 1</f>
        <v>0</v>
      </c>
      <c r="J35" s="39"/>
      <c r="K35" s="38"/>
      <c r="L35" s="38"/>
      <c r="X35" s="60">
        <v>1.5308293129329799E-2</v>
      </c>
      <c r="Y35" s="60">
        <v>2.60246872300707E-2</v>
      </c>
      <c r="Z35" s="60">
        <v>8.7198764067197799E-4</v>
      </c>
      <c r="AA35" s="56">
        <f t="shared" si="0"/>
        <v>4.1276918458696167E-3</v>
      </c>
      <c r="AD35" t="s">
        <v>7</v>
      </c>
      <c r="AE35" t="s">
        <v>15</v>
      </c>
      <c r="AF35" t="s">
        <v>128</v>
      </c>
      <c r="AG35" t="s">
        <v>175</v>
      </c>
      <c r="AN35">
        <v>3.1199326197662601E-2</v>
      </c>
      <c r="AO35">
        <v>1.4460504500759501E-2</v>
      </c>
      <c r="AP35">
        <v>5.8143468033713397E-3</v>
      </c>
      <c r="AQ35" s="56">
        <f t="shared" si="1"/>
        <v>4.1886577977169326E-2</v>
      </c>
      <c r="AT35" t="s">
        <v>25</v>
      </c>
      <c r="AU35" t="s">
        <v>145</v>
      </c>
      <c r="AV35" t="s">
        <v>146</v>
      </c>
      <c r="AW35" t="s">
        <v>175</v>
      </c>
      <c r="BD35">
        <v>-3.6037350895916601E-2</v>
      </c>
      <c r="BE35">
        <v>1.0550003534475201E-2</v>
      </c>
      <c r="BF35" s="56">
        <f t="shared" si="2"/>
        <v>2.5377126541717629E-2</v>
      </c>
      <c r="BH35" t="s">
        <v>172</v>
      </c>
      <c r="BI35">
        <f>BD2*BG26*BI26</f>
        <v>5.4144253468403321E-4</v>
      </c>
      <c r="BJ35">
        <f>BE2*BG26*BJ26</f>
        <v>6.5454805331581684E-4</v>
      </c>
      <c r="BK35">
        <f>BF2*BG26*BK26</f>
        <v>-1.2954139031337953E-6</v>
      </c>
      <c r="BS35">
        <v>-1.4840989399293399E-2</v>
      </c>
      <c r="BT35">
        <v>8.1299984132738902E-3</v>
      </c>
      <c r="BU35">
        <v>1.0199931029595301E-3</v>
      </c>
      <c r="BV35">
        <v>-1.349298767459E-2</v>
      </c>
      <c r="BW35" s="56">
        <f t="shared" si="3"/>
        <v>7.9445596096921209E-4</v>
      </c>
      <c r="CJ35">
        <v>1.8765803903741701E-2</v>
      </c>
      <c r="CK35">
        <v>7.1100053103143601E-3</v>
      </c>
      <c r="CL35">
        <v>1.61802807700018E-2</v>
      </c>
      <c r="CM35" s="56">
        <f t="shared" si="4"/>
        <v>-2.6055412908414025E-3</v>
      </c>
      <c r="CP35" t="s">
        <v>16</v>
      </c>
      <c r="CQ35" t="s">
        <v>14</v>
      </c>
      <c r="CR35" t="s">
        <v>17</v>
      </c>
      <c r="CS35" t="s">
        <v>175</v>
      </c>
    </row>
    <row r="36" spans="1:98" x14ac:dyDescent="0.2">
      <c r="A36" s="1">
        <v>38989</v>
      </c>
      <c r="B36" s="38">
        <f>Data!B34</f>
        <v>6.9941842669116738E-3</v>
      </c>
      <c r="C36" s="38">
        <f>Data!C34</f>
        <v>4.0098873935731971E-2</v>
      </c>
      <c r="D36" s="38">
        <f>Data!D34</f>
        <v>1.2227085478887734E-2</v>
      </c>
      <c r="E36" s="38">
        <f>Data!E34</f>
        <v>-7.6000033023650992E-3</v>
      </c>
      <c r="F36" s="38">
        <f>Data!F34</f>
        <v>3.1444763210333182E-3</v>
      </c>
      <c r="G36" s="38">
        <f t="shared" si="5"/>
        <v>1.1933015962940762E-2</v>
      </c>
      <c r="H36" s="38">
        <f t="shared" si="6"/>
        <v>1.2240643971408749</v>
      </c>
      <c r="I36" s="39">
        <f>H36/MAX($H$4:H36) - 1</f>
        <v>0</v>
      </c>
      <c r="J36" s="39"/>
      <c r="K36" s="38"/>
      <c r="L36" s="38"/>
      <c r="X36" s="60">
        <v>8.7839974699557306E-3</v>
      </c>
      <c r="Y36" s="60">
        <v>5.5943296309370902E-3</v>
      </c>
      <c r="Z36" s="60">
        <v>4.36981187469154E-3</v>
      </c>
      <c r="AA36" s="56">
        <f t="shared" ref="AA36:AA67" si="7">B36-SUMPRODUCT(X36:Z36, X$2:Z$2)</f>
        <v>1.7829557734446964E-3</v>
      </c>
      <c r="AC36" t="s">
        <v>171</v>
      </c>
      <c r="AD36">
        <f>X2*AB26*AD26</f>
        <v>3.351347340317763E-5</v>
      </c>
      <c r="AE36">
        <f>Y2*AB26*AE26</f>
        <v>5.0958463811013322E-6</v>
      </c>
      <c r="AF36">
        <f>Z2*AB26*AF26</f>
        <v>8.2495088869305335E-7</v>
      </c>
      <c r="AG36">
        <f>AA2*AB26*AG26</f>
        <v>1.2248704195638624E-7</v>
      </c>
      <c r="AN36">
        <v>2.74785537256543E-2</v>
      </c>
      <c r="AO36">
        <v>7.5458035242990098E-3</v>
      </c>
      <c r="AP36">
        <v>-1.74447596840548E-2</v>
      </c>
      <c r="AQ36" s="56">
        <f t="shared" ref="AQ36:AQ67" si="8">C36-SUMPRODUCT(AN36:AP36, AN$2:AP$2)</f>
        <v>9.4679053936238232E-3</v>
      </c>
      <c r="AS36" t="s">
        <v>171</v>
      </c>
      <c r="AT36">
        <f>AN2*AR26*AT26</f>
        <v>2.2709927092859268E-3</v>
      </c>
      <c r="AU36">
        <f>AO2*AR26*AU26</f>
        <v>4.5283201192827033E-5</v>
      </c>
      <c r="AV36">
        <f>AP2*AR26*AV26</f>
        <v>8.9224575947858197E-5</v>
      </c>
      <c r="AW36">
        <f>AQ2*AR26*AW26</f>
        <v>-7.3911762759584111E-6</v>
      </c>
      <c r="BD36">
        <v>-6.0212157247444199E-2</v>
      </c>
      <c r="BE36">
        <v>2.3299989251119898E-3</v>
      </c>
      <c r="BF36" s="56">
        <f t="shared" ref="BF36:BF67" si="9">D36-SUMPRODUCT(BD36:BE36, BD$2:BE$2)</f>
        <v>5.0495897076709303E-2</v>
      </c>
      <c r="BH36" t="s">
        <v>172</v>
      </c>
      <c r="BI36">
        <f>BD2*BG27*BI27</f>
        <v>2.3950808689593002E-6</v>
      </c>
      <c r="BJ36">
        <f>BE2*BG27*BJ27</f>
        <v>-1.2954139031337953E-6</v>
      </c>
      <c r="BK36">
        <f>BF2*BG27*BK27</f>
        <v>2.1708205255396144E-3</v>
      </c>
      <c r="BL36" s="62">
        <f>SUM(BI34:BK36)</f>
        <v>5.1920819931654148E-3</v>
      </c>
      <c r="BS36">
        <v>-4.6229874063446502E-2</v>
      </c>
      <c r="BT36">
        <v>7.4999311595447303E-4</v>
      </c>
      <c r="BU36">
        <v>-2.9499987938994602E-3</v>
      </c>
      <c r="BV36">
        <v>-2.4190310455007601E-2</v>
      </c>
      <c r="BW36" s="56">
        <f t="shared" ref="BW36:BW67" si="10">E36-SUMPRODUCT(BS36:BV36, BS$2:BV$2)</f>
        <v>-6.516820866040874E-4</v>
      </c>
      <c r="BY36" t="s">
        <v>170</v>
      </c>
      <c r="CJ36">
        <v>2.5169072021193899E-3</v>
      </c>
      <c r="CK36">
        <v>3.6999919098539302E-3</v>
      </c>
      <c r="CL36">
        <v>1.3153809344647299E-2</v>
      </c>
      <c r="CM36" s="56">
        <f t="shared" ref="CM36:CM67" si="11">F36-SUMPRODUCT(CJ36:CL36, CJ$2:CL$2)</f>
        <v>-7.6750202057161709E-4</v>
      </c>
      <c r="CO36" t="s">
        <v>171</v>
      </c>
      <c r="CP36">
        <f>CJ2*CN26*CP26</f>
        <v>3.661243112674793E-4</v>
      </c>
      <c r="CQ36">
        <f>CK2*CN26*CQ26</f>
        <v>-6.6871669358927305E-6</v>
      </c>
      <c r="CR36">
        <f>CL2*CN26*CR26</f>
        <v>2.3519667321660759E-5</v>
      </c>
      <c r="CS36">
        <f>CM2*CN26*CS26</f>
        <v>2.9966939361059408E-7</v>
      </c>
    </row>
    <row r="37" spans="1:98" x14ac:dyDescent="0.2">
      <c r="A37" s="1">
        <v>39021</v>
      </c>
      <c r="B37" s="38">
        <f>Data!B35</f>
        <v>7.249570649117798E-3</v>
      </c>
      <c r="C37" s="38">
        <f>Data!C35</f>
        <v>4.1193556905201989E-2</v>
      </c>
      <c r="D37" s="38">
        <f>Data!D35</f>
        <v>7.9672083612065681E-2</v>
      </c>
      <c r="E37" s="38">
        <f>Data!E35</f>
        <v>1.1370004912351961E-2</v>
      </c>
      <c r="F37" s="38">
        <f>Data!F35</f>
        <v>-2.1977557532595338E-3</v>
      </c>
      <c r="G37" s="38">
        <f t="shared" si="5"/>
        <v>1.93691312424858E-2</v>
      </c>
      <c r="H37" s="38">
        <f t="shared" si="6"/>
        <v>1.2477734610983506</v>
      </c>
      <c r="I37" s="39">
        <f>H37/MAX($H$4:H37) - 1</f>
        <v>0</v>
      </c>
      <c r="J37" s="39"/>
      <c r="K37" s="38"/>
      <c r="L37" s="38"/>
      <c r="X37" s="60">
        <v>6.61488662993448E-3</v>
      </c>
      <c r="Y37" s="60">
        <v>1.8553026006643599E-2</v>
      </c>
      <c r="Z37" s="60">
        <v>7.98696942821309E-3</v>
      </c>
      <c r="AA37" s="56">
        <f t="shared" si="7"/>
        <v>2.9013350211416758E-3</v>
      </c>
      <c r="AC37" t="s">
        <v>172</v>
      </c>
      <c r="AD37">
        <f>X2*AB27*AD27</f>
        <v>5.0958463811013322E-6</v>
      </c>
      <c r="AE37">
        <f>Y2*AB27*AE27</f>
        <v>1.8447847566617374E-6</v>
      </c>
      <c r="AF37">
        <f>Z2*AB27*AF27</f>
        <v>-1.5404497884058326E-6</v>
      </c>
      <c r="AG37">
        <f>AA2*AB27*AG27</f>
        <v>-1.2199300972676452E-7</v>
      </c>
      <c r="AN37">
        <v>3.5153351092670697E-2</v>
      </c>
      <c r="AO37">
        <v>2.42028503565916E-3</v>
      </c>
      <c r="AP37">
        <v>2.4991520918881401E-2</v>
      </c>
      <c r="AQ37" s="56">
        <f t="shared" si="8"/>
        <v>-2.9622034287132559E-3</v>
      </c>
      <c r="AS37" t="s">
        <v>172</v>
      </c>
      <c r="AT37">
        <f>AN2*AR27*AT27</f>
        <v>4.5283201192827033E-5</v>
      </c>
      <c r="AU37">
        <f>AO2*AR27*AU27</f>
        <v>6.3344327263408019E-5</v>
      </c>
      <c r="AV37">
        <f>AP2*AR27*AV27</f>
        <v>-1.2148851949674087E-6</v>
      </c>
      <c r="AW37">
        <f>AQ2*AR27*AW27</f>
        <v>-1.190180273445462E-6</v>
      </c>
      <c r="BD37">
        <v>4.7435725313821599E-2</v>
      </c>
      <c r="BE37">
        <v>2.3289996694176401E-2</v>
      </c>
      <c r="BF37" s="56">
        <f t="shared" si="9"/>
        <v>1.585790759842845E-2</v>
      </c>
      <c r="BS37">
        <v>1.38726391442421E-2</v>
      </c>
      <c r="BT37">
        <v>1.62500185245671E-2</v>
      </c>
      <c r="BU37">
        <v>3.9800122674329402E-3</v>
      </c>
      <c r="BV37">
        <v>-1.3955950911594499E-2</v>
      </c>
      <c r="BW37" s="56">
        <f t="shared" si="10"/>
        <v>2.5411568954013114E-3</v>
      </c>
      <c r="BZ37" t="s">
        <v>29</v>
      </c>
      <c r="CA37" t="s">
        <v>13</v>
      </c>
      <c r="CB37" t="s">
        <v>153</v>
      </c>
      <c r="CC37" t="s">
        <v>154</v>
      </c>
      <c r="CD37" t="s">
        <v>175</v>
      </c>
      <c r="CJ37">
        <v>-1.5995437822950999E-3</v>
      </c>
      <c r="CK37">
        <v>1.2270006257134199E-2</v>
      </c>
      <c r="CL37">
        <v>1.4601856058147599E-2</v>
      </c>
      <c r="CM37" s="56">
        <f t="shared" si="11"/>
        <v>-1.5430214013063288E-3</v>
      </c>
      <c r="CO37" t="s">
        <v>172</v>
      </c>
      <c r="CP37">
        <f>CJ2*CN27*CP27</f>
        <v>-6.6871669358927305E-6</v>
      </c>
      <c r="CQ37">
        <f>CK2*CN27*CQ27</f>
        <v>3.0918610995379329E-6</v>
      </c>
      <c r="CR37">
        <f>CL2*CN27*CR27</f>
        <v>-7.0723650918239318E-6</v>
      </c>
      <c r="CS37">
        <f>CM2*CN27*CS27</f>
        <v>1.2831973955659655E-7</v>
      </c>
    </row>
    <row r="38" spans="1:98" x14ac:dyDescent="0.2">
      <c r="A38" s="1">
        <v>39051</v>
      </c>
      <c r="B38" s="38">
        <f>Data!B36</f>
        <v>1.1467543833177496E-2</v>
      </c>
      <c r="C38" s="38">
        <f>Data!C36</f>
        <v>3.2462591935074947E-2</v>
      </c>
      <c r="D38" s="38">
        <f>Data!D36</f>
        <v>6.8673552083529099E-3</v>
      </c>
      <c r="E38" s="38">
        <f>Data!E36</f>
        <v>2.3570003354294711E-2</v>
      </c>
      <c r="F38" s="38">
        <f>Data!F36</f>
        <v>1.1267128364783829E-2</v>
      </c>
      <c r="G38" s="38">
        <f t="shared" si="5"/>
        <v>1.6519952048027753E-2</v>
      </c>
      <c r="H38" s="38">
        <f t="shared" si="6"/>
        <v>1.268386618842497</v>
      </c>
      <c r="I38" s="39">
        <f>H38/MAX($H$4:H38) - 1</f>
        <v>0</v>
      </c>
      <c r="J38" s="39"/>
      <c r="K38" s="38"/>
      <c r="L38" s="38"/>
      <c r="X38" s="60">
        <v>1.16011990501033E-2</v>
      </c>
      <c r="Y38" s="60">
        <v>1.26736663484992E-2</v>
      </c>
      <c r="Z38" s="60">
        <v>4.3611621853807403E-3</v>
      </c>
      <c r="AA38" s="56">
        <f t="shared" si="7"/>
        <v>4.2095356786067449E-3</v>
      </c>
      <c r="AC38" t="s">
        <v>172</v>
      </c>
      <c r="AD38">
        <f>X2*AB28*AD28</f>
        <v>8.2495088869305335E-7</v>
      </c>
      <c r="AE38">
        <f>Y2*AB28*AE28</f>
        <v>-1.5404497884058326E-6</v>
      </c>
      <c r="AF38">
        <f>Z2*AB28*AF28</f>
        <v>4.0728938746358397E-6</v>
      </c>
      <c r="AG38">
        <f>AA2*AB28*AG28</f>
        <v>5.0095292278912613E-7</v>
      </c>
      <c r="AN38">
        <v>1.9844377737549199E-2</v>
      </c>
      <c r="AO38">
        <v>-2.9841881146486201E-3</v>
      </c>
      <c r="AP38">
        <v>7.2892806854385501E-3</v>
      </c>
      <c r="AQ38" s="56">
        <f t="shared" si="8"/>
        <v>1.0690966054653809E-2</v>
      </c>
      <c r="AS38" t="s">
        <v>172</v>
      </c>
      <c r="AT38">
        <f>AN2*AR28*AT28</f>
        <v>8.9224575947858197E-5</v>
      </c>
      <c r="AU38">
        <f>AO2*AR28*AU28</f>
        <v>-1.2148851949674087E-6</v>
      </c>
      <c r="AV38">
        <f>AP2*AR28*AV28</f>
        <v>1.7287764881354599E-5</v>
      </c>
      <c r="AW38">
        <f>AQ2*AR28*AW28</f>
        <v>-4.9754340566679568E-7</v>
      </c>
      <c r="BD38">
        <v>5.4689127223438203E-2</v>
      </c>
      <c r="BE38">
        <v>1.86900041516396E-2</v>
      </c>
      <c r="BF38" s="56">
        <f t="shared" si="9"/>
        <v>-5.576941813362668E-2</v>
      </c>
      <c r="BH38" t="s">
        <v>173</v>
      </c>
      <c r="BI38">
        <f>SUM(BI34:BI36)</f>
        <v>1.8254666265632583E-3</v>
      </c>
      <c r="BJ38">
        <f>SUM(BJ34:BJ36)</f>
        <v>1.1946951740967162E-3</v>
      </c>
      <c r="BK38">
        <f>SUM(BK34:BK36)</f>
        <v>2.1719201925054399E-3</v>
      </c>
      <c r="BS38">
        <v>6.82492581602374E-2</v>
      </c>
      <c r="BT38">
        <v>1.7829984452331998E-2</v>
      </c>
      <c r="BU38">
        <v>4.0999812460860204E-3</v>
      </c>
      <c r="BV38">
        <v>9.8412905992528699E-4</v>
      </c>
      <c r="BW38" s="56">
        <f t="shared" si="10"/>
        <v>8.8091641194588555E-3</v>
      </c>
      <c r="BY38" t="s">
        <v>171</v>
      </c>
      <c r="BZ38">
        <f>BS2*BX27*BZ27</f>
        <v>2.3903775025185716E-5</v>
      </c>
      <c r="CA38">
        <f>BT2*BX27*CA27</f>
        <v>5.8301150842370968E-6</v>
      </c>
      <c r="CB38">
        <f>BU2*BX27*CB27</f>
        <v>2.360939190150991E-6</v>
      </c>
      <c r="CC38">
        <f>BV2*BX27*CC27</f>
        <v>4.6188467642552794E-7</v>
      </c>
      <c r="CD38">
        <f>BW2*BX27*CD27</f>
        <v>7.2379330063483235E-7</v>
      </c>
      <c r="CJ38">
        <v>1.24128419278216E-2</v>
      </c>
      <c r="CK38">
        <v>1.3730003206246E-2</v>
      </c>
      <c r="CL38">
        <v>1.5962361235484002E-2</v>
      </c>
      <c r="CM38" s="56">
        <f t="shared" si="11"/>
        <v>-8.5558468808140213E-4</v>
      </c>
      <c r="CO38" t="s">
        <v>172</v>
      </c>
      <c r="CP38">
        <f>CJ2*CN28*CP28</f>
        <v>2.3519667321660759E-5</v>
      </c>
      <c r="CQ38">
        <f>CK2*CN28*CQ28</f>
        <v>-7.0723650918239318E-6</v>
      </c>
      <c r="CR38">
        <f>CL2*CN28*CR28</f>
        <v>2.2231176843971749E-5</v>
      </c>
      <c r="CS38">
        <f>CM2*CN28*CS28</f>
        <v>-1.1011285510888462E-6</v>
      </c>
    </row>
    <row r="39" spans="1:98" x14ac:dyDescent="0.2">
      <c r="A39" s="1">
        <v>39080</v>
      </c>
      <c r="B39" s="38">
        <f>Data!B37</f>
        <v>-2.7523346361548739E-3</v>
      </c>
      <c r="C39" s="38">
        <f>Data!C37</f>
        <v>-1.3387374109555483E-2</v>
      </c>
      <c r="D39" s="38">
        <f>Data!D37</f>
        <v>-2.554359397922723E-2</v>
      </c>
      <c r="E39" s="38">
        <f>Data!E37</f>
        <v>1.2699995671763054E-2</v>
      </c>
      <c r="F39" s="38">
        <f>Data!F37</f>
        <v>-2.2653179473217655E-2</v>
      </c>
      <c r="G39" s="38">
        <f t="shared" si="5"/>
        <v>-1.0518509410342772E-2</v>
      </c>
      <c r="H39" s="38">
        <f t="shared" si="6"/>
        <v>1.2550450822562493</v>
      </c>
      <c r="I39" s="39">
        <f>H39/MAX($H$4:H39) - 1</f>
        <v>-1.0518509410342824E-2</v>
      </c>
      <c r="J39" s="39"/>
      <c r="K39" s="38"/>
      <c r="L39" s="38"/>
      <c r="X39" s="60">
        <v>-5.8033480854339202E-3</v>
      </c>
      <c r="Y39" s="60">
        <v>6.6502592030162101E-3</v>
      </c>
      <c r="Z39" s="60">
        <v>1.68122881492315E-2</v>
      </c>
      <c r="AA39" s="56">
        <f t="shared" si="7"/>
        <v>1.523180216295379E-3</v>
      </c>
      <c r="AC39" t="s">
        <v>172</v>
      </c>
      <c r="AD39">
        <f>X2*AB29*AD29</f>
        <v>1.2248704195638624E-7</v>
      </c>
      <c r="AE39">
        <f>Y2*AB29*AE29</f>
        <v>-1.2199300972676452E-7</v>
      </c>
      <c r="AF39">
        <f>Z2*AB29*AF29</f>
        <v>5.0095292278912613E-7</v>
      </c>
      <c r="AG39">
        <f>AA2*AB29*AG29</f>
        <v>9.427269378640074E-6</v>
      </c>
      <c r="AH39" s="62">
        <f>SUM(AD36:AG39)</f>
        <v>5.8622010285929886E-5</v>
      </c>
      <c r="AN39">
        <v>3.3862167312690402E-3</v>
      </c>
      <c r="AO39">
        <v>-1.9062226737888599E-2</v>
      </c>
      <c r="AP39">
        <v>-1.06790342987142E-2</v>
      </c>
      <c r="AQ39" s="56">
        <f t="shared" si="8"/>
        <v>-6.637068844255304E-3</v>
      </c>
      <c r="AS39" t="s">
        <v>172</v>
      </c>
      <c r="AT39">
        <f>AN2*AR29*AT29</f>
        <v>-7.3911762759584111E-6</v>
      </c>
      <c r="AU39">
        <f>AO2*AR29*AU29</f>
        <v>-1.190180273445462E-6</v>
      </c>
      <c r="AV39">
        <f>AP2*AR29*AV29</f>
        <v>-4.9754340566679568E-7</v>
      </c>
      <c r="AW39">
        <f>AQ2*AR29*AW29</f>
        <v>2.9124631118722784E-4</v>
      </c>
      <c r="AX39" s="62">
        <f>SUM(AT36:AW39)</f>
        <v>2.8912990965992112E-3</v>
      </c>
      <c r="BD39">
        <v>-4.5928784104028599E-2</v>
      </c>
      <c r="BE39">
        <v>1.6500000131154199E-2</v>
      </c>
      <c r="BF39" s="56">
        <f t="shared" si="9"/>
        <v>-1.6079693500361869E-2</v>
      </c>
      <c r="BH39" t="s">
        <v>174</v>
      </c>
      <c r="BI39" s="63">
        <f>BI38/$BL$36</f>
        <v>0.35158663306284593</v>
      </c>
      <c r="BJ39" s="63">
        <f>BJ38/$BL$36</f>
        <v>0.23009944289580758</v>
      </c>
      <c r="BK39" s="63">
        <f>BK38/$BL$36</f>
        <v>0.41831392404134643</v>
      </c>
      <c r="BL39" s="39">
        <f>SUM(BI39:BK39)</f>
        <v>1</v>
      </c>
      <c r="BS39">
        <v>-1.7438271604938198E-2</v>
      </c>
      <c r="BT39">
        <v>1.7860009511927202E-2</v>
      </c>
      <c r="BU39">
        <v>1.7500130235002E-3</v>
      </c>
      <c r="BV39">
        <v>-5.6765241684675295E-4</v>
      </c>
      <c r="BW39" s="56">
        <f t="shared" si="10"/>
        <v>7.3207840508507866E-3</v>
      </c>
      <c r="BY39" t="s">
        <v>172</v>
      </c>
      <c r="BZ39">
        <f>BS2*BX28*BZ28</f>
        <v>5.8301150842370968E-6</v>
      </c>
      <c r="CA39">
        <f>BT2*BX28*CA28</f>
        <v>2.3552851564765461E-5</v>
      </c>
      <c r="CB39">
        <f>BU2*BX28*CB28</f>
        <v>1.0921347367338267E-5</v>
      </c>
      <c r="CC39">
        <f>BV2*BX28*CC28</f>
        <v>-9.8538649149134045E-7</v>
      </c>
      <c r="CD39">
        <f>BW2*BX28*CD28</f>
        <v>3.5567819795928799E-7</v>
      </c>
      <c r="CJ39">
        <v>-2.4954762183249098E-2</v>
      </c>
      <c r="CK39">
        <v>1.6109996488427002E-2</v>
      </c>
      <c r="CL39">
        <v>1.1008940063797599E-2</v>
      </c>
      <c r="CM39" s="56">
        <f t="shared" si="11"/>
        <v>2.780119744140476E-4</v>
      </c>
      <c r="CO39" t="s">
        <v>172</v>
      </c>
      <c r="CP39">
        <f>CJ2*CN29*CP29</f>
        <v>2.9966939361059408E-7</v>
      </c>
      <c r="CQ39">
        <f>CK2*CN29*CQ29</f>
        <v>1.2831973955659655E-7</v>
      </c>
      <c r="CR39">
        <f>CL2*CN29*CR29</f>
        <v>-1.1011285510888462E-6</v>
      </c>
      <c r="CS39">
        <f>CM2*CN29*CS29</f>
        <v>1.4413188866252609E-5</v>
      </c>
      <c r="CT39" s="62">
        <f>SUM(CP36:CS39)</f>
        <v>4.2403452982928645E-4</v>
      </c>
    </row>
    <row r="40" spans="1:98" x14ac:dyDescent="0.2">
      <c r="A40" s="1">
        <v>39113</v>
      </c>
      <c r="B40" s="38">
        <f>Data!B38</f>
        <v>6.4323592547421704E-4</v>
      </c>
      <c r="C40" s="38">
        <f>Data!C38</f>
        <v>1.5809784638366686E-2</v>
      </c>
      <c r="D40" s="38">
        <f>Data!D38</f>
        <v>-4.1957403894638423E-2</v>
      </c>
      <c r="E40" s="38">
        <f>Data!E38</f>
        <v>3.7180278920005971E-3</v>
      </c>
      <c r="F40" s="38">
        <f>Data!F38</f>
        <v>2.6428193882945816E-3</v>
      </c>
      <c r="G40" s="38">
        <f t="shared" si="5"/>
        <v>4.4598962419256649E-4</v>
      </c>
      <c r="H40" s="38">
        <f t="shared" si="6"/>
        <v>1.2556048193408296</v>
      </c>
      <c r="I40" s="39">
        <f>H40/MAX($H$4:H40) - 1</f>
        <v>-1.0077210932209146E-2</v>
      </c>
      <c r="J40" s="39"/>
      <c r="K40" s="38"/>
      <c r="L40" s="38"/>
      <c r="X40" s="60">
        <v>-4.1030881544612497E-4</v>
      </c>
      <c r="Y40" s="60">
        <v>-3.0430711610487399E-3</v>
      </c>
      <c r="Z40" s="60">
        <v>1.1154069010428799E-2</v>
      </c>
      <c r="AA40" s="56">
        <f t="shared" si="7"/>
        <v>1.8251942788247637E-3</v>
      </c>
      <c r="AN40">
        <v>2.5705948254719502E-2</v>
      </c>
      <c r="AO40">
        <v>1.29181296617631E-2</v>
      </c>
      <c r="AP40">
        <v>1.6108121746425401E-3</v>
      </c>
      <c r="AQ40" s="56">
        <f t="shared" si="8"/>
        <v>-1.8617391981101669E-2</v>
      </c>
      <c r="BD40">
        <v>2.1049413577987099E-3</v>
      </c>
      <c r="BE40">
        <v>1.5743450899027098E-2</v>
      </c>
      <c r="BF40" s="56">
        <f t="shared" si="9"/>
        <v>-6.4498929539599431E-2</v>
      </c>
      <c r="BS40">
        <v>2.5914873566828901E-2</v>
      </c>
      <c r="BT40">
        <v>1.29422544488176E-2</v>
      </c>
      <c r="BU40">
        <v>-7.2645542786409201E-4</v>
      </c>
      <c r="BV40">
        <v>-3.5490453753015401E-3</v>
      </c>
      <c r="BW40" s="56">
        <f t="shared" si="10"/>
        <v>-1.9664145450836107E-3</v>
      </c>
      <c r="BY40" t="s">
        <v>172</v>
      </c>
      <c r="BZ40">
        <f>BS2*BX29*BZ29</f>
        <v>2.360939190150991E-6</v>
      </c>
      <c r="CA40">
        <f>BT2*BX29*CA29</f>
        <v>1.0921347367338267E-5</v>
      </c>
      <c r="CB40">
        <f>BU2*BX29*CB29</f>
        <v>3.3733496830407853E-5</v>
      </c>
      <c r="CC40">
        <f>BV2*BX29*CC29</f>
        <v>7.3550861846411531E-7</v>
      </c>
      <c r="CD40">
        <f>BW2*BX29*CD29</f>
        <v>1.6386422852704414E-6</v>
      </c>
      <c r="CJ40">
        <v>2.3074317649383102E-3</v>
      </c>
      <c r="CK40">
        <v>1.3668709876681701E-2</v>
      </c>
      <c r="CL40">
        <v>1.07437601949827E-2</v>
      </c>
      <c r="CM40" s="56">
        <f t="shared" si="11"/>
        <v>5.2594050024410257E-4</v>
      </c>
    </row>
    <row r="41" spans="1:98" x14ac:dyDescent="0.2">
      <c r="A41" s="1">
        <v>39141</v>
      </c>
      <c r="B41" s="38">
        <f>Data!B39</f>
        <v>1.23332212131404E-2</v>
      </c>
      <c r="C41" s="38">
        <f>Data!C39</f>
        <v>-3.0759803921568518E-2</v>
      </c>
      <c r="D41" s="38">
        <f>Data!D39</f>
        <v>5.6456706332895568E-2</v>
      </c>
      <c r="E41" s="38">
        <f>Data!E39</f>
        <v>2.2336360135390976E-3</v>
      </c>
      <c r="F41" s="38">
        <f>Data!F39</f>
        <v>2.0865984669307114E-2</v>
      </c>
      <c r="G41" s="38">
        <f t="shared" si="5"/>
        <v>8.8014605587873988E-3</v>
      </c>
      <c r="H41" s="38">
        <f t="shared" si="6"/>
        <v>1.2666559756356812</v>
      </c>
      <c r="I41" s="39">
        <f>H41/MAX($H$4:H41) - 1</f>
        <v>-1.3644445479842338E-3</v>
      </c>
      <c r="J41" s="39"/>
      <c r="K41" s="38"/>
      <c r="L41" s="38"/>
      <c r="X41" s="60">
        <v>1.5420003407735401E-2</v>
      </c>
      <c r="Y41" s="60">
        <v>1.71662622942266E-2</v>
      </c>
      <c r="Z41" s="60">
        <v>-1.4908488778080399E-3</v>
      </c>
      <c r="AA41" s="56">
        <f t="shared" si="7"/>
        <v>2.1606285900257205E-3</v>
      </c>
      <c r="AC41" t="s">
        <v>173</v>
      </c>
      <c r="AD41">
        <f>SUM(AD36:AD39)</f>
        <v>3.9556757714928397E-5</v>
      </c>
      <c r="AE41">
        <f>SUM(AE36:AE39)</f>
        <v>5.2781883396304727E-6</v>
      </c>
      <c r="AF41">
        <f>SUM(AF36:AF39)</f>
        <v>3.8583478977121865E-6</v>
      </c>
      <c r="AG41">
        <f>SUM(AG36:AG39)</f>
        <v>9.9287163336588216E-6</v>
      </c>
      <c r="AH41" s="63"/>
      <c r="AN41">
        <v>-1.8796556083841801E-2</v>
      </c>
      <c r="AO41">
        <v>-3.2067182550092901E-3</v>
      </c>
      <c r="AP41">
        <v>1.16239022556989E-2</v>
      </c>
      <c r="AQ41" s="56">
        <f t="shared" si="8"/>
        <v>-1.0636947803294872E-2</v>
      </c>
      <c r="AS41" t="s">
        <v>173</v>
      </c>
      <c r="AT41">
        <f>SUM(AT36:AT39)</f>
        <v>2.3981093101506533E-3</v>
      </c>
      <c r="AU41">
        <f>SUM(AU36:AU39)</f>
        <v>1.0622246298782218E-4</v>
      </c>
      <c r="AV41">
        <f>SUM(AV36:AV39)</f>
        <v>1.0479991222857859E-4</v>
      </c>
      <c r="AW41">
        <f>SUM(AW36:AW39)</f>
        <v>2.8216741123215716E-4</v>
      </c>
      <c r="AX41" s="63"/>
      <c r="BD41">
        <v>3.3675051797994002E-2</v>
      </c>
      <c r="BE41">
        <v>1.02389260249252E-2</v>
      </c>
      <c r="BF41" s="56">
        <f t="shared" si="9"/>
        <v>1.958888127591675E-2</v>
      </c>
      <c r="BS41">
        <v>2.4724433557868901E-2</v>
      </c>
      <c r="BT41">
        <v>8.1972118953617095E-3</v>
      </c>
      <c r="BU41">
        <v>6.3454804920937103E-4</v>
      </c>
      <c r="BV41">
        <v>2.5829046521955099E-2</v>
      </c>
      <c r="BW41" s="56">
        <f t="shared" si="10"/>
        <v>-3.9475596151114746E-3</v>
      </c>
      <c r="BY41" t="s">
        <v>172</v>
      </c>
      <c r="BZ41">
        <f>BS2*BX30*BZ30</f>
        <v>4.6188467642552794E-7</v>
      </c>
      <c r="CA41">
        <f>BT2*BX30*CA30</f>
        <v>-9.8538649149134045E-7</v>
      </c>
      <c r="CB41">
        <f>BU2*BX30*CB30</f>
        <v>7.3550861846411531E-7</v>
      </c>
      <c r="CC41">
        <f>BV2*BX30*CC30</f>
        <v>7.9329967710274233E-7</v>
      </c>
      <c r="CD41">
        <f>BW2*BX30*CD30</f>
        <v>1.5626588501677179E-7</v>
      </c>
      <c r="CJ41">
        <v>2.27536731834725E-2</v>
      </c>
      <c r="CK41">
        <v>7.5626638461523399E-3</v>
      </c>
      <c r="CL41">
        <v>1.39291545299274E-2</v>
      </c>
      <c r="CM41" s="56">
        <f t="shared" si="11"/>
        <v>-1.0960052442475603E-3</v>
      </c>
      <c r="CO41" t="s">
        <v>173</v>
      </c>
      <c r="CP41">
        <f>SUM(CP36:CP39)</f>
        <v>3.832564810468579E-4</v>
      </c>
      <c r="CQ41">
        <f>SUM(CQ36:CQ39)</f>
        <v>-1.0539351188622134E-5</v>
      </c>
      <c r="CR41">
        <f>SUM(CR36:CR39)</f>
        <v>3.7577350522719733E-5</v>
      </c>
      <c r="CS41">
        <f>SUM(CS36:CS39)</f>
        <v>1.3740049448330954E-5</v>
      </c>
      <c r="CT41" s="63"/>
    </row>
    <row r="42" spans="1:98" x14ac:dyDescent="0.2">
      <c r="A42" s="1">
        <v>39171</v>
      </c>
      <c r="B42" s="38">
        <f>Data!B40</f>
        <v>2.6359508251192487E-3</v>
      </c>
      <c r="C42" s="38">
        <f>Data!C40</f>
        <v>5.6897205715009669E-3</v>
      </c>
      <c r="D42" s="38">
        <f>Data!D40</f>
        <v>5.7268659761530838E-2</v>
      </c>
      <c r="E42" s="38">
        <f>Data!E40</f>
        <v>-8.9686062517790877E-4</v>
      </c>
      <c r="F42" s="38">
        <f>Data!F40</f>
        <v>4.8289963084695575E-3</v>
      </c>
      <c r="G42" s="38">
        <f t="shared" si="5"/>
        <v>8.751672933846346E-3</v>
      </c>
      <c r="H42" s="38">
        <f t="shared" si="6"/>
        <v>1.2777413344541468</v>
      </c>
      <c r="I42" s="39">
        <f>H42/MAX($H$4:H42) - 1</f>
        <v>0</v>
      </c>
      <c r="J42" s="39"/>
      <c r="K42" s="38"/>
      <c r="L42" s="38"/>
      <c r="X42" s="60">
        <v>3.05089658225732E-5</v>
      </c>
      <c r="Y42" s="60">
        <v>9.7463387109184597E-3</v>
      </c>
      <c r="Z42" s="60">
        <v>2.2920381391797798E-3</v>
      </c>
      <c r="AA42" s="56">
        <f t="shared" si="7"/>
        <v>2.2669317029937876E-3</v>
      </c>
      <c r="AC42" t="s">
        <v>174</v>
      </c>
      <c r="AD42" s="63">
        <f>AD41/$AH$39</f>
        <v>0.67477654761393568</v>
      </c>
      <c r="AE42" s="63">
        <f>AE41/$AH$39</f>
        <v>9.0037655035813624E-2</v>
      </c>
      <c r="AF42" s="63">
        <f>AF41/$AH$39</f>
        <v>6.5817393141126126E-2</v>
      </c>
      <c r="AG42" s="63">
        <f>AG41/$AH$39</f>
        <v>0.16936840420912441</v>
      </c>
      <c r="AH42" s="63">
        <f>SUM(AD42:AG42)</f>
        <v>0.99999999999999978</v>
      </c>
      <c r="AN42">
        <v>5.4236959811313499E-3</v>
      </c>
      <c r="AO42">
        <v>-1.0037373126347501E-2</v>
      </c>
      <c r="AP42">
        <v>-4.7954754129397902E-4</v>
      </c>
      <c r="AQ42" s="56">
        <f t="shared" si="8"/>
        <v>4.3394194365320889E-3</v>
      </c>
      <c r="AS42" t="s">
        <v>174</v>
      </c>
      <c r="AT42" s="63">
        <f>AT41/$AX$39</f>
        <v>0.82942277157397692</v>
      </c>
      <c r="AU42" s="63">
        <f>AU41/$AX$39</f>
        <v>3.6738662946618914E-2</v>
      </c>
      <c r="AV42" s="63">
        <f>AV41/$AX$39</f>
        <v>3.6246652015990248E-2</v>
      </c>
      <c r="AW42" s="63">
        <f>AW41/$AX$39</f>
        <v>9.7591913463413948E-2</v>
      </c>
      <c r="AX42" s="63">
        <f>SUM(AT42:AW42)</f>
        <v>1</v>
      </c>
      <c r="BD42">
        <v>9.7484943787062902E-3</v>
      </c>
      <c r="BE42">
        <v>1.3578598692956001E-2</v>
      </c>
      <c r="BF42" s="56">
        <f t="shared" si="9"/>
        <v>3.2373510804451777E-2</v>
      </c>
      <c r="BS42">
        <v>-8.30656607156211E-3</v>
      </c>
      <c r="BT42">
        <v>1.1549314300771701E-2</v>
      </c>
      <c r="BU42">
        <v>4.01458783040498E-3</v>
      </c>
      <c r="BV42">
        <v>-1.0966703826464899E-3</v>
      </c>
      <c r="BW42" s="56">
        <f t="shared" si="10"/>
        <v>-6.7827386403339369E-3</v>
      </c>
      <c r="BY42" t="s">
        <v>172</v>
      </c>
      <c r="BZ42">
        <f>BS2*BX31*BZ31</f>
        <v>7.2379330063483235E-7</v>
      </c>
      <c r="CA42">
        <f>BT2*BX31*CA31</f>
        <v>3.5567819795928799E-7</v>
      </c>
      <c r="CB42">
        <f>BU2*BX31*CB31</f>
        <v>1.6386422852704414E-6</v>
      </c>
      <c r="CC42">
        <f>BV2*BX31*CC31</f>
        <v>1.5626588501677179E-7</v>
      </c>
      <c r="CD42">
        <f>BW2*BX31*CD31</f>
        <v>7.0213567253584342E-5</v>
      </c>
      <c r="CE42" s="62">
        <f>SUM(BZ38:CD42)</f>
        <v>1.9659456657905811E-4</v>
      </c>
      <c r="CJ42">
        <v>3.0425055928411399E-3</v>
      </c>
      <c r="CK42">
        <v>7.5347264703666799E-3</v>
      </c>
      <c r="CL42">
        <v>2.32254710500235E-3</v>
      </c>
      <c r="CM42" s="56">
        <f t="shared" si="11"/>
        <v>2.6206503215103968E-3</v>
      </c>
      <c r="CO42" t="s">
        <v>174</v>
      </c>
      <c r="CP42" s="63">
        <f>CP41/$CT$39</f>
        <v>0.90383318830462811</v>
      </c>
      <c r="CQ42" s="63">
        <f>CQ41/$CT$39</f>
        <v>-2.4854936207353698E-2</v>
      </c>
      <c r="CR42" s="63">
        <f>CR41/$CT$39</f>
        <v>8.8618609757672634E-2</v>
      </c>
      <c r="CS42" s="63">
        <f>CS41/$CT$39</f>
        <v>3.2403138145052975E-2</v>
      </c>
      <c r="CT42" s="63">
        <f>SUM(CP42:CS42)</f>
        <v>1</v>
      </c>
    </row>
    <row r="43" spans="1:98" x14ac:dyDescent="0.2">
      <c r="A43" s="1">
        <v>39202</v>
      </c>
      <c r="B43" s="38">
        <f>Data!B41</f>
        <v>4.9340167314715355E-3</v>
      </c>
      <c r="C43" s="38">
        <f>Data!C41</f>
        <v>5.4060849886849338E-2</v>
      </c>
      <c r="D43" s="38">
        <f>Data!D41</f>
        <v>9.0326301098141659E-2</v>
      </c>
      <c r="E43" s="38">
        <f>Data!E41</f>
        <v>1.6273215586270595E-2</v>
      </c>
      <c r="F43" s="38">
        <f>Data!F41</f>
        <v>7.9101067413001047E-3</v>
      </c>
      <c r="G43" s="38">
        <f t="shared" si="5"/>
        <v>2.5231416654397796E-2</v>
      </c>
      <c r="H43" s="38">
        <f t="shared" si="6"/>
        <v>1.3099805584403057</v>
      </c>
      <c r="I43" s="39">
        <f>H43/MAX($H$4:H43) - 1</f>
        <v>0</v>
      </c>
      <c r="J43" s="39"/>
      <c r="K43" s="38"/>
      <c r="L43" s="38"/>
      <c r="X43" s="60">
        <v>5.3922951957470202E-3</v>
      </c>
      <c r="Y43" s="60">
        <v>8.6616373288628291E-3</v>
      </c>
      <c r="Z43" s="60">
        <v>7.8404704657482095E-3</v>
      </c>
      <c r="AA43" s="56">
        <f t="shared" si="7"/>
        <v>1.8209644391108601E-3</v>
      </c>
      <c r="AN43">
        <v>4.7079872963366999E-2</v>
      </c>
      <c r="AO43">
        <v>1.01274299633343E-2</v>
      </c>
      <c r="AP43">
        <v>-2.6332883781123601E-2</v>
      </c>
      <c r="AQ43" s="56">
        <f t="shared" si="8"/>
        <v>2.2270056034286861E-3</v>
      </c>
      <c r="BD43">
        <v>1.15511551155114E-2</v>
      </c>
      <c r="BE43">
        <v>1.9871204607506202E-2</v>
      </c>
      <c r="BF43" s="56">
        <f t="shared" si="9"/>
        <v>5.5760550037346882E-2</v>
      </c>
      <c r="BS43">
        <v>2.20852980611339E-2</v>
      </c>
      <c r="BT43">
        <v>1.67607619123884E-2</v>
      </c>
      <c r="BU43">
        <v>2.5702188138221299E-3</v>
      </c>
      <c r="BV43">
        <v>-2.5716111725691399E-2</v>
      </c>
      <c r="BW43" s="56">
        <f t="shared" si="10"/>
        <v>8.0489574506715841E-3</v>
      </c>
      <c r="CJ43">
        <v>7.8096584475386699E-3</v>
      </c>
      <c r="CK43">
        <v>1.4190543098566301E-2</v>
      </c>
      <c r="CL43">
        <v>1.3232765661495199E-2</v>
      </c>
      <c r="CM43" s="56">
        <f t="shared" si="11"/>
        <v>4.6085732077355817E-4</v>
      </c>
    </row>
    <row r="44" spans="1:98" x14ac:dyDescent="0.2">
      <c r="A44" s="1">
        <v>39233</v>
      </c>
      <c r="B44" s="38">
        <f>Data!B42</f>
        <v>-5.7451891369024732E-3</v>
      </c>
      <c r="C44" s="38">
        <f>Data!C42</f>
        <v>3.9718511450381744E-2</v>
      </c>
      <c r="D44" s="38">
        <f>Data!D42</f>
        <v>-2.9418604411864502E-2</v>
      </c>
      <c r="E44" s="38">
        <f>Data!E42</f>
        <v>1.8107338955327679E-2</v>
      </c>
      <c r="F44" s="38">
        <f>Data!F42</f>
        <v>-1.449714742441377E-2</v>
      </c>
      <c r="G44" s="38">
        <f t="shared" si="5"/>
        <v>1.5806513192785049E-3</v>
      </c>
      <c r="H44" s="38">
        <f t="shared" si="6"/>
        <v>1.3120511809382334</v>
      </c>
      <c r="I44" s="39">
        <f>H44/MAX($H$4:H44) - 1</f>
        <v>0</v>
      </c>
      <c r="J44" s="39"/>
      <c r="K44" s="143"/>
      <c r="L44" s="99"/>
      <c r="M44" s="99"/>
      <c r="N44" s="99"/>
      <c r="O44" s="99"/>
      <c r="P44" s="99"/>
      <c r="X44" s="60">
        <v>-7.5785161583977701E-3</v>
      </c>
      <c r="Y44" s="60">
        <v>-3.85293376983131E-3</v>
      </c>
      <c r="Z44" s="60">
        <v>1.4693511164106599E-2</v>
      </c>
      <c r="AA44" s="56">
        <f t="shared" si="7"/>
        <v>-1.1512933249019711E-5</v>
      </c>
      <c r="AN44">
        <v>3.5975204898190102E-2</v>
      </c>
      <c r="AO44">
        <v>-9.3881959599917395E-5</v>
      </c>
      <c r="AP44">
        <v>6.06042390152251E-3</v>
      </c>
      <c r="AQ44" s="56">
        <f t="shared" si="8"/>
        <v>-9.0813044468376902E-4</v>
      </c>
      <c r="BD44">
        <v>1.29422175135296E-3</v>
      </c>
      <c r="BE44">
        <v>2.1749318823270501E-2</v>
      </c>
      <c r="BF44" s="56">
        <f t="shared" si="9"/>
        <v>-5.9450055767553051E-2</v>
      </c>
      <c r="BS44">
        <v>-2.6457366054978299E-2</v>
      </c>
      <c r="BT44">
        <v>2.14653475326003E-2</v>
      </c>
      <c r="BU44">
        <v>6.5919347317506798E-3</v>
      </c>
      <c r="BV44">
        <v>-1.25197713903116E-2</v>
      </c>
      <c r="BW44" s="56">
        <f t="shared" si="10"/>
        <v>9.1774298034063648E-3</v>
      </c>
      <c r="BY44" t="s">
        <v>173</v>
      </c>
      <c r="BZ44">
        <f>SUM(BZ38:BZ42)</f>
        <v>3.3280507276634164E-5</v>
      </c>
      <c r="CA44">
        <f>SUM(CA38:CA42)</f>
        <v>3.9674605722808771E-5</v>
      </c>
      <c r="CB44">
        <f>SUM(CB38:CB42)</f>
        <v>4.9389934291631668E-5</v>
      </c>
      <c r="CC44">
        <f>SUM(CC38:CC42)</f>
        <v>1.1615723655178169E-6</v>
      </c>
      <c r="CD44">
        <f>SUM(CD38:CD42)</f>
        <v>7.3087946922465678E-5</v>
      </c>
      <c r="CJ44">
        <v>-1.6758026624902E-2</v>
      </c>
      <c r="CK44">
        <v>1.4873412800849599E-2</v>
      </c>
      <c r="CL44">
        <v>7.1149950057087796E-3</v>
      </c>
      <c r="CM44" s="56">
        <f t="shared" si="11"/>
        <v>1.4437425751939979E-3</v>
      </c>
    </row>
    <row r="45" spans="1:98" x14ac:dyDescent="0.2">
      <c r="A45" s="1">
        <v>39262</v>
      </c>
      <c r="B45" s="38">
        <f>Data!B43</f>
        <v>-4.2011232476893978E-3</v>
      </c>
      <c r="C45" s="38">
        <f>Data!C43</f>
        <v>6.5389468853962462E-3</v>
      </c>
      <c r="D45" s="38">
        <f>Data!D43</f>
        <v>-4.967749596074833E-2</v>
      </c>
      <c r="E45" s="38">
        <f>Data!E43</f>
        <v>1.5065018810388242E-2</v>
      </c>
      <c r="F45" s="38">
        <f>Data!F43</f>
        <v>-1.6290516542215583E-3</v>
      </c>
      <c r="G45" s="38">
        <f t="shared" si="5"/>
        <v>-3.8315330311733159E-3</v>
      </c>
      <c r="H45" s="38">
        <f t="shared" si="6"/>
        <v>1.3070240134998785</v>
      </c>
      <c r="I45" s="39">
        <f>H45/MAX($H$4:H45) - 1</f>
        <v>-3.8315330311733398E-3</v>
      </c>
      <c r="J45" s="39"/>
      <c r="K45" s="38"/>
      <c r="L45" s="38"/>
      <c r="X45" s="60">
        <v>-2.9582406494370601E-3</v>
      </c>
      <c r="Y45" s="60">
        <v>-1.8884141871223802E-2</v>
      </c>
      <c r="Z45" s="60">
        <v>-1.3895784645628E-2</v>
      </c>
      <c r="AA45" s="56">
        <f t="shared" si="7"/>
        <v>-2.4221846961671057E-3</v>
      </c>
      <c r="AN45">
        <v>-1.49272645101458E-2</v>
      </c>
      <c r="AO45">
        <v>8.4383637363861803E-3</v>
      </c>
      <c r="AP45">
        <v>1.9844549717619201E-3</v>
      </c>
      <c r="AQ45" s="56">
        <f t="shared" si="8"/>
        <v>1.8814824716675158E-2</v>
      </c>
      <c r="BD45">
        <v>-1.3968545972658101E-2</v>
      </c>
      <c r="BE45">
        <v>3.5466971581854502E-5</v>
      </c>
      <c r="BF45" s="56">
        <f t="shared" si="9"/>
        <v>-4.0122824516160803E-2</v>
      </c>
      <c r="BS45">
        <v>-1.64269492808479E-2</v>
      </c>
      <c r="BT45">
        <v>5.2586548845623398E-3</v>
      </c>
      <c r="BU45">
        <v>-3.6297874574997601E-4</v>
      </c>
      <c r="BV45">
        <v>2.5493860280509699E-2</v>
      </c>
      <c r="BW45" s="56">
        <f t="shared" si="10"/>
        <v>1.420506649353601E-2</v>
      </c>
      <c r="BY45" t="s">
        <v>174</v>
      </c>
      <c r="BZ45" s="63">
        <f>BZ44/$CE$42</f>
        <v>0.16928498002639769</v>
      </c>
      <c r="CA45" s="63">
        <f>CA44/$CE$42</f>
        <v>0.20180926875643895</v>
      </c>
      <c r="CB45" s="63">
        <f>CB44/$CE$42</f>
        <v>0.25122736172756893</v>
      </c>
      <c r="CC45" s="63">
        <f>CC44/$CE$42</f>
        <v>5.9084662701026618E-3</v>
      </c>
      <c r="CD45" s="63">
        <f>CD44/$CE$42</f>
        <v>0.3717699232194917</v>
      </c>
      <c r="CE45" s="39">
        <f>SUM(BZ45:CD45)</f>
        <v>1</v>
      </c>
      <c r="CJ45">
        <v>-2.3823704586062298E-3</v>
      </c>
      <c r="CK45">
        <v>5.6216336303123197E-3</v>
      </c>
      <c r="CL45">
        <v>-1.6854025295065099E-2</v>
      </c>
      <c r="CM45" s="56">
        <f t="shared" si="11"/>
        <v>3.8895319914967934E-3</v>
      </c>
    </row>
    <row r="46" spans="1:98" x14ac:dyDescent="0.2">
      <c r="A46" s="1">
        <v>39294</v>
      </c>
      <c r="B46" s="38">
        <f>Data!B44</f>
        <v>6.7723598898659088E-3</v>
      </c>
      <c r="C46" s="38">
        <f>Data!C44</f>
        <v>-4.5589240939137854E-3</v>
      </c>
      <c r="D46" s="38">
        <f>Data!D44</f>
        <v>1.5794534943651461E-2</v>
      </c>
      <c r="E46" s="38">
        <f>Data!E44</f>
        <v>7.9307758838031983E-3</v>
      </c>
      <c r="F46" s="38">
        <f>Data!F44</f>
        <v>2.2829931019993754E-2</v>
      </c>
      <c r="G46" s="38">
        <f t="shared" si="5"/>
        <v>9.3790538383184841E-3</v>
      </c>
      <c r="H46" s="38">
        <f t="shared" si="6"/>
        <v>1.319282662090469</v>
      </c>
      <c r="I46" s="39">
        <f>H46/MAX($H$4:H46) - 1</f>
        <v>0</v>
      </c>
      <c r="J46" s="39"/>
      <c r="K46" s="38"/>
      <c r="L46" s="38"/>
      <c r="X46" s="60">
        <v>8.3413833816337098E-3</v>
      </c>
      <c r="Y46" s="60">
        <v>-9.0182942540581994E-3</v>
      </c>
      <c r="Z46" s="60">
        <v>-3.9741875194543301E-2</v>
      </c>
      <c r="AA46" s="56">
        <f t="shared" si="7"/>
        <v>-4.8850586079956897E-4</v>
      </c>
      <c r="AN46">
        <v>-1.5502960114456701E-2</v>
      </c>
      <c r="AO46">
        <v>3.07410803848778E-2</v>
      </c>
      <c r="AP46">
        <v>-3.73898644879175E-2</v>
      </c>
      <c r="AQ46" s="56">
        <f t="shared" si="8"/>
        <v>5.1247125417968505E-3</v>
      </c>
      <c r="BD46">
        <v>2.0751214069487899E-2</v>
      </c>
      <c r="BE46">
        <v>-8.8229959797648805E-3</v>
      </c>
      <c r="BF46" s="56">
        <f t="shared" si="9"/>
        <v>1.3351711132616476E-2</v>
      </c>
      <c r="BS46">
        <v>2.2550604171476901E-2</v>
      </c>
      <c r="BT46">
        <v>1.91283438686418E-3</v>
      </c>
      <c r="BU46">
        <v>7.7167154955903898E-3</v>
      </c>
      <c r="BV46">
        <v>3.2678176144706701E-2</v>
      </c>
      <c r="BW46" s="56">
        <f t="shared" si="10"/>
        <v>-1.665223305099486E-3</v>
      </c>
      <c r="CJ46">
        <v>2.3700104130510099E-2</v>
      </c>
      <c r="CK46">
        <v>-5.8038811087262098E-3</v>
      </c>
      <c r="CL46">
        <v>-3.1400491812909603E-2</v>
      </c>
      <c r="CM46" s="56">
        <f t="shared" si="11"/>
        <v>5.5257620817431956E-3</v>
      </c>
    </row>
    <row r="47" spans="1:98" x14ac:dyDescent="0.2">
      <c r="A47" s="1">
        <v>39325</v>
      </c>
      <c r="B47" s="38">
        <f>Data!B45</f>
        <v>1.1770068297273228E-2</v>
      </c>
      <c r="C47" s="38">
        <f>Data!C45</f>
        <v>2.8394779024501826E-2</v>
      </c>
      <c r="D47" s="38">
        <f>Data!D45</f>
        <v>-7.4911261839076482E-2</v>
      </c>
      <c r="E47" s="38">
        <f>Data!E45</f>
        <v>-2.1109484891792651E-2</v>
      </c>
      <c r="F47" s="38">
        <f>Data!F45</f>
        <v>1.0194789634041967E-2</v>
      </c>
      <c r="G47" s="38">
        <f t="shared" si="5"/>
        <v>3.1232540723448426E-3</v>
      </c>
      <c r="H47" s="38">
        <f t="shared" si="6"/>
        <v>1.323403117037417</v>
      </c>
      <c r="I47" s="39">
        <f>H47/MAX($H$4:H47) - 1</f>
        <v>0</v>
      </c>
      <c r="J47" s="39"/>
      <c r="K47" s="38"/>
      <c r="L47" s="38"/>
      <c r="X47" s="60">
        <v>1.22565046151975E-2</v>
      </c>
      <c r="Y47" s="60">
        <v>1.21164846593862E-2</v>
      </c>
      <c r="Z47" s="60">
        <v>-1.1101181794070901E-3</v>
      </c>
      <c r="AA47" s="56">
        <f t="shared" si="7"/>
        <v>3.7697555193011573E-3</v>
      </c>
      <c r="AN47">
        <v>1.59344125063479E-2</v>
      </c>
      <c r="AO47">
        <v>4.7294606771688397E-3</v>
      </c>
      <c r="AP47">
        <v>7.6756891187503796E-3</v>
      </c>
      <c r="AQ47" s="56">
        <f t="shared" si="8"/>
        <v>7.3735263882193994E-3</v>
      </c>
      <c r="BD47">
        <v>-3.6310313108506902E-2</v>
      </c>
      <c r="BE47">
        <v>-1.6983800572715101E-2</v>
      </c>
      <c r="BF47" s="56">
        <f t="shared" si="9"/>
        <v>-2.7194500171501747E-2</v>
      </c>
      <c r="BS47">
        <v>1.3548095739876601E-2</v>
      </c>
      <c r="BT47">
        <v>-2.1834293319518801E-2</v>
      </c>
      <c r="BU47">
        <v>-1.49529083640688E-2</v>
      </c>
      <c r="BV47">
        <v>-3.1664313031336197E-2</v>
      </c>
      <c r="BW47" s="56">
        <f t="shared" si="10"/>
        <v>-3.0162123090579779E-3</v>
      </c>
      <c r="CJ47">
        <v>1.33456301198935E-2</v>
      </c>
      <c r="CK47">
        <v>-6.8813849554499899E-3</v>
      </c>
      <c r="CL47">
        <v>1.11463864357904E-2</v>
      </c>
      <c r="CM47" s="56">
        <f t="shared" si="11"/>
        <v>-4.5461476805262364E-3</v>
      </c>
    </row>
    <row r="48" spans="1:98" x14ac:dyDescent="0.2">
      <c r="A48" s="1">
        <v>39353</v>
      </c>
      <c r="B48" s="38">
        <f>Data!B46</f>
        <v>7.6803464512003039E-3</v>
      </c>
      <c r="C48" s="38">
        <f>Data!C46</f>
        <v>3.7853484747272459E-2</v>
      </c>
      <c r="D48" s="38">
        <f>Data!D46</f>
        <v>2.8791429527954548E-2</v>
      </c>
      <c r="E48" s="38">
        <f>Data!E46</f>
        <v>3.2292342383925199E-2</v>
      </c>
      <c r="F48" s="38">
        <f>Data!F46</f>
        <v>1.0064794230873364E-2</v>
      </c>
      <c r="G48" s="38">
        <f t="shared" si="5"/>
        <v>1.9010094072439004E-2</v>
      </c>
      <c r="H48" s="38">
        <f t="shared" si="6"/>
        <v>1.3485611347880571</v>
      </c>
      <c r="I48" s="39">
        <f>H48/MAX($H$4:H48) - 1</f>
        <v>0</v>
      </c>
      <c r="J48" s="39"/>
      <c r="K48" s="38"/>
      <c r="L48" s="38"/>
      <c r="X48" s="60">
        <v>7.5863415806631798E-3</v>
      </c>
      <c r="Y48" s="60">
        <v>2.2709756974772701E-2</v>
      </c>
      <c r="Z48" s="60">
        <v>1.68532278990106E-2</v>
      </c>
      <c r="AA48" s="56">
        <f t="shared" si="7"/>
        <v>3.1554193757310596E-3</v>
      </c>
      <c r="AN48">
        <v>4.1890197461662802E-2</v>
      </c>
      <c r="AO48">
        <v>7.5423621526020702E-3</v>
      </c>
      <c r="AP48">
        <v>-2.0233866446087299E-2</v>
      </c>
      <c r="AQ48" s="56">
        <f t="shared" si="8"/>
        <v>-8.1592875121804381E-3</v>
      </c>
      <c r="BD48">
        <v>8.0045742195005598E-2</v>
      </c>
      <c r="BE48">
        <v>1.5478596362732E-2</v>
      </c>
      <c r="BF48" s="56">
        <f t="shared" si="9"/>
        <v>-4.6972924830516113E-2</v>
      </c>
      <c r="BS48">
        <v>0.104411109460864</v>
      </c>
      <c r="BT48">
        <v>1.8790037969382799E-2</v>
      </c>
      <c r="BU48">
        <v>5.2881996361964197E-3</v>
      </c>
      <c r="BV48">
        <v>-5.6349190990199203E-3</v>
      </c>
      <c r="BW48" s="56">
        <f t="shared" si="10"/>
        <v>1.3383032138225878E-2</v>
      </c>
      <c r="CJ48">
        <v>8.8736013705232892E-3</v>
      </c>
      <c r="CK48">
        <v>1.3501838333186401E-2</v>
      </c>
      <c r="CL48">
        <v>2.4439569479673701E-2</v>
      </c>
      <c r="CM48" s="56">
        <f t="shared" si="11"/>
        <v>-2.0654227977871462E-4</v>
      </c>
    </row>
    <row r="49" spans="1:91" x14ac:dyDescent="0.2">
      <c r="A49" s="1">
        <v>39386</v>
      </c>
      <c r="B49" s="38">
        <f>Data!B47</f>
        <v>1.0102321154303651E-2</v>
      </c>
      <c r="C49" s="38">
        <f>Data!C47</f>
        <v>7.1336623042265623E-2</v>
      </c>
      <c r="D49" s="38">
        <f>Data!D47</f>
        <v>-1.8156305317648891E-2</v>
      </c>
      <c r="E49" s="38">
        <f>Data!E47</f>
        <v>3.2576309155573968E-2</v>
      </c>
      <c r="F49" s="38">
        <f>Data!F47</f>
        <v>1.4191868696696641E-2</v>
      </c>
      <c r="G49" s="38">
        <f t="shared" si="5"/>
        <v>2.3268449218462016E-2</v>
      </c>
      <c r="H49" s="38">
        <f t="shared" si="6"/>
        <v>1.3799400610708645</v>
      </c>
      <c r="I49" s="39">
        <f>H49/MAX($H$4:H49) - 1</f>
        <v>0</v>
      </c>
      <c r="J49" s="39"/>
      <c r="K49" s="38"/>
      <c r="L49" s="38"/>
      <c r="X49" s="60">
        <v>8.9828840648855691E-3</v>
      </c>
      <c r="Y49" s="60">
        <v>2.3838231600100498E-2</v>
      </c>
      <c r="Z49" s="60">
        <v>-2.92841222094009E-3</v>
      </c>
      <c r="AA49" s="56">
        <f t="shared" si="7"/>
        <v>3.3072183544221338E-3</v>
      </c>
      <c r="AN49">
        <v>3.4034179353612998E-2</v>
      </c>
      <c r="AO49">
        <v>3.3923203075998602E-2</v>
      </c>
      <c r="AP49">
        <v>1.27838716916484E-2</v>
      </c>
      <c r="AQ49" s="56">
        <f t="shared" si="8"/>
        <v>1.6295461662442751E-2</v>
      </c>
      <c r="BD49">
        <v>3.3336489654440103E-2</v>
      </c>
      <c r="BE49">
        <v>2.2589973291420502E-2</v>
      </c>
      <c r="BF49" s="56">
        <f t="shared" si="9"/>
        <v>-7.1340492590939053E-2</v>
      </c>
      <c r="BS49">
        <v>7.1543840774609901E-2</v>
      </c>
      <c r="BT49">
        <v>3.0656165055060799E-2</v>
      </c>
      <c r="BU49">
        <v>9.6536195957961403E-3</v>
      </c>
      <c r="BV49">
        <v>1.5021690124762E-2</v>
      </c>
      <c r="BW49" s="56">
        <f t="shared" si="10"/>
        <v>8.793024879075205E-3</v>
      </c>
      <c r="CJ49">
        <v>1.3770413510394E-2</v>
      </c>
      <c r="CK49">
        <v>2.10025454592646E-2</v>
      </c>
      <c r="CL49">
        <v>6.05447184394548E-3</v>
      </c>
      <c r="CM49" s="56">
        <f t="shared" si="11"/>
        <v>3.2925068549129813E-3</v>
      </c>
    </row>
    <row r="50" spans="1:91" x14ac:dyDescent="0.2">
      <c r="A50" s="1">
        <v>39416</v>
      </c>
      <c r="B50" s="38">
        <f>Data!B48</f>
        <v>1.7432646592709933E-2</v>
      </c>
      <c r="C50" s="38">
        <f>Data!C48</f>
        <v>-8.0204265545208764E-2</v>
      </c>
      <c r="D50" s="38">
        <f>Data!D48</f>
        <v>-7.5402067574619314E-2</v>
      </c>
      <c r="E50" s="38">
        <f>Data!E48</f>
        <v>-8.9239256490659669E-3</v>
      </c>
      <c r="F50" s="38">
        <f>Data!F48</f>
        <v>4.4004393161488187E-2</v>
      </c>
      <c r="G50" s="38">
        <f t="shared" si="5"/>
        <v>-7.829016345608706E-3</v>
      </c>
      <c r="H50" s="38">
        <f t="shared" si="6"/>
        <v>1.3691364877767804</v>
      </c>
      <c r="I50" s="39">
        <f>H50/MAX($H$4:H50) - 1</f>
        <v>-7.8290163456087303E-3</v>
      </c>
      <c r="J50" s="39"/>
      <c r="K50" s="38"/>
      <c r="L50" s="38"/>
      <c r="X50" s="60">
        <v>1.7983139882821401E-2</v>
      </c>
      <c r="Y50" s="60">
        <v>-3.70470325572259E-3</v>
      </c>
      <c r="Z50" s="60">
        <v>-3.8446789715949399E-2</v>
      </c>
      <c r="AA50" s="56">
        <f t="shared" si="7"/>
        <v>4.2506436701855704E-3</v>
      </c>
      <c r="AN50">
        <v>-3.68370443720114E-2</v>
      </c>
      <c r="AO50">
        <v>1.20365507880299E-2</v>
      </c>
      <c r="AP50">
        <v>-2.9999415934236801E-2</v>
      </c>
      <c r="AQ50" s="56">
        <f t="shared" si="8"/>
        <v>-3.9858932875880049E-2</v>
      </c>
      <c r="BD50">
        <v>-3.1361332870531E-2</v>
      </c>
      <c r="BE50">
        <v>-2.5234798615809701E-2</v>
      </c>
      <c r="BF50" s="56">
        <f t="shared" si="9"/>
        <v>-2.0031847685916981E-2</v>
      </c>
      <c r="BS50">
        <v>-1.6629016064256999E-2</v>
      </c>
      <c r="BT50">
        <v>-1.4675704327976101E-2</v>
      </c>
      <c r="BU50">
        <v>-9.3557817349954105E-3</v>
      </c>
      <c r="BV50">
        <v>1.2904033139819001E-2</v>
      </c>
      <c r="BW50" s="56">
        <f t="shared" si="10"/>
        <v>3.7407337606847058E-3</v>
      </c>
      <c r="CJ50">
        <v>4.6900558776188601E-2</v>
      </c>
      <c r="CK50">
        <v>-5.3199225929806398E-3</v>
      </c>
      <c r="CL50">
        <v>-2.0463649833128001E-2</v>
      </c>
      <c r="CM50" s="56">
        <f t="shared" si="11"/>
        <v>3.935458577265287E-3</v>
      </c>
    </row>
    <row r="51" spans="1:91" x14ac:dyDescent="0.2">
      <c r="A51" s="1">
        <v>39447</v>
      </c>
      <c r="B51" s="38">
        <f>Data!B49</f>
        <v>2.8346103112457666E-3</v>
      </c>
      <c r="C51" s="38">
        <f>Data!C49</f>
        <v>1.5131722185935059E-2</v>
      </c>
      <c r="D51" s="38">
        <f>Data!D49</f>
        <v>-4.563643389568528E-2</v>
      </c>
      <c r="E51" s="38">
        <f>Data!E49</f>
        <v>9.8463949227847181E-3</v>
      </c>
      <c r="F51" s="38">
        <f>Data!F49</f>
        <v>-2.008935644348564E-3</v>
      </c>
      <c r="G51" s="38">
        <f t="shared" si="5"/>
        <v>1.8263973190759926E-4</v>
      </c>
      <c r="H51" s="38">
        <f t="shared" si="6"/>
        <v>1.369386546497853</v>
      </c>
      <c r="I51" s="39">
        <f>H51/MAX($H$4:H51) - 1</f>
        <v>-7.6478065031475584E-3</v>
      </c>
      <c r="J51" s="39"/>
      <c r="K51" s="38"/>
      <c r="L51" s="38"/>
      <c r="X51" s="60">
        <v>2.8087645065066899E-3</v>
      </c>
      <c r="Y51" s="60">
        <v>6.2302994483847103E-3</v>
      </c>
      <c r="Z51" s="60">
        <v>1.2305996429651199E-4</v>
      </c>
      <c r="AA51" s="56">
        <f t="shared" si="7"/>
        <v>8.4654170489660997E-4</v>
      </c>
      <c r="AN51">
        <v>-3.6159777309874301E-3</v>
      </c>
      <c r="AO51">
        <v>6.0546061181483398E-3</v>
      </c>
      <c r="AP51">
        <v>6.3138124493357104E-3</v>
      </c>
      <c r="AQ51" s="56">
        <f t="shared" si="8"/>
        <v>1.5276108966821121E-2</v>
      </c>
      <c r="BD51">
        <v>4.6323291221250298E-2</v>
      </c>
      <c r="BE51">
        <v>-2.68164478682709E-3</v>
      </c>
      <c r="BF51" s="56">
        <f t="shared" si="9"/>
        <v>-7.3886657078721121E-2</v>
      </c>
      <c r="BS51">
        <v>6.4003573479676001E-2</v>
      </c>
      <c r="BT51">
        <v>3.3379196444245402E-3</v>
      </c>
      <c r="BU51">
        <v>-3.0985504013767398E-3</v>
      </c>
      <c r="BV51">
        <v>1.2219170967191301E-2</v>
      </c>
      <c r="BW51" s="56">
        <f t="shared" si="10"/>
        <v>5.0349436024991132E-3</v>
      </c>
      <c r="CJ51">
        <v>-4.6936913288584403E-3</v>
      </c>
      <c r="CK51">
        <v>6.43647004580128E-3</v>
      </c>
      <c r="CL51">
        <v>2.9318244708031998E-3</v>
      </c>
      <c r="CM51" s="56">
        <f t="shared" si="11"/>
        <v>2.5863639995979681E-3</v>
      </c>
    </row>
    <row r="52" spans="1:91" x14ac:dyDescent="0.2">
      <c r="A52" s="1">
        <v>39478</v>
      </c>
      <c r="B52" s="38">
        <f>Data!B50</f>
        <v>1.8456845404679401E-2</v>
      </c>
      <c r="C52" s="38">
        <f>Data!C50</f>
        <v>-0.12504021447721181</v>
      </c>
      <c r="D52" s="38">
        <f>Data!D50</f>
        <v>9.2744481175928595E-2</v>
      </c>
      <c r="E52" s="38">
        <f>Data!E50</f>
        <v>1.0826494312505597E-2</v>
      </c>
      <c r="F52" s="38">
        <f>Data!F50</f>
        <v>4.5834973774114385E-2</v>
      </c>
      <c r="G52" s="38">
        <f t="shared" si="5"/>
        <v>1.9973305660793365E-3</v>
      </c>
      <c r="H52" s="38">
        <f t="shared" si="6"/>
        <v>1.3721216641039511</v>
      </c>
      <c r="I52" s="39">
        <f>H52/MAX($H$4:H52) - 1</f>
        <v>-5.6657511347603107E-3</v>
      </c>
      <c r="J52" s="39"/>
      <c r="K52" s="38"/>
      <c r="L52" s="38"/>
      <c r="X52" s="60">
        <v>1.67981472099588E-2</v>
      </c>
      <c r="Y52" s="60">
        <v>8.4432588531850906E-3</v>
      </c>
      <c r="Z52" s="60">
        <v>-3.0385269319711899E-2</v>
      </c>
      <c r="AA52" s="56">
        <f t="shared" si="7"/>
        <v>5.9053595806673759E-3</v>
      </c>
      <c r="AN52">
        <v>-7.7976795890217304E-2</v>
      </c>
      <c r="AO52">
        <v>-3.7924347016984598E-2</v>
      </c>
      <c r="AP52">
        <v>-8.2128785200686893E-3</v>
      </c>
      <c r="AQ52" s="56">
        <f t="shared" si="8"/>
        <v>-2.0599380929640018E-2</v>
      </c>
      <c r="BD52">
        <v>4.2236773610235798E-2</v>
      </c>
      <c r="BE52">
        <v>-2.5282621069873699E-2</v>
      </c>
      <c r="BF52" s="56">
        <f t="shared" si="9"/>
        <v>9.7586307270014369E-2</v>
      </c>
      <c r="BS52">
        <v>0.11083123425692699</v>
      </c>
      <c r="BT52">
        <v>-2.8342341803256801E-2</v>
      </c>
      <c r="BU52">
        <v>-1.54230609839677E-2</v>
      </c>
      <c r="BV52">
        <v>1.5242318009432401E-2</v>
      </c>
      <c r="BW52" s="56">
        <f t="shared" si="10"/>
        <v>2.1025901586063826E-2</v>
      </c>
      <c r="CJ52">
        <v>4.7007554112690003E-2</v>
      </c>
      <c r="CK52">
        <v>-1.29192808192891E-2</v>
      </c>
      <c r="CL52">
        <v>-1.3587122109753101E-2</v>
      </c>
      <c r="CM52" s="56">
        <f t="shared" si="11"/>
        <v>3.649581125131203E-3</v>
      </c>
    </row>
    <row r="53" spans="1:91" x14ac:dyDescent="0.2">
      <c r="A53" s="1">
        <v>39507</v>
      </c>
      <c r="B53" s="38">
        <f>Data!B51</f>
        <v>1.6487366555373306E-4</v>
      </c>
      <c r="C53" s="38">
        <f>Data!C51</f>
        <v>-4.0446133104547144E-2</v>
      </c>
      <c r="D53" s="38">
        <f>Data!D51</f>
        <v>0.14480769746448785</v>
      </c>
      <c r="E53" s="38">
        <f>Data!E51</f>
        <v>4.2192467737109718E-2</v>
      </c>
      <c r="F53" s="38">
        <f>Data!F51</f>
        <v>1.8889347646573018E-2</v>
      </c>
      <c r="G53" s="38">
        <f t="shared" si="5"/>
        <v>1.4617375421843198E-2</v>
      </c>
      <c r="H53" s="38">
        <f t="shared" si="6"/>
        <v>1.3921784815926028</v>
      </c>
      <c r="I53" s="39">
        <f>H53/MAX($H$4:H53) - 1</f>
        <v>0</v>
      </c>
      <c r="J53" s="39"/>
      <c r="K53" s="38"/>
      <c r="L53" s="38"/>
      <c r="X53" s="60">
        <v>1.3879892662163099E-3</v>
      </c>
      <c r="Y53" s="60">
        <v>-1.67451342037572E-3</v>
      </c>
      <c r="Z53" s="60">
        <v>-1.3260944017200099E-2</v>
      </c>
      <c r="AA53" s="56">
        <f t="shared" si="7"/>
        <v>-1.4981940575809736E-3</v>
      </c>
      <c r="AN53">
        <v>-1.9860994839332E-2</v>
      </c>
      <c r="AO53">
        <v>2.2037328694160099E-2</v>
      </c>
      <c r="AP53">
        <v>-4.5811369785929701E-3</v>
      </c>
      <c r="AQ53" s="56">
        <f t="shared" si="8"/>
        <v>-2.774276031730771E-2</v>
      </c>
      <c r="BD53">
        <v>0.122839807994616</v>
      </c>
      <c r="BE53">
        <v>4.0779079798907202E-3</v>
      </c>
      <c r="BF53" s="56">
        <f t="shared" si="9"/>
        <v>5.4901758627883254E-2</v>
      </c>
      <c r="BS53">
        <v>5.16142965122557E-2</v>
      </c>
      <c r="BT53">
        <v>1.24068771589985E-2</v>
      </c>
      <c r="BU53">
        <v>1.33293003452024E-2</v>
      </c>
      <c r="BV53">
        <v>4.5575744098495602E-2</v>
      </c>
      <c r="BW53" s="56">
        <f t="shared" si="10"/>
        <v>2.2030281684357195E-2</v>
      </c>
      <c r="CJ53">
        <v>1.8790070590211101E-2</v>
      </c>
      <c r="CK53">
        <v>-9.2242318620394702E-4</v>
      </c>
      <c r="CL53">
        <v>-1.1872954750983799E-2</v>
      </c>
      <c r="CM53" s="56">
        <f t="shared" si="11"/>
        <v>3.5650713547212502E-3</v>
      </c>
    </row>
    <row r="54" spans="1:91" x14ac:dyDescent="0.2">
      <c r="A54" s="1">
        <v>39538</v>
      </c>
      <c r="B54" s="38">
        <f>Data!B52</f>
        <v>5.6185177553402799E-3</v>
      </c>
      <c r="C54" s="38">
        <f>Data!C52</f>
        <v>9.4520372972282107E-3</v>
      </c>
      <c r="D54" s="38">
        <f>Data!D52</f>
        <v>-4.6352863515858767E-2</v>
      </c>
      <c r="E54" s="38">
        <f>Data!E52</f>
        <v>-1.221171641582508E-2</v>
      </c>
      <c r="F54" s="38">
        <f>Data!F52</f>
        <v>6.793518744748539E-3</v>
      </c>
      <c r="G54" s="38">
        <f t="shared" si="5"/>
        <v>-1.2252937999082843E-4</v>
      </c>
      <c r="H54" s="38">
        <f t="shared" si="6"/>
        <v>1.3920078988264168</v>
      </c>
      <c r="I54" s="39">
        <f>H54/MAX($H$4:H54) - 1</f>
        <v>-1.2252937999068791E-4</v>
      </c>
      <c r="J54" s="39"/>
      <c r="K54" s="38"/>
      <c r="L54" s="38"/>
      <c r="X54" s="60">
        <v>3.4118533471703101E-3</v>
      </c>
      <c r="Y54" s="60">
        <v>-4.1325327564001302E-4</v>
      </c>
      <c r="Z54" s="60">
        <v>-8.60432201001393E-3</v>
      </c>
      <c r="AA54" s="56">
        <f t="shared" si="7"/>
        <v>3.0109502085445641E-3</v>
      </c>
      <c r="AN54">
        <v>-6.0885267919185103E-3</v>
      </c>
      <c r="AO54">
        <v>1.4310134315653801E-3</v>
      </c>
      <c r="AP54">
        <v>8.50696953109043E-3</v>
      </c>
      <c r="AQ54" s="56">
        <f t="shared" si="8"/>
        <v>1.4027593773058481E-2</v>
      </c>
      <c r="BD54">
        <v>-6.3420230138012595E-2</v>
      </c>
      <c r="BE54">
        <v>-1.41338359233302E-2</v>
      </c>
      <c r="BF54" s="56">
        <f t="shared" si="9"/>
        <v>1.6181021500965009E-2</v>
      </c>
      <c r="BS54">
        <v>-5.8527569565663899E-2</v>
      </c>
      <c r="BT54">
        <v>-2.5935990429313799E-2</v>
      </c>
      <c r="BU54">
        <v>-6.0066705310083401E-3</v>
      </c>
      <c r="BV54">
        <v>-2.4109025855368699E-2</v>
      </c>
      <c r="BW54" s="56">
        <f t="shared" si="10"/>
        <v>6.5206283120234389E-3</v>
      </c>
      <c r="CJ54">
        <v>7.0818861482309101E-3</v>
      </c>
      <c r="CK54">
        <v>-1.99293198983055E-2</v>
      </c>
      <c r="CL54">
        <v>-5.1924686628436198E-3</v>
      </c>
      <c r="CM54" s="56">
        <f t="shared" si="11"/>
        <v>-1.2730280710868784E-3</v>
      </c>
    </row>
    <row r="55" spans="1:91" x14ac:dyDescent="0.2">
      <c r="A55" s="1">
        <v>39568</v>
      </c>
      <c r="B55" s="38">
        <f>Data!B53</f>
        <v>9.5623189989635371E-4</v>
      </c>
      <c r="C55" s="38">
        <f>Data!C53</f>
        <v>6.9214222447171903E-2</v>
      </c>
      <c r="D55" s="38">
        <f>Data!D53</f>
        <v>-1.4643393837627583E-2</v>
      </c>
      <c r="E55" s="38">
        <f>Data!E53</f>
        <v>-3.2812755284550299E-4</v>
      </c>
      <c r="F55" s="38">
        <f>Data!F53</f>
        <v>-2.8683551646374372E-2</v>
      </c>
      <c r="G55" s="38">
        <f t="shared" si="5"/>
        <v>6.1132704854364329E-3</v>
      </c>
      <c r="H55" s="38">
        <f t="shared" si="6"/>
        <v>1.4005176196298068</v>
      </c>
      <c r="I55" s="39">
        <f>H55/MAX($H$4:H55) - 1</f>
        <v>0</v>
      </c>
      <c r="J55" s="39"/>
      <c r="K55" s="38"/>
      <c r="L55" s="38"/>
      <c r="X55" s="60">
        <v>-2.08973832225889E-3</v>
      </c>
      <c r="Y55" s="60">
        <v>1.01167315175097E-2</v>
      </c>
      <c r="Z55" s="60">
        <v>4.3746803771141901E-2</v>
      </c>
      <c r="AA55" s="56">
        <f t="shared" si="7"/>
        <v>4.7217965268307426E-3</v>
      </c>
      <c r="AN55">
        <v>5.2500067033054897E-2</v>
      </c>
      <c r="AO55">
        <v>3.7542386036695202E-3</v>
      </c>
      <c r="AP55">
        <v>-6.8327653463211603E-3</v>
      </c>
      <c r="AQ55" s="56">
        <f t="shared" si="8"/>
        <v>1.089723150450659E-2</v>
      </c>
      <c r="BD55">
        <v>3.5635901871284903E-2</v>
      </c>
      <c r="BE55">
        <v>1.00005550063813E-2</v>
      </c>
      <c r="BF55" s="56">
        <f t="shared" si="9"/>
        <v>-5.2539745490528318E-2</v>
      </c>
      <c r="BS55">
        <v>-4.29163485658196E-2</v>
      </c>
      <c r="BT55">
        <v>9.7373502364541693E-3</v>
      </c>
      <c r="BU55">
        <v>-4.1186373351576001E-3</v>
      </c>
      <c r="BV55">
        <v>-2.4249927979682201E-2</v>
      </c>
      <c r="BW55" s="56">
        <f t="shared" si="10"/>
        <v>4.3816657865121122E-3</v>
      </c>
      <c r="CJ55">
        <v>-3.33132639282646E-2</v>
      </c>
      <c r="CK55">
        <v>1.38559875716118E-2</v>
      </c>
      <c r="CL55">
        <v>4.1657065448883E-2</v>
      </c>
      <c r="CM55" s="56">
        <f t="shared" si="11"/>
        <v>-3.2692222414514097E-3</v>
      </c>
    </row>
    <row r="56" spans="1:91" x14ac:dyDescent="0.2">
      <c r="A56" s="1">
        <v>39598</v>
      </c>
      <c r="B56" s="38">
        <f>Data!B54</f>
        <v>-5.302017086551869E-3</v>
      </c>
      <c r="C56" s="38">
        <f>Data!C54</f>
        <v>5.5621301775147902E-2</v>
      </c>
      <c r="D56" s="38">
        <f>Data!D54</f>
        <v>-6.7939604204954152E-2</v>
      </c>
      <c r="E56" s="38">
        <f>Data!E54</f>
        <v>1.20455535578603E-2</v>
      </c>
      <c r="F56" s="38">
        <f>Data!F54</f>
        <v>5.3625511118151614E-3</v>
      </c>
      <c r="G56" s="38">
        <f t="shared" si="5"/>
        <v>5.57381653845322E-3</v>
      </c>
      <c r="H56" s="38">
        <f t="shared" si="6"/>
        <v>1.4083238479004945</v>
      </c>
      <c r="I56" s="39">
        <f>H56/MAX($H$4:H56) - 1</f>
        <v>0</v>
      </c>
      <c r="J56" s="39"/>
      <c r="K56" s="38"/>
      <c r="L56" s="38"/>
      <c r="X56" s="60">
        <v>-7.3329500039042202E-3</v>
      </c>
      <c r="Y56" s="60">
        <v>1.22785053929109E-3</v>
      </c>
      <c r="Z56" s="60">
        <v>1.16164593309275E-2</v>
      </c>
      <c r="AA56" s="56">
        <f t="shared" si="7"/>
        <v>-1.9542131932631483E-4</v>
      </c>
      <c r="AN56">
        <v>3.6653489461042903E-2</v>
      </c>
      <c r="AO56">
        <v>3.82398780861282E-2</v>
      </c>
      <c r="AP56">
        <v>3.2984151395984498E-2</v>
      </c>
      <c r="AQ56" s="56">
        <f t="shared" si="8"/>
        <v>-7.774222071385839E-3</v>
      </c>
      <c r="BD56">
        <v>2.73399597395136E-2</v>
      </c>
      <c r="BE56">
        <v>1.5184348414409601E-2</v>
      </c>
      <c r="BF56" s="56">
        <f t="shared" si="9"/>
        <v>-0.10707893165989471</v>
      </c>
      <c r="BS56">
        <v>1.01988490684293E-2</v>
      </c>
      <c r="BT56">
        <v>1.84622815983875E-2</v>
      </c>
      <c r="BU56">
        <v>5.7464236497848402E-3</v>
      </c>
      <c r="BV56">
        <v>1.0866501792561999E-2</v>
      </c>
      <c r="BW56" s="56">
        <f t="shared" si="10"/>
        <v>6.1005945658653728E-4</v>
      </c>
      <c r="CJ56">
        <v>7.1172010110416304E-3</v>
      </c>
      <c r="CK56">
        <v>1.27158579486026E-2</v>
      </c>
      <c r="CL56">
        <v>4.2835093270232596E-3</v>
      </c>
      <c r="CM56" s="56">
        <f t="shared" si="11"/>
        <v>-2.2460240013032554E-4</v>
      </c>
    </row>
    <row r="57" spans="1:91" x14ac:dyDescent="0.2">
      <c r="A57" s="1">
        <v>39629</v>
      </c>
      <c r="B57" s="38">
        <f>Data!B55</f>
        <v>-5.6938622908531134E-4</v>
      </c>
      <c r="C57" s="38">
        <f>Data!C55</f>
        <v>-9.2488789237668123E-2</v>
      </c>
      <c r="D57" s="38">
        <f>Data!D55</f>
        <v>4.7934880916490785E-2</v>
      </c>
      <c r="E57" s="38">
        <f>Data!E55</f>
        <v>1.1923114538996415E-2</v>
      </c>
      <c r="F57" s="38">
        <f>Data!F55</f>
        <v>1.5995781332395875E-2</v>
      </c>
      <c r="G57" s="38">
        <f t="shared" si="5"/>
        <v>-9.5253613761337175E-3</v>
      </c>
      <c r="H57" s="38">
        <f t="shared" si="6"/>
        <v>1.3949090543146152</v>
      </c>
      <c r="I57" s="39">
        <f>H57/MAX($H$4:H57) - 1</f>
        <v>-9.5253613761336897E-3</v>
      </c>
      <c r="J57" s="39"/>
      <c r="K57" s="38"/>
      <c r="L57" s="38"/>
      <c r="X57" s="60">
        <v>-8.0807791873460698E-4</v>
      </c>
      <c r="Y57" s="60">
        <v>-1.9260826700651702E-2</v>
      </c>
      <c r="Z57" s="60">
        <v>-2.59865014228901E-2</v>
      </c>
      <c r="AA57" s="56">
        <f t="shared" si="7"/>
        <v>-8.9305619489823788E-4</v>
      </c>
      <c r="AN57">
        <v>-7.2021968817797002E-2</v>
      </c>
      <c r="AO57">
        <v>2.3699765745936099E-2</v>
      </c>
      <c r="AP57">
        <v>7.3160254268300803E-3</v>
      </c>
      <c r="AQ57" s="56">
        <f t="shared" si="8"/>
        <v>-2.5173045722521784E-2</v>
      </c>
      <c r="BD57">
        <v>9.0990040622232204E-2</v>
      </c>
      <c r="BE57">
        <v>-1.5989686471403301E-2</v>
      </c>
      <c r="BF57" s="56">
        <f t="shared" si="9"/>
        <v>6.8114131200443448E-3</v>
      </c>
      <c r="BS57">
        <v>4.3880428652002298E-2</v>
      </c>
      <c r="BT57">
        <v>-8.0813378074526803E-3</v>
      </c>
      <c r="BU57">
        <v>-1.8010987760349599E-3</v>
      </c>
      <c r="BV57">
        <v>5.9907207281899202E-2</v>
      </c>
      <c r="BW57" s="56">
        <f t="shared" si="10"/>
        <v>9.767804900513875E-3</v>
      </c>
      <c r="CJ57">
        <v>1.5442717245768499E-2</v>
      </c>
      <c r="CK57">
        <v>-6.2802390314177199E-3</v>
      </c>
      <c r="CL57">
        <v>-2.67945793416247E-2</v>
      </c>
      <c r="CM57" s="56">
        <f t="shared" si="11"/>
        <v>5.414298396731989E-3</v>
      </c>
    </row>
    <row r="58" spans="1:91" x14ac:dyDescent="0.2">
      <c r="A58" s="1">
        <v>39660</v>
      </c>
      <c r="B58" s="38">
        <f>Data!B56</f>
        <v>-1.3933886112790228E-3</v>
      </c>
      <c r="C58" s="38">
        <f>Data!C56</f>
        <v>-1.2476837554045717E-2</v>
      </c>
      <c r="D58" s="38">
        <f>Data!D56</f>
        <v>-5.8785589665540705E-2</v>
      </c>
      <c r="E58" s="38">
        <f>Data!E56</f>
        <v>-2.6237454050332176E-2</v>
      </c>
      <c r="F58" s="38">
        <f>Data!F56</f>
        <v>-8.340293521059472E-3</v>
      </c>
      <c r="G58" s="38">
        <f t="shared" si="5"/>
        <v>-1.3444821848140625E-2</v>
      </c>
      <c r="H58" s="38">
        <f t="shared" si="6"/>
        <v>1.3761547505849969</v>
      </c>
      <c r="I58" s="39">
        <f>H58/MAX($H$4:H58) - 1</f>
        <v>-2.2842116437532978E-2</v>
      </c>
      <c r="J58" s="39"/>
      <c r="K58" s="38"/>
      <c r="L58" s="38"/>
      <c r="X58" s="60">
        <v>-8.1588835212031995E-4</v>
      </c>
      <c r="Y58" s="60">
        <v>1.1131270534006799E-2</v>
      </c>
      <c r="Z58" s="60">
        <v>-1.52110386685207E-2</v>
      </c>
      <c r="AA58" s="56">
        <f t="shared" si="7"/>
        <v>-2.5533367976513246E-3</v>
      </c>
      <c r="AN58">
        <v>-1.9012315578744301E-2</v>
      </c>
      <c r="AO58">
        <v>-1.5401811486000099E-2</v>
      </c>
      <c r="AP58">
        <v>4.5412567982266998E-2</v>
      </c>
      <c r="AQ58" s="56">
        <f t="shared" si="8"/>
        <v>7.5124818254228877E-3</v>
      </c>
      <c r="BD58">
        <v>-0.118542414564656</v>
      </c>
      <c r="BE58">
        <v>-1.43163053221821E-2</v>
      </c>
      <c r="BF58" s="56">
        <f t="shared" si="9"/>
        <v>4.1884622733861954E-2</v>
      </c>
      <c r="BS58">
        <v>-1.22109358115409E-2</v>
      </c>
      <c r="BT58">
        <v>-2.6122942477532701E-2</v>
      </c>
      <c r="BU58">
        <v>-1.7971957154108702E-2</v>
      </c>
      <c r="BV58">
        <v>-2.00392483759309E-2</v>
      </c>
      <c r="BW58" s="56">
        <f t="shared" si="10"/>
        <v>-2.6695843467412425E-3</v>
      </c>
      <c r="CJ58">
        <v>-9.2004044393724192E-3</v>
      </c>
      <c r="CK58">
        <v>-8.1509853234239503E-3</v>
      </c>
      <c r="CL58">
        <v>-1.6026927020640999E-2</v>
      </c>
      <c r="CM58" s="56">
        <f t="shared" si="11"/>
        <v>1.5564596417086251E-3</v>
      </c>
    </row>
    <row r="59" spans="1:91" x14ac:dyDescent="0.2">
      <c r="A59" s="1">
        <v>39689</v>
      </c>
      <c r="B59" s="38">
        <f>Data!B57</f>
        <v>1.2509880743719393E-2</v>
      </c>
      <c r="C59" s="38">
        <f>Data!C57</f>
        <v>2.1391043282461997E-2</v>
      </c>
      <c r="D59" s="38">
        <f>Data!D57</f>
        <v>-6.2854029964060754E-2</v>
      </c>
      <c r="E59" s="38">
        <f>Data!E57</f>
        <v>-1.1787224054501944E-2</v>
      </c>
      <c r="F59" s="38">
        <f>Data!F57</f>
        <v>1.2032101647194704E-2</v>
      </c>
      <c r="G59" s="38">
        <f t="shared" si="5"/>
        <v>4.4893670055592017E-3</v>
      </c>
      <c r="H59" s="38">
        <f t="shared" si="6"/>
        <v>1.3823328143168168</v>
      </c>
      <c r="I59" s="39">
        <f>H59/MAX($H$4:H59) - 1</f>
        <v>-1.8455296075845506E-2</v>
      </c>
      <c r="J59" s="39"/>
      <c r="K59" s="38"/>
      <c r="L59" s="38"/>
      <c r="X59" s="60">
        <v>9.4906561803869104E-3</v>
      </c>
      <c r="Y59" s="60">
        <v>8.0746847720660798E-3</v>
      </c>
      <c r="Z59" s="60">
        <v>-6.2633825818201299E-3</v>
      </c>
      <c r="AA59" s="56">
        <f t="shared" si="7"/>
        <v>6.006331695643091E-3</v>
      </c>
      <c r="AN59">
        <v>1.0767427405425301E-2</v>
      </c>
      <c r="AO59">
        <v>-6.22046026783618E-3</v>
      </c>
      <c r="AP59">
        <v>2.1679028818660101E-2</v>
      </c>
      <c r="AQ59" s="56">
        <f t="shared" si="8"/>
        <v>8.5713088519834921E-3</v>
      </c>
      <c r="BD59">
        <v>-7.2841922156990702E-2</v>
      </c>
      <c r="BE59">
        <v>-5.0456983866700202E-3</v>
      </c>
      <c r="BF59" s="56">
        <f t="shared" si="9"/>
        <v>-6.0206705171477123E-3</v>
      </c>
      <c r="BS59">
        <v>-9.0744995077125107E-2</v>
      </c>
      <c r="BT59">
        <v>-1.38977807261679E-2</v>
      </c>
      <c r="BU59">
        <v>-1.2457661602195601E-2</v>
      </c>
      <c r="BV59">
        <v>-3.6208466341929098E-2</v>
      </c>
      <c r="BW59" s="56">
        <f t="shared" si="10"/>
        <v>1.1300774269809754E-2</v>
      </c>
      <c r="CJ59">
        <v>1.31947221111555E-2</v>
      </c>
      <c r="CK59">
        <v>-1.4401191239722399E-3</v>
      </c>
      <c r="CL59">
        <v>3.22727359856678E-3</v>
      </c>
      <c r="CM59" s="56">
        <f t="shared" si="11"/>
        <v>-6.5274717377868108E-4</v>
      </c>
    </row>
    <row r="60" spans="1:91" x14ac:dyDescent="0.2">
      <c r="A60" s="1">
        <v>39721</v>
      </c>
      <c r="B60" s="38">
        <f>Data!B58</f>
        <v>7.5218084925834372E-3</v>
      </c>
      <c r="C60" s="38">
        <f>Data!C58</f>
        <v>-0.12725045927740353</v>
      </c>
      <c r="D60" s="38">
        <f>Data!D58</f>
        <v>-0.1329293216233064</v>
      </c>
      <c r="E60" s="38">
        <f>Data!E58</f>
        <v>-1.2144327791636989E-2</v>
      </c>
      <c r="F60" s="38">
        <f>Data!F58</f>
        <v>-4.1338231622498833E-2</v>
      </c>
      <c r="G60" s="38">
        <f t="shared" si="5"/>
        <v>-4.7948946932883207E-2</v>
      </c>
      <c r="H60" s="38">
        <f t="shared" si="6"/>
        <v>1.3160514115595565</v>
      </c>
      <c r="I60" s="39">
        <f>H60/MAX($H$4:H60) - 1</f>
        <v>-6.551933099655749E-2</v>
      </c>
      <c r="J60" s="39"/>
      <c r="K60" s="38"/>
      <c r="L60" s="38"/>
      <c r="X60" s="60">
        <v>-1.34316285406141E-2</v>
      </c>
      <c r="Y60" s="60">
        <v>-6.8433839270680599E-2</v>
      </c>
      <c r="Z60" s="60">
        <v>-6.9542294139341695E-2</v>
      </c>
      <c r="AA60" s="56">
        <f t="shared" si="7"/>
        <v>1.4241584066814153E-2</v>
      </c>
      <c r="AN60">
        <v>-0.115804624848029</v>
      </c>
      <c r="AO60">
        <v>-4.2334276305783798E-2</v>
      </c>
      <c r="AP60">
        <v>9.4270843044443903E-3</v>
      </c>
      <c r="AQ60" s="56">
        <f t="shared" si="8"/>
        <v>1.776539906581065E-2</v>
      </c>
      <c r="BD60">
        <v>-0.115279212429117</v>
      </c>
      <c r="BE60">
        <v>-6.0063508319736503E-2</v>
      </c>
      <c r="BF60" s="56">
        <f t="shared" si="9"/>
        <v>2.6794121628353956E-2</v>
      </c>
      <c r="BS60">
        <v>4.7885459904951001E-2</v>
      </c>
      <c r="BT60">
        <v>-6.5295530508631502E-2</v>
      </c>
      <c r="BU60">
        <v>-6.3147057827476196E-3</v>
      </c>
      <c r="BV60">
        <v>7.7036919078825603E-3</v>
      </c>
      <c r="BW60" s="56">
        <f t="shared" si="10"/>
        <v>8.6549575341309977E-3</v>
      </c>
      <c r="CJ60">
        <v>-4.6319311100378097E-2</v>
      </c>
      <c r="CK60">
        <v>-5.8980824725883799E-2</v>
      </c>
      <c r="CL60">
        <v>-8.2973922679955694E-2</v>
      </c>
      <c r="CM60" s="56">
        <f t="shared" si="11"/>
        <v>6.6447209243578054E-3</v>
      </c>
    </row>
    <row r="61" spans="1:91" x14ac:dyDescent="0.2">
      <c r="A61" s="1">
        <v>39752</v>
      </c>
      <c r="B61" s="38">
        <f>Data!B59</f>
        <v>-1.2566284624662361E-2</v>
      </c>
      <c r="C61" s="38">
        <f>Data!C59</f>
        <v>-0.17793993825428023</v>
      </c>
      <c r="D61" s="38">
        <f>Data!D59</f>
        <v>-0.26884656103916593</v>
      </c>
      <c r="E61" s="38">
        <f>Data!E59</f>
        <v>1.6317118143144516E-2</v>
      </c>
      <c r="F61" s="38">
        <f>Data!F59</f>
        <v>-9.4290249770568213E-2</v>
      </c>
      <c r="G61" s="38">
        <f t="shared" si="5"/>
        <v>-8.8834820430874067E-2</v>
      </c>
      <c r="H61" s="38">
        <f t="shared" si="6"/>
        <v>1.199140220735865</v>
      </c>
      <c r="I61" s="39">
        <f>H61/MAX($H$4:H61) - 1</f>
        <v>-0.14853375342360131</v>
      </c>
      <c r="J61" s="39"/>
      <c r="K61" s="38"/>
      <c r="L61" s="38"/>
      <c r="X61" s="60">
        <v>-2.3604208769948998E-2</v>
      </c>
      <c r="Y61" s="60">
        <v>-0.148910349101425</v>
      </c>
      <c r="Z61" s="60">
        <v>-0.13937960384583101</v>
      </c>
      <c r="AA61" s="56">
        <f t="shared" si="7"/>
        <v>-4.5395397382239425E-4</v>
      </c>
      <c r="AN61">
        <v>-0.17605926158179799</v>
      </c>
      <c r="AO61">
        <v>-2.9459230305323202E-3</v>
      </c>
      <c r="AP61">
        <v>-4.0081752802784601E-2</v>
      </c>
      <c r="AQ61" s="56">
        <f t="shared" si="8"/>
        <v>2.4238104851218384E-2</v>
      </c>
      <c r="BD61">
        <v>-0.21283224323004199</v>
      </c>
      <c r="BE61">
        <v>-8.1909506896957196E-2</v>
      </c>
      <c r="BF61" s="56">
        <f t="shared" si="9"/>
        <v>-1.2792339368641825E-2</v>
      </c>
      <c r="BS61">
        <v>-0.16889603306734</v>
      </c>
      <c r="BT61">
        <v>-5.71962731304606E-2</v>
      </c>
      <c r="BU61">
        <v>2.3115465795631999E-2</v>
      </c>
      <c r="BV61">
        <v>7.3364066075285894E-2</v>
      </c>
      <c r="BW61" s="56">
        <f t="shared" si="10"/>
        <v>2.9142761203421949E-2</v>
      </c>
      <c r="CJ61">
        <v>-7.6398581963264295E-2</v>
      </c>
      <c r="CK61">
        <v>-8.0311738926092599E-2</v>
      </c>
      <c r="CL61">
        <v>-0.16298381261577999</v>
      </c>
      <c r="CM61" s="56">
        <f t="shared" si="11"/>
        <v>-8.9373122916824865E-3</v>
      </c>
    </row>
    <row r="62" spans="1:91" x14ac:dyDescent="0.2">
      <c r="A62" s="1">
        <v>39780</v>
      </c>
      <c r="B62" s="38">
        <f>Data!B60</f>
        <v>3.9284057100745118E-2</v>
      </c>
      <c r="C62" s="38">
        <f>Data!C60</f>
        <v>-0.11283714578354387</v>
      </c>
      <c r="D62" s="38">
        <f>Data!D60</f>
        <v>-0.10498954460966547</v>
      </c>
      <c r="E62" s="38">
        <f>Data!E60</f>
        <v>7.3284540037825696E-3</v>
      </c>
      <c r="F62" s="38">
        <f>Data!F60</f>
        <v>1.5157946625405705E-2</v>
      </c>
      <c r="G62" s="38">
        <f t="shared" si="5"/>
        <v>-1.527547273407181E-2</v>
      </c>
      <c r="H62" s="38">
        <f t="shared" si="6"/>
        <v>1.1808227869896855</v>
      </c>
      <c r="I62" s="39">
        <f>H62/MAX($H$4:H62) - 1</f>
        <v>-0.16154030285716159</v>
      </c>
      <c r="J62" s="39"/>
      <c r="K62" s="38"/>
      <c r="L62" s="38"/>
      <c r="X62" s="60">
        <v>3.2549848631050302E-2</v>
      </c>
      <c r="Y62" s="60">
        <v>2.4786869330420701E-2</v>
      </c>
      <c r="Z62" s="60">
        <v>-0.11687285675966</v>
      </c>
      <c r="AA62" s="56">
        <f t="shared" si="7"/>
        <v>1.0473609873009999E-2</v>
      </c>
      <c r="AN62">
        <v>-7.9529317520706203E-2</v>
      </c>
      <c r="AO62">
        <v>-7.8204886478645506E-3</v>
      </c>
      <c r="AP62">
        <v>-4.6531929123046302E-2</v>
      </c>
      <c r="AQ62" s="56">
        <f t="shared" si="8"/>
        <v>-1.3624017581786177E-2</v>
      </c>
      <c r="BD62">
        <v>-6.95826554163987E-2</v>
      </c>
      <c r="BE62">
        <v>-3.65664475743235E-2</v>
      </c>
      <c r="BF62" s="56">
        <f t="shared" si="9"/>
        <v>-8.1621902168670657E-3</v>
      </c>
      <c r="BS62">
        <v>0.130137459418388</v>
      </c>
      <c r="BT62">
        <v>-2.64230823147962E-2</v>
      </c>
      <c r="BU62">
        <v>1.6013293299830299E-3</v>
      </c>
      <c r="BV62">
        <v>3.4038239747914603E-2</v>
      </c>
      <c r="BW62" s="56">
        <f t="shared" si="10"/>
        <v>1.7102288004965296E-3</v>
      </c>
      <c r="CJ62">
        <v>4.6875835874391501E-2</v>
      </c>
      <c r="CK62">
        <v>-2.8024411644779201E-2</v>
      </c>
      <c r="CL62">
        <v>-8.4323008128609503E-2</v>
      </c>
      <c r="CM62" s="56">
        <f t="shared" si="11"/>
        <v>-1.7589915646034654E-2</v>
      </c>
    </row>
    <row r="63" spans="1:91" x14ac:dyDescent="0.2">
      <c r="A63" s="1">
        <v>39813</v>
      </c>
      <c r="B63" s="38">
        <f>Data!B61</f>
        <v>1.6696759791208438E-2</v>
      </c>
      <c r="C63" s="38">
        <f>Data!C61</f>
        <v>1.7317683278814666E-2</v>
      </c>
      <c r="D63" s="38">
        <f>Data!D61</f>
        <v>-9.9717688288931461E-2</v>
      </c>
      <c r="E63" s="38">
        <f>Data!E61</f>
        <v>1.1127579298419121E-2</v>
      </c>
      <c r="F63" s="38">
        <f>Data!F61</f>
        <v>6.1945291213682641E-2</v>
      </c>
      <c r="G63" s="38">
        <f t="shared" si="5"/>
        <v>1.613013698515544E-2</v>
      </c>
      <c r="H63" s="38">
        <f t="shared" si="6"/>
        <v>1.199869620299022</v>
      </c>
      <c r="I63" s="39">
        <f>H63/MAX($H$4:H63) - 1</f>
        <v>-0.14801583308571575</v>
      </c>
      <c r="J63" s="39"/>
      <c r="K63" s="38"/>
      <c r="L63" s="38"/>
      <c r="X63" s="60">
        <v>3.7309173919246597E-2</v>
      </c>
      <c r="Y63" s="60">
        <v>7.7683699449345694E-2</v>
      </c>
      <c r="Z63" s="60">
        <v>3.7434915801340299E-2</v>
      </c>
      <c r="AA63" s="56">
        <f t="shared" si="7"/>
        <v>-6.9464034403451877E-3</v>
      </c>
      <c r="AN63">
        <v>1.8073274640504299E-2</v>
      </c>
      <c r="AO63">
        <v>4.1926088948296397E-3</v>
      </c>
      <c r="AP63">
        <v>4.74007748221719E-2</v>
      </c>
      <c r="AQ63" s="56">
        <f t="shared" si="8"/>
        <v>-1.2735096076374353E-2</v>
      </c>
      <c r="BD63">
        <v>-4.4839365595770703E-2</v>
      </c>
      <c r="BE63">
        <v>-1.49884313072153E-2</v>
      </c>
      <c r="BF63" s="56">
        <f t="shared" si="9"/>
        <v>-4.8811508163507086E-2</v>
      </c>
      <c r="BS63">
        <v>7.8234826722082901E-2</v>
      </c>
      <c r="BT63">
        <v>-1.7190822580770201E-2</v>
      </c>
      <c r="BU63">
        <v>-1.4831622188643499E-2</v>
      </c>
      <c r="BV63">
        <v>-8.44601693643998E-3</v>
      </c>
      <c r="BW63" s="56">
        <f t="shared" si="10"/>
        <v>2.1112060456591732E-2</v>
      </c>
      <c r="CJ63">
        <v>3.4186287159702101E-2</v>
      </c>
      <c r="CK63">
        <v>-2.3592003921266702E-3</v>
      </c>
      <c r="CL63">
        <v>7.4744089720586895E-2</v>
      </c>
      <c r="CM63" s="56">
        <f t="shared" si="11"/>
        <v>1.8763715360402389E-2</v>
      </c>
    </row>
    <row r="64" spans="1:91" x14ac:dyDescent="0.2">
      <c r="A64" s="1">
        <v>39843</v>
      </c>
      <c r="B64" s="38">
        <f>Data!B62</f>
        <v>1.8921781359786394E-3</v>
      </c>
      <c r="C64" s="38">
        <f>Data!C62</f>
        <v>-3.0641195384906283E-2</v>
      </c>
      <c r="D64" s="38">
        <f>Data!D62</f>
        <v>-5.6099645740649295E-2</v>
      </c>
      <c r="E64" s="38">
        <f>Data!E62</f>
        <v>-9.9477657619539972E-4</v>
      </c>
      <c r="F64" s="38">
        <f>Data!F62</f>
        <v>1.1437752840385729E-2</v>
      </c>
      <c r="G64" s="38">
        <f t="shared" si="5"/>
        <v>-8.3890637888846646E-3</v>
      </c>
      <c r="H64" s="38">
        <f t="shared" si="6"/>
        <v>1.1898038375159887</v>
      </c>
      <c r="I64" s="39">
        <f>H64/MAX($H$4:H64) - 1</f>
        <v>-0.15516318260907935</v>
      </c>
      <c r="J64" s="39"/>
      <c r="K64" s="38"/>
      <c r="L64" s="38"/>
      <c r="X64" s="60">
        <v>-8.8233271439377408E-3</v>
      </c>
      <c r="Y64" s="60">
        <v>8.5160156035384293E-3</v>
      </c>
      <c r="Z64" s="60">
        <v>6.1902581555519899E-2</v>
      </c>
      <c r="AA64" s="56">
        <f t="shared" si="7"/>
        <v>1.1012619203329452E-2</v>
      </c>
      <c r="AN64">
        <v>-4.8104662647895202E-2</v>
      </c>
      <c r="AO64">
        <v>6.6884874725580107E-2</v>
      </c>
      <c r="AP64">
        <v>-2.6935101076665899E-2</v>
      </c>
      <c r="AQ64" s="56">
        <f t="shared" si="8"/>
        <v>-3.2220543967475257E-3</v>
      </c>
      <c r="BD64">
        <v>-5.3752224597017999E-2</v>
      </c>
      <c r="BE64">
        <v>3.6957216704314199E-3</v>
      </c>
      <c r="BF64" s="56">
        <f t="shared" si="9"/>
        <v>-2.4101415056464168E-2</v>
      </c>
      <c r="BS64">
        <v>5.1924494076299503E-2</v>
      </c>
      <c r="BT64">
        <v>1.11361601112237E-2</v>
      </c>
      <c r="BU64">
        <v>-9.4108660552010299E-3</v>
      </c>
      <c r="BV64">
        <v>7.5474662323863004E-2</v>
      </c>
      <c r="BW64" s="56">
        <f t="shared" si="10"/>
        <v>-4.7428341327546046E-3</v>
      </c>
      <c r="CJ64">
        <v>1.0796388027621E-2</v>
      </c>
      <c r="CK64">
        <v>2.05470261664247E-2</v>
      </c>
      <c r="CL64">
        <v>5.3079254411582101E-2</v>
      </c>
      <c r="CM64" s="56">
        <f t="shared" si="11"/>
        <v>-4.2405029237983782E-3</v>
      </c>
    </row>
    <row r="65" spans="1:91" x14ac:dyDescent="0.2">
      <c r="A65" s="1">
        <v>39871</v>
      </c>
      <c r="B65" s="38">
        <f>Data!B63</f>
        <v>5.7624999194281212E-3</v>
      </c>
      <c r="C65" s="38">
        <f>Data!C63</f>
        <v>-4.1365853658536511E-2</v>
      </c>
      <c r="D65" s="38">
        <f>Data!D63</f>
        <v>-1.4510700277666766E-3</v>
      </c>
      <c r="E65" s="38">
        <f>Data!E63</f>
        <v>-1.2248652649369252E-3</v>
      </c>
      <c r="F65" s="38">
        <f>Data!F63</f>
        <v>-3.5237533121523001E-2</v>
      </c>
      <c r="G65" s="38">
        <f t="shared" si="5"/>
        <v>-1.5476153655289884E-2</v>
      </c>
      <c r="H65" s="38">
        <f t="shared" si="6"/>
        <v>1.1713902505069378</v>
      </c>
      <c r="I65" s="39">
        <f>H65/MAX($H$4:H65) - 1</f>
        <v>-0.16823800700866731</v>
      </c>
      <c r="J65" s="39"/>
      <c r="K65" s="38"/>
      <c r="L65" s="38"/>
      <c r="X65" s="60">
        <v>-3.77444892351886E-3</v>
      </c>
      <c r="Y65" s="60">
        <v>-1.1930703857049399E-2</v>
      </c>
      <c r="Z65" s="60">
        <v>-3.0892258503532801E-2</v>
      </c>
      <c r="AA65" s="56">
        <f t="shared" si="7"/>
        <v>6.4760466416455224E-3</v>
      </c>
      <c r="AN65">
        <v>-7.5228636117543699E-2</v>
      </c>
      <c r="AO65">
        <v>5.8381002966660801E-2</v>
      </c>
      <c r="AP65">
        <v>-1.50455863969647E-2</v>
      </c>
      <c r="AQ65" s="56">
        <f t="shared" si="8"/>
        <v>1.7694586316934338E-2</v>
      </c>
      <c r="BD65">
        <v>-4.4333157854478597E-2</v>
      </c>
      <c r="BE65">
        <v>-1.4119806964453601E-2</v>
      </c>
      <c r="BF65" s="56">
        <f t="shared" si="9"/>
        <v>4.7943270497880074E-2</v>
      </c>
      <c r="BS65">
        <v>1.5595193188554299E-2</v>
      </c>
      <c r="BT65">
        <v>-2.1065470394521198E-3</v>
      </c>
      <c r="BU65">
        <v>-7.29002447808225E-3</v>
      </c>
      <c r="BV65">
        <v>8.4438320359566901E-2</v>
      </c>
      <c r="BW65" s="56">
        <f t="shared" si="10"/>
        <v>4.7782643381673881E-4</v>
      </c>
      <c r="CJ65">
        <v>-3.9271878475319898E-2</v>
      </c>
      <c r="CK65">
        <v>5.1834774386301198E-3</v>
      </c>
      <c r="CL65">
        <v>-3.4666707427051698E-2</v>
      </c>
      <c r="CM65" s="56">
        <f t="shared" si="11"/>
        <v>6.5852506390209758E-3</v>
      </c>
    </row>
    <row r="66" spans="1:91" x14ac:dyDescent="0.2">
      <c r="A66" s="1">
        <v>39903</v>
      </c>
      <c r="B66" s="38">
        <f>Data!B64</f>
        <v>1.4176306597878829E-2</v>
      </c>
      <c r="C66" s="38">
        <f>Data!C64</f>
        <v>0.1213108080602483</v>
      </c>
      <c r="D66" s="38">
        <f>Data!D64</f>
        <v>0.11037056056641181</v>
      </c>
      <c r="E66" s="38">
        <f>Data!E64</f>
        <v>-6.1455318507339651E-3</v>
      </c>
      <c r="F66" s="38">
        <f>Data!F64</f>
        <v>7.2092417832736677E-2</v>
      </c>
      <c r="G66" s="38">
        <f t="shared" si="5"/>
        <v>5.7878392274673347E-2</v>
      </c>
      <c r="H66" s="38">
        <f t="shared" si="6"/>
        <v>1.2391884349325062</v>
      </c>
      <c r="I66" s="39">
        <f>H66/MAX($H$4:H66) - 1</f>
        <v>-0.12009696009915083</v>
      </c>
      <c r="J66" s="39"/>
      <c r="K66" s="38"/>
      <c r="L66" s="38"/>
      <c r="X66" s="60">
        <v>1.39013671534931E-2</v>
      </c>
      <c r="Y66" s="60">
        <v>3.73821469923361E-2</v>
      </c>
      <c r="Z66" s="60">
        <v>1.9135266073148999E-2</v>
      </c>
      <c r="AA66" s="56">
        <f t="shared" si="7"/>
        <v>5.286673773466732E-3</v>
      </c>
      <c r="AN66">
        <v>8.9196058338934403E-2</v>
      </c>
      <c r="AO66">
        <v>3.6943077386530901E-3</v>
      </c>
      <c r="AP66">
        <v>1.67156365339261E-3</v>
      </c>
      <c r="AQ66" s="56">
        <f t="shared" si="8"/>
        <v>2.113247633829482E-2</v>
      </c>
      <c r="BD66">
        <v>3.60317520103959E-2</v>
      </c>
      <c r="BE66">
        <v>1.2767254166768299E-2</v>
      </c>
      <c r="BF66" s="56">
        <f t="shared" si="9"/>
        <v>6.8495011626887495E-2</v>
      </c>
      <c r="BS66">
        <v>-2.4376008150097699E-2</v>
      </c>
      <c r="BT66">
        <v>3.4840468824759397E-4</v>
      </c>
      <c r="BU66">
        <v>-9.6086353601596598E-3</v>
      </c>
      <c r="BV66">
        <v>-5.85957749845245E-2</v>
      </c>
      <c r="BW66" s="56">
        <f t="shared" si="10"/>
        <v>5.269081322528079E-3</v>
      </c>
      <c r="CJ66">
        <v>6.6101878176140202E-2</v>
      </c>
      <c r="CK66">
        <v>9.9570400484072508E-3</v>
      </c>
      <c r="CL66">
        <v>3.3036633226642097E-2</v>
      </c>
      <c r="CM66" s="56">
        <f t="shared" si="11"/>
        <v>7.9888480528400446E-3</v>
      </c>
    </row>
    <row r="67" spans="1:91" x14ac:dyDescent="0.2">
      <c r="A67" s="1">
        <v>39933</v>
      </c>
      <c r="B67" s="38">
        <f>Data!B65</f>
        <v>2.8436558039015569E-3</v>
      </c>
      <c r="C67" s="38">
        <f>Data!C65</f>
        <v>0.12071156289707741</v>
      </c>
      <c r="D67" s="38">
        <f>Data!D65</f>
        <v>9.6127921279212769E-2</v>
      </c>
      <c r="E67" s="38">
        <f>Data!E65</f>
        <v>-8.9184079217896617E-4</v>
      </c>
      <c r="F67" s="38">
        <f>Data!F65</f>
        <v>-8.4260625155561097E-3</v>
      </c>
      <c r="G67" s="38">
        <f t="shared" si="5"/>
        <v>3.3090339169470663E-2</v>
      </c>
      <c r="H67" s="38">
        <f t="shared" si="6"/>
        <v>1.2801936005393082</v>
      </c>
      <c r="I67" s="39">
        <f>H67/MAX($H$4:H67) - 1</f>
        <v>-9.0980670072583592E-2</v>
      </c>
      <c r="J67" s="39"/>
      <c r="K67" s="38"/>
      <c r="L67" s="38"/>
      <c r="X67" s="60">
        <v>4.7809093344506302E-3</v>
      </c>
      <c r="Y67" s="60">
        <v>5.38665958012223E-2</v>
      </c>
      <c r="Z67" s="60">
        <v>0.10987892556449599</v>
      </c>
      <c r="AA67" s="56">
        <f t="shared" si="7"/>
        <v>4.8464109726684603E-3</v>
      </c>
      <c r="AN67">
        <v>9.6005988740762493E-2</v>
      </c>
      <c r="AO67">
        <v>-1.1185677783797299E-2</v>
      </c>
      <c r="AP67">
        <v>5.8873252998914001E-2</v>
      </c>
      <c r="AQ67" s="56">
        <f t="shared" si="8"/>
        <v>9.7994928022345218E-3</v>
      </c>
      <c r="BD67">
        <v>7.3301855495822004E-3</v>
      </c>
      <c r="BE67">
        <v>3.1902162062693799E-2</v>
      </c>
      <c r="BF67" s="56">
        <f t="shared" si="9"/>
        <v>4.8343521042585706E-2</v>
      </c>
      <c r="BS67">
        <v>-3.3882634470006001E-2</v>
      </c>
      <c r="BT67">
        <v>7.9822961908986301E-3</v>
      </c>
      <c r="BU67">
        <v>-2.3014830486682399E-2</v>
      </c>
      <c r="BV67">
        <v>-4.1266514243392297E-2</v>
      </c>
      <c r="BW67" s="56">
        <f t="shared" si="10"/>
        <v>1.8427375887040943E-2</v>
      </c>
      <c r="CJ67">
        <v>-1.30533349242334E-2</v>
      </c>
      <c r="CK67">
        <v>3.0997126677581002E-2</v>
      </c>
      <c r="CL67">
        <v>0.114659834898947</v>
      </c>
      <c r="CM67" s="56">
        <f t="shared" si="11"/>
        <v>-1.0860422315367775E-2</v>
      </c>
    </row>
    <row r="68" spans="1:91" x14ac:dyDescent="0.2">
      <c r="A68" s="1">
        <v>39962</v>
      </c>
      <c r="B68" s="38">
        <f>Data!B66</f>
        <v>2.9238107840727778E-3</v>
      </c>
      <c r="C68" s="38">
        <f>Data!C66</f>
        <v>2.5591188856495029E-2</v>
      </c>
      <c r="D68" s="38">
        <f>Data!D66</f>
        <v>5.6807368439951711E-2</v>
      </c>
      <c r="E68" s="38">
        <f>Data!E66</f>
        <v>3.5352452713481419E-2</v>
      </c>
      <c r="F68" s="38">
        <f>Data!F66</f>
        <v>6.9977164057573038E-3</v>
      </c>
      <c r="G68" s="38">
        <f t="shared" si="5"/>
        <v>1.7078748579799463E-2</v>
      </c>
      <c r="H68" s="38">
        <f t="shared" si="6"/>
        <v>1.3020577051763873</v>
      </c>
      <c r="I68" s="39">
        <f>H68/MAX($H$4:H68) - 1</f>
        <v>-7.5455757482575492E-2</v>
      </c>
      <c r="J68" s="39"/>
      <c r="K68" s="38"/>
      <c r="L68" s="38"/>
      <c r="X68" s="60">
        <v>7.2534609468466503E-3</v>
      </c>
      <c r="Y68" s="60">
        <v>3.7849559976800999E-2</v>
      </c>
      <c r="Z68" s="60">
        <v>6.3876517405155403E-2</v>
      </c>
      <c r="AA68" s="56">
        <f t="shared" ref="AA68:AA99" si="12">B68-SUMPRODUCT(X68:Z68, X$2:Z$2)</f>
        <v>1.0852129328845902E-3</v>
      </c>
      <c r="AN68">
        <v>4.9571774959488203E-2</v>
      </c>
      <c r="AO68">
        <v>-1.2264569074484E-2</v>
      </c>
      <c r="AP68">
        <v>-2.57841460729198E-2</v>
      </c>
      <c r="AQ68" s="56">
        <f t="shared" ref="AQ68:AQ99" si="13">C68-SUMPRODUCT(AN68:AP68, AN$2:AP$2)</f>
        <v>-1.8957625679453055E-2</v>
      </c>
      <c r="BD68">
        <v>0.13004484304932701</v>
      </c>
      <c r="BE68">
        <v>4.7429671110515298E-2</v>
      </c>
      <c r="BF68" s="56">
        <f t="shared" ref="BF68:BF99" si="14">D68-SUMPRODUCT(BD68:BE68, BD$2:BE$2)</f>
        <v>-9.6138192880861867E-2</v>
      </c>
      <c r="BS68">
        <v>0.102420625985138</v>
      </c>
      <c r="BT68">
        <v>2.8634142135389298E-2</v>
      </c>
      <c r="BU68">
        <v>-1.06949387370421E-2</v>
      </c>
      <c r="BV68">
        <v>7.8112778279792999E-3</v>
      </c>
      <c r="BW68" s="56">
        <f t="shared" ref="BW68:BW99" si="15">E68-SUMPRODUCT(BS68:BV68, BS$2:BV$2)</f>
        <v>2.5071303319395076E-2</v>
      </c>
      <c r="CJ68">
        <v>3.2823153924270701E-3</v>
      </c>
      <c r="CK68">
        <v>3.93290808724314E-2</v>
      </c>
      <c r="CL68">
        <v>7.1129978352002105E-2</v>
      </c>
      <c r="CM68" s="56">
        <f t="shared" ref="CM68:CM99" si="16">F68-SUMPRODUCT(CJ68:CL68, CJ$2:CL$2)</f>
        <v>-2.3927513012799301E-3</v>
      </c>
    </row>
    <row r="69" spans="1:91" x14ac:dyDescent="0.2">
      <c r="A69" s="1">
        <v>39994</v>
      </c>
      <c r="B69" s="38">
        <f>Data!B67</f>
        <v>1.2503062936273235E-3</v>
      </c>
      <c r="C69" s="38">
        <f>Data!C67</f>
        <v>4.0587492103600686E-2</v>
      </c>
      <c r="D69" s="38">
        <f>Data!D67</f>
        <v>5.7130357961978406E-2</v>
      </c>
      <c r="E69" s="38">
        <f>Data!E67</f>
        <v>-1.169011057235525E-2</v>
      </c>
      <c r="F69" s="38">
        <f>Data!F67</f>
        <v>-3.9761189674250019E-3</v>
      </c>
      <c r="G69" s="38">
        <f t="shared" ref="G69:G123" si="17">SUMPRODUCT($B$2:$F$2,B69:F69)</f>
        <v>1.2214082747071758E-2</v>
      </c>
      <c r="H69" s="38">
        <f t="shared" si="6"/>
        <v>1.317961145728874</v>
      </c>
      <c r="I69" s="39">
        <f>H69/MAX($H$4:H69) - 1</f>
        <v>-6.4163297601138813E-2</v>
      </c>
      <c r="J69" s="39"/>
      <c r="K69" s="38"/>
      <c r="L69" s="38"/>
      <c r="X69" s="60">
        <v>5.6876798609981601E-3</v>
      </c>
      <c r="Y69" s="60">
        <v>1.31930608873123E-2</v>
      </c>
      <c r="Z69" s="60">
        <v>2.6109819694262199E-2</v>
      </c>
      <c r="AA69" s="56">
        <f t="shared" si="12"/>
        <v>-1.0008043776083267E-3</v>
      </c>
      <c r="AN69">
        <v>1.1187199152019401E-2</v>
      </c>
      <c r="AO69">
        <v>1.8572288896193698E-2</v>
      </c>
      <c r="AP69">
        <v>1.27037720663044E-2</v>
      </c>
      <c r="AQ69" s="56">
        <f t="shared" si="13"/>
        <v>1.7658771158770434E-2</v>
      </c>
      <c r="BD69">
        <v>-1.9026859570119101E-2</v>
      </c>
      <c r="BE69">
        <v>1.5277816528962001E-2</v>
      </c>
      <c r="BF69" s="56">
        <f t="shared" si="14"/>
        <v>4.9739058154056666E-2</v>
      </c>
      <c r="BS69">
        <v>-5.3790455181429102E-2</v>
      </c>
      <c r="BT69">
        <v>4.5975071043335997E-3</v>
      </c>
      <c r="BU69">
        <v>-1.08628734721803E-2</v>
      </c>
      <c r="BV69">
        <v>-1.6251685186863301E-4</v>
      </c>
      <c r="BW69" s="56">
        <f t="shared" si="15"/>
        <v>-1.9947680426526254E-4</v>
      </c>
      <c r="CJ69">
        <v>-5.3682783551739499E-3</v>
      </c>
      <c r="CK69">
        <v>1.54603805765139E-2</v>
      </c>
      <c r="CL69">
        <v>3.1797499555260303E-2</v>
      </c>
      <c r="CM69" s="56">
        <f t="shared" si="16"/>
        <v>-2.2186257041752781E-3</v>
      </c>
    </row>
    <row r="70" spans="1:91" x14ac:dyDescent="0.2">
      <c r="A70" s="1">
        <v>40025</v>
      </c>
      <c r="B70" s="38">
        <f>Data!B68</f>
        <v>8.1827309236948143E-3</v>
      </c>
      <c r="C70" s="38">
        <f>Data!C68</f>
        <v>9.1516163302473919E-2</v>
      </c>
      <c r="D70" s="38">
        <f>Data!D68</f>
        <v>0.15322525562988387</v>
      </c>
      <c r="E70" s="38">
        <f>Data!E68</f>
        <v>4.9194060562660624E-3</v>
      </c>
      <c r="F70" s="38">
        <f>Data!F68</f>
        <v>9.2475034792587341E-3</v>
      </c>
      <c r="G70" s="38">
        <f t="shared" si="17"/>
        <v>3.9400234940283191E-2</v>
      </c>
      <c r="H70" s="38">
        <f t="shared" ref="H70:H123" si="18">H69*(1+G70)</f>
        <v>1.3698891245127565</v>
      </c>
      <c r="I70" s="39">
        <f>H70/MAX($H$4:H70) - 1</f>
        <v>-2.7291111660883827E-2</v>
      </c>
      <c r="J70" s="39"/>
      <c r="K70" s="38"/>
      <c r="L70" s="38"/>
      <c r="X70" s="60">
        <v>1.6129685369903099E-2</v>
      </c>
      <c r="Y70" s="60">
        <v>3.08625692429438E-2</v>
      </c>
      <c r="Z70" s="60">
        <v>4.5700990366542397E-2</v>
      </c>
      <c r="AA70" s="56">
        <f t="shared" si="12"/>
        <v>1.6398044594880673E-4</v>
      </c>
      <c r="AN70">
        <v>7.1026387980158506E-2</v>
      </c>
      <c r="AO70">
        <v>-1.08244355590772E-2</v>
      </c>
      <c r="AP70">
        <v>2.06737511819171E-2</v>
      </c>
      <c r="AQ70" s="56">
        <f t="shared" si="13"/>
        <v>1.4600017362529305E-2</v>
      </c>
      <c r="BD70">
        <v>3.2317008652053898E-2</v>
      </c>
      <c r="BE70">
        <v>2.7961021759713701E-2</v>
      </c>
      <c r="BF70" s="56">
        <f t="shared" si="14"/>
        <v>9.3545239268801178E-2</v>
      </c>
      <c r="BS70">
        <v>2.96815974096061E-2</v>
      </c>
      <c r="BT70">
        <v>1.47341599114002E-2</v>
      </c>
      <c r="BU70">
        <v>-1.4958338659874599E-2</v>
      </c>
      <c r="BV70">
        <v>-4.36063663505366E-2</v>
      </c>
      <c r="BW70" s="56">
        <f t="shared" si="15"/>
        <v>1.0518484141507942E-2</v>
      </c>
      <c r="CJ70">
        <v>9.7768408810061692E-3</v>
      </c>
      <c r="CK70">
        <v>2.9692498571274799E-2</v>
      </c>
      <c r="CL70">
        <v>6.1830675736445503E-2</v>
      </c>
      <c r="CM70" s="56">
        <f t="shared" si="16"/>
        <v>-5.7630091692362911E-3</v>
      </c>
    </row>
    <row r="71" spans="1:91" x14ac:dyDescent="0.2">
      <c r="A71" s="1">
        <v>40056</v>
      </c>
      <c r="B71" s="38">
        <f>Data!B69</f>
        <v>6.6785340835531226E-3</v>
      </c>
      <c r="C71" s="38">
        <f>Data!C69</f>
        <v>2.502780867630694E-2</v>
      </c>
      <c r="D71" s="38">
        <f>Data!D69</f>
        <v>4.8938794280777076E-2</v>
      </c>
      <c r="E71" s="38">
        <f>Data!E69</f>
        <v>3.7467987639923095E-3</v>
      </c>
      <c r="F71" s="38">
        <f>Data!F69</f>
        <v>4.7295621828562506E-3</v>
      </c>
      <c r="G71" s="38">
        <f t="shared" si="17"/>
        <v>1.3793996810172352E-2</v>
      </c>
      <c r="H71" s="38">
        <f t="shared" si="18"/>
        <v>1.3887853707265752</v>
      </c>
      <c r="I71" s="39">
        <f>H71/MAX($H$4:H71) - 1</f>
        <v>-1.3873568357907873E-2</v>
      </c>
      <c r="J71" s="39"/>
      <c r="K71" s="38"/>
      <c r="L71" s="38"/>
      <c r="X71" s="60">
        <v>1.03544007863765E-2</v>
      </c>
      <c r="Y71" s="60">
        <v>1.9005303805713199E-2</v>
      </c>
      <c r="Z71" s="60">
        <v>9.9841737055359498E-3</v>
      </c>
      <c r="AA71" s="56">
        <f t="shared" si="12"/>
        <v>2.2245898578651495E-4</v>
      </c>
      <c r="AN71">
        <v>2.0739067816497401E-2</v>
      </c>
      <c r="AO71">
        <v>-3.1566914558429901E-2</v>
      </c>
      <c r="AP71">
        <v>-7.4294528244644997E-3</v>
      </c>
      <c r="AQ71" s="56">
        <f t="shared" si="13"/>
        <v>1.7758290603294018E-2</v>
      </c>
      <c r="BD71">
        <v>-5.82662824298386E-3</v>
      </c>
      <c r="BE71">
        <v>2.3002813232854101E-2</v>
      </c>
      <c r="BF71" s="56">
        <f t="shared" si="14"/>
        <v>2.2122775045165036E-2</v>
      </c>
      <c r="BS71">
        <v>-2.9454926624737899E-3</v>
      </c>
      <c r="BT71">
        <v>1.1457930825694599E-2</v>
      </c>
      <c r="BU71">
        <v>-6.0643564508266997E-3</v>
      </c>
      <c r="BV71">
        <v>-2.2431393367512899E-2</v>
      </c>
      <c r="BW71" s="56">
        <f t="shared" si="15"/>
        <v>5.7860580567754769E-3</v>
      </c>
      <c r="CJ71">
        <v>1.4577259475219201E-3</v>
      </c>
      <c r="CK71">
        <v>1.75222872765213E-2</v>
      </c>
      <c r="CL71">
        <v>2.0338574491912498E-2</v>
      </c>
      <c r="CM71" s="56">
        <f t="shared" si="16"/>
        <v>2.3430347581112473E-3</v>
      </c>
    </row>
    <row r="72" spans="1:91" x14ac:dyDescent="0.2">
      <c r="A72" s="1">
        <v>40086</v>
      </c>
      <c r="B72" s="38">
        <f>Data!B70</f>
        <v>8.037740282062833E-3</v>
      </c>
      <c r="C72" s="38">
        <f>Data!C70</f>
        <v>4.4899620184481792E-2</v>
      </c>
      <c r="D72" s="38">
        <f>Data!D70</f>
        <v>-7.1144118321104788E-3</v>
      </c>
      <c r="E72" s="38">
        <f>Data!E70</f>
        <v>1.7088998695201196E-2</v>
      </c>
      <c r="F72" s="38">
        <f>Data!F70</f>
        <v>2.0502633559067007E-2</v>
      </c>
      <c r="G72" s="38">
        <f t="shared" si="17"/>
        <v>1.8161043738290427E-2</v>
      </c>
      <c r="H72" s="38">
        <f t="shared" si="18"/>
        <v>1.4140071625874384</v>
      </c>
      <c r="I72" s="39">
        <f>H72/MAX($H$4:H72) - 1</f>
        <v>0</v>
      </c>
      <c r="J72" s="39"/>
      <c r="K72" s="38"/>
      <c r="L72" s="38"/>
      <c r="X72" s="60">
        <v>1.05046574153811E-2</v>
      </c>
      <c r="Y72" s="60">
        <v>4.91724688962447E-2</v>
      </c>
      <c r="Z72" s="60">
        <v>4.92554555884233E-2</v>
      </c>
      <c r="AA72" s="56">
        <f t="shared" si="12"/>
        <v>2.6520255635624863E-3</v>
      </c>
      <c r="AN72">
        <v>4.2535588851809497E-2</v>
      </c>
      <c r="AO72">
        <v>3.8995669501176201E-3</v>
      </c>
      <c r="AP72">
        <v>2.03617329607957E-2</v>
      </c>
      <c r="AQ72" s="56">
        <f t="shared" si="13"/>
        <v>-7.2474388278883708E-3</v>
      </c>
      <c r="BD72">
        <v>1.57344806392135E-2</v>
      </c>
      <c r="BE72">
        <v>3.7618026010251902E-2</v>
      </c>
      <c r="BF72" s="56">
        <f t="shared" si="14"/>
        <v>-6.8334706059166E-2</v>
      </c>
      <c r="BS72">
        <v>5.9409791944827102E-2</v>
      </c>
      <c r="BT72">
        <v>1.6931328115874701E-2</v>
      </c>
      <c r="BU72">
        <v>-7.5793043747116604E-3</v>
      </c>
      <c r="BV72">
        <v>-5.1461525082594503E-3</v>
      </c>
      <c r="BW72" s="56">
        <f t="shared" si="15"/>
        <v>1.2412766711495063E-2</v>
      </c>
      <c r="CJ72">
        <v>1.96476599517195E-2</v>
      </c>
      <c r="CK72">
        <v>2.4510632490586399E-2</v>
      </c>
      <c r="CL72">
        <v>5.9760113003804398E-2</v>
      </c>
      <c r="CM72" s="56">
        <f t="shared" si="16"/>
        <v>-3.7928648217468233E-3</v>
      </c>
    </row>
    <row r="73" spans="1:91" x14ac:dyDescent="0.2">
      <c r="A73" s="1">
        <v>40116</v>
      </c>
      <c r="B73" s="38">
        <f>Data!B71</f>
        <v>7.1456172525254935E-3</v>
      </c>
      <c r="C73" s="38">
        <f>Data!C71</f>
        <v>-3.7647669739063749E-3</v>
      </c>
      <c r="D73" s="38">
        <f>Data!D71</f>
        <v>3.8873073590756535E-2</v>
      </c>
      <c r="E73" s="38">
        <f>Data!E71</f>
        <v>-5.1555780354856084E-3</v>
      </c>
      <c r="F73" s="38">
        <f>Data!F71</f>
        <v>1.7955418183104976E-2</v>
      </c>
      <c r="G73" s="38">
        <f t="shared" si="17"/>
        <v>9.4018046907408236E-3</v>
      </c>
      <c r="H73" s="38">
        <f t="shared" si="18"/>
        <v>1.4273013817613942</v>
      </c>
      <c r="I73" s="39">
        <f>H73/MAX($H$4:H73) - 1</f>
        <v>0</v>
      </c>
      <c r="J73" s="39"/>
      <c r="K73" s="38"/>
      <c r="L73" s="38"/>
      <c r="X73" s="60">
        <v>4.9375166698108998E-3</v>
      </c>
      <c r="Y73" s="60">
        <v>1.4795796253182E-3</v>
      </c>
      <c r="Z73" s="60">
        <v>1.2925735559806001E-2</v>
      </c>
      <c r="AA73" s="56">
        <f t="shared" si="12"/>
        <v>5.0343419123479952E-3</v>
      </c>
      <c r="AN73">
        <v>-1.35448500040061E-2</v>
      </c>
      <c r="AO73">
        <v>1.7059864552080001E-2</v>
      </c>
      <c r="AP73">
        <v>-4.9318150319945499E-2</v>
      </c>
      <c r="AQ73" s="56">
        <f t="shared" si="13"/>
        <v>1.2026279590006662E-2</v>
      </c>
      <c r="BD73">
        <v>3.2796414642811002E-2</v>
      </c>
      <c r="BE73">
        <v>5.3664050280093399E-3</v>
      </c>
      <c r="BF73" s="56">
        <f t="shared" si="14"/>
        <v>9.1378992438677399E-3</v>
      </c>
      <c r="BS73">
        <v>3.7461546095068E-2</v>
      </c>
      <c r="BT73">
        <v>-3.96905698611283E-4</v>
      </c>
      <c r="BU73">
        <v>-1.29540706604048E-2</v>
      </c>
      <c r="BV73">
        <v>1.1406547680002E-2</v>
      </c>
      <c r="BW73" s="56">
        <f t="shared" si="15"/>
        <v>1.0053894971844791E-3</v>
      </c>
      <c r="CJ73">
        <v>1.8705095141022601E-2</v>
      </c>
      <c r="CK73">
        <v>1.25571649617935E-2</v>
      </c>
      <c r="CL73">
        <v>1.7863252229616901E-2</v>
      </c>
      <c r="CM73" s="56">
        <f t="shared" si="16"/>
        <v>-3.3323956787910392E-4</v>
      </c>
    </row>
    <row r="74" spans="1:91" x14ac:dyDescent="0.2">
      <c r="A74" s="1">
        <v>40147</v>
      </c>
      <c r="B74" s="38">
        <f>Data!B72</f>
        <v>1.2825665948039466E-2</v>
      </c>
      <c r="C74" s="38">
        <f>Data!C72</f>
        <v>5.1472504560854837E-2</v>
      </c>
      <c r="D74" s="38">
        <f>Data!D72</f>
        <v>4.6495078529715794E-2</v>
      </c>
      <c r="E74" s="38">
        <f>Data!E72</f>
        <v>2.1699879795544774E-2</v>
      </c>
      <c r="F74" s="38">
        <f>Data!F72</f>
        <v>2.5548312327973388E-2</v>
      </c>
      <c r="G74" s="38">
        <f t="shared" si="17"/>
        <v>2.8097718019796269E-2</v>
      </c>
      <c r="H74" s="38">
        <f t="shared" si="18"/>
        <v>1.4674052935153916</v>
      </c>
      <c r="I74" s="39">
        <f>H74/MAX($H$4:H74) - 1</f>
        <v>0</v>
      </c>
      <c r="J74" s="39"/>
      <c r="K74" s="38"/>
      <c r="L74" s="38"/>
      <c r="X74" s="60">
        <v>1.2946659761781601E-2</v>
      </c>
      <c r="Y74" s="60">
        <v>1.0472114193842599E-2</v>
      </c>
      <c r="Z74" s="60">
        <v>-2.81437119079619E-3</v>
      </c>
      <c r="AA74" s="56">
        <f t="shared" si="12"/>
        <v>4.3822270202478319E-3</v>
      </c>
      <c r="AN74">
        <v>6.1432536293766202E-2</v>
      </c>
      <c r="AO74">
        <v>5.0692674864318797E-3</v>
      </c>
      <c r="AP74">
        <v>-2.85933380110979E-2</v>
      </c>
      <c r="AQ74" s="56">
        <f t="shared" si="13"/>
        <v>-1.3484787872960771E-2</v>
      </c>
      <c r="BD74">
        <v>3.5174306634678097E-2</v>
      </c>
      <c r="BE74">
        <v>1.2591315316613699E-2</v>
      </c>
      <c r="BF74" s="56">
        <f t="shared" si="14"/>
        <v>5.4446901573564632E-3</v>
      </c>
      <c r="BS74">
        <v>0.12834664498541301</v>
      </c>
      <c r="BT74">
        <v>7.9809861968849205E-3</v>
      </c>
      <c r="BU74">
        <v>1.8764205720722699E-3</v>
      </c>
      <c r="BV74">
        <v>-4.4320231785777799E-2</v>
      </c>
      <c r="BW74" s="56">
        <f t="shared" si="15"/>
        <v>8.0585472162054764E-3</v>
      </c>
      <c r="CJ74">
        <v>2.64986592082119E-2</v>
      </c>
      <c r="CK74">
        <v>6.1045656248126497E-3</v>
      </c>
      <c r="CL74">
        <v>1.0132288570985399E-2</v>
      </c>
      <c r="CM74" s="56">
        <f t="shared" si="16"/>
        <v>6.0158017595196567E-4</v>
      </c>
    </row>
    <row r="75" spans="1:91" x14ac:dyDescent="0.2">
      <c r="A75" s="1">
        <v>40178</v>
      </c>
      <c r="B75" s="38">
        <f>Data!B73</f>
        <v>-1.4076292180772887E-2</v>
      </c>
      <c r="C75" s="38">
        <f>Data!C73</f>
        <v>5.6016854628826218E-2</v>
      </c>
      <c r="D75" s="38">
        <f>Data!D73</f>
        <v>7.5519158638387429E-2</v>
      </c>
      <c r="E75" s="38">
        <f>Data!E73</f>
        <v>-1.3023219320867363E-2</v>
      </c>
      <c r="F75" s="38">
        <f>Data!F73</f>
        <v>-2.1973737739004684E-2</v>
      </c>
      <c r="G75" s="38">
        <f t="shared" si="17"/>
        <v>7.252201946564227E-3</v>
      </c>
      <c r="H75" s="38">
        <f t="shared" si="18"/>
        <v>1.4780472130414226</v>
      </c>
      <c r="I75" s="39">
        <f>H75/MAX($H$4:H75) - 1</f>
        <v>0</v>
      </c>
      <c r="J75" s="39"/>
      <c r="K75" s="38"/>
      <c r="L75" s="38"/>
      <c r="X75" s="60">
        <v>-1.5631390593047099E-2</v>
      </c>
      <c r="Y75" s="60">
        <v>3.2036810079769701E-3</v>
      </c>
      <c r="Z75" s="60">
        <v>4.6977564128499197E-2</v>
      </c>
      <c r="AA75" s="56">
        <f t="shared" si="12"/>
        <v>-1.6709891442626881E-3</v>
      </c>
      <c r="AN75">
        <v>3.0908449162891E-2</v>
      </c>
      <c r="AO75">
        <v>1.32127822221002E-2</v>
      </c>
      <c r="AP75">
        <v>6.1179131660279003E-2</v>
      </c>
      <c r="AQ75" s="56">
        <f t="shared" si="13"/>
        <v>5.3525286811080056E-3</v>
      </c>
      <c r="BD75">
        <v>1.97893517622547E-2</v>
      </c>
      <c r="BE75">
        <v>2.3586033376995299E-2</v>
      </c>
      <c r="BF75" s="56">
        <f t="shared" si="14"/>
        <v>3.0312867389942141E-2</v>
      </c>
      <c r="BS75">
        <v>-7.0072819443384796E-2</v>
      </c>
      <c r="BT75">
        <v>8.0929851153905795E-3</v>
      </c>
      <c r="BU75">
        <v>-1.24192433300312E-2</v>
      </c>
      <c r="BV75">
        <v>1.36577195397436E-3</v>
      </c>
      <c r="BW75" s="56">
        <f t="shared" si="15"/>
        <v>-7.8553098262339541E-5</v>
      </c>
      <c r="CJ75">
        <v>-2.7483146067415799E-2</v>
      </c>
      <c r="CK75">
        <v>2.0512228445421801E-2</v>
      </c>
      <c r="CL75">
        <v>3.1346173535452097E-2</v>
      </c>
      <c r="CM75" s="56">
        <f t="shared" si="16"/>
        <v>5.8492431258751199E-4</v>
      </c>
    </row>
    <row r="76" spans="1:91" x14ac:dyDescent="0.2">
      <c r="A76" s="1">
        <v>40207</v>
      </c>
      <c r="B76" s="38">
        <f>Data!B74</f>
        <v>1.3264864271469223E-2</v>
      </c>
      <c r="C76" s="38">
        <f>Data!C74</f>
        <v>-8.4379767632906888E-2</v>
      </c>
      <c r="D76" s="38">
        <f>Data!D74</f>
        <v>-8.7558666306193467E-2</v>
      </c>
      <c r="E76" s="38">
        <f>Data!E74</f>
        <v>-1.9530570866210351E-2</v>
      </c>
      <c r="F76" s="38">
        <f>Data!F74</f>
        <v>1.9399751581501423E-2</v>
      </c>
      <c r="G76" s="38">
        <f t="shared" si="17"/>
        <v>-1.8453181959140745E-2</v>
      </c>
      <c r="H76" s="38">
        <f t="shared" si="18"/>
        <v>1.4507725388749684</v>
      </c>
      <c r="I76" s="39">
        <f>H76/MAX($H$4:H76) - 1</f>
        <v>-1.8453181959140696E-2</v>
      </c>
      <c r="J76" s="39"/>
      <c r="K76" s="38"/>
      <c r="L76" s="38"/>
      <c r="X76" s="60">
        <v>1.5275848189360701E-2</v>
      </c>
      <c r="Y76" s="60">
        <v>3.6863989026534299E-3</v>
      </c>
      <c r="Z76" s="60">
        <v>-1.20727551330191E-4</v>
      </c>
      <c r="AA76" s="56">
        <f t="shared" si="12"/>
        <v>3.9801523650377646E-3</v>
      </c>
      <c r="AN76">
        <v>-4.3636116005124598E-2</v>
      </c>
      <c r="AO76">
        <v>-1.55127941971411E-2</v>
      </c>
      <c r="AP76">
        <v>-8.3801280553308399E-4</v>
      </c>
      <c r="AQ76" s="56">
        <f t="shared" si="13"/>
        <v>-2.9170500565692724E-2</v>
      </c>
      <c r="BD76">
        <v>-7.2779218193712594E-2</v>
      </c>
      <c r="BE76">
        <v>6.9215520360277304E-3</v>
      </c>
      <c r="BF76" s="56">
        <f t="shared" si="14"/>
        <v>-4.6803258454819467E-2</v>
      </c>
      <c r="BS76">
        <v>-1.43759628795682E-2</v>
      </c>
      <c r="BT76">
        <v>-1.18120192092897E-3</v>
      </c>
      <c r="BU76">
        <v>-1.64988587599115E-2</v>
      </c>
      <c r="BV76">
        <v>2.32603814001358E-2</v>
      </c>
      <c r="BW76" s="56">
        <f t="shared" si="15"/>
        <v>-6.3080498320320141E-3</v>
      </c>
      <c r="CJ76">
        <v>2.0513205628856002E-2</v>
      </c>
      <c r="CK76">
        <v>1.5317656838982599E-2</v>
      </c>
      <c r="CL76">
        <v>1.5155120638030499E-2</v>
      </c>
      <c r="CM76" s="56">
        <f t="shared" si="16"/>
        <v>2.3360236824154779E-4</v>
      </c>
    </row>
    <row r="77" spans="1:91" x14ac:dyDescent="0.2">
      <c r="A77" s="1">
        <v>40235</v>
      </c>
      <c r="B77" s="38">
        <f>Data!B75</f>
        <v>1.7755895559219415E-3</v>
      </c>
      <c r="C77" s="38">
        <f>Data!C75</f>
        <v>4.1655985644706517E-2</v>
      </c>
      <c r="D77" s="38">
        <f>Data!D75</f>
        <v>6.0623913572412258E-2</v>
      </c>
      <c r="E77" s="38">
        <f>Data!E75</f>
        <v>1.5972913859152449E-3</v>
      </c>
      <c r="F77" s="38">
        <f>Data!F75</f>
        <v>-1.2994961831195861E-2</v>
      </c>
      <c r="G77" s="38">
        <f t="shared" si="17"/>
        <v>1.2063684717398004E-2</v>
      </c>
      <c r="H77" s="38">
        <f t="shared" si="18"/>
        <v>1.4682742013806152</v>
      </c>
      <c r="I77" s="39">
        <f>H77/MAX($H$4:H77) - 1</f>
        <v>-6.6121106109304773E-3</v>
      </c>
      <c r="J77" s="39"/>
      <c r="K77" s="38"/>
      <c r="L77" s="38"/>
      <c r="X77" s="60">
        <v>3.7343257431885499E-3</v>
      </c>
      <c r="Y77" s="60">
        <v>1.41575912876362E-2</v>
      </c>
      <c r="Z77" s="60">
        <v>-2.1854966407328699E-3</v>
      </c>
      <c r="AA77" s="56">
        <f t="shared" si="12"/>
        <v>-1.3394483638777444E-3</v>
      </c>
      <c r="AN77">
        <v>3.4366251735177697E-2</v>
      </c>
      <c r="AO77">
        <v>2.8005335449292602E-3</v>
      </c>
      <c r="AP77">
        <v>1.40685762264494E-2</v>
      </c>
      <c r="AQ77" s="56">
        <f t="shared" si="13"/>
        <v>9.7494641365519774E-5</v>
      </c>
      <c r="BD77">
        <v>3.7127172014093802E-2</v>
      </c>
      <c r="BE77">
        <v>8.0574999639675404E-3</v>
      </c>
      <c r="BF77" s="56">
        <f t="shared" si="14"/>
        <v>2.4305927815072181E-2</v>
      </c>
      <c r="BS77">
        <v>3.36570477247502E-2</v>
      </c>
      <c r="BT77">
        <v>1.24729761544984E-3</v>
      </c>
      <c r="BU77">
        <v>-4.3769582493360399E-3</v>
      </c>
      <c r="BV77">
        <v>-2.1807780263803301E-2</v>
      </c>
      <c r="BW77" s="56">
        <f t="shared" si="15"/>
        <v>2.3250465493260572E-3</v>
      </c>
      <c r="CJ77">
        <v>-1.80856905110977E-2</v>
      </c>
      <c r="CK77">
        <v>5.6242558647858799E-3</v>
      </c>
      <c r="CL77">
        <v>1.5488291024556801E-3</v>
      </c>
      <c r="CM77" s="56">
        <f t="shared" si="16"/>
        <v>3.8967390787504504E-3</v>
      </c>
    </row>
    <row r="78" spans="1:91" x14ac:dyDescent="0.2">
      <c r="A78" s="1">
        <v>40268</v>
      </c>
      <c r="B78" s="38">
        <f>Data!B76</f>
        <v>3.3045536749654048E-4</v>
      </c>
      <c r="C78" s="38">
        <f>Data!C76</f>
        <v>6.767564907099799E-2</v>
      </c>
      <c r="D78" s="38">
        <f>Data!D76</f>
        <v>9.6605879972317954E-2</v>
      </c>
      <c r="E78" s="38">
        <f>Data!E76</f>
        <v>1.5901781507143165E-2</v>
      </c>
      <c r="F78" s="38">
        <f>Data!F76</f>
        <v>-4.3810289389067947E-3</v>
      </c>
      <c r="G78" s="38">
        <f t="shared" si="17"/>
        <v>2.3975902911642748E-2</v>
      </c>
      <c r="H78" s="38">
        <f t="shared" si="18"/>
        <v>1.5034774010805865</v>
      </c>
      <c r="I78" s="39">
        <f>H78/MAX($H$4:H78) - 1</f>
        <v>0</v>
      </c>
      <c r="J78" s="39"/>
      <c r="K78" s="38"/>
      <c r="L78" s="38"/>
      <c r="X78" s="60">
        <v>-1.22952647304286E-3</v>
      </c>
      <c r="Y78" s="60">
        <v>2.3329753858463399E-2</v>
      </c>
      <c r="Z78" s="60">
        <v>3.2186922720535402E-2</v>
      </c>
      <c r="AA78" s="56">
        <f t="shared" si="12"/>
        <v>2.0851724880607794E-3</v>
      </c>
      <c r="AN78">
        <v>5.7842717601568103E-2</v>
      </c>
      <c r="AO78">
        <v>-7.2568682389424497E-3</v>
      </c>
      <c r="AP78">
        <v>2.10437099643817E-2</v>
      </c>
      <c r="AQ78" s="56">
        <f t="shared" si="13"/>
        <v>3.5989805579452472E-3</v>
      </c>
      <c r="BD78">
        <v>-1.2423696993752901E-2</v>
      </c>
      <c r="BE78">
        <v>3.0363647811136901E-2</v>
      </c>
      <c r="BF78" s="56">
        <f t="shared" si="14"/>
        <v>6.4462048669315666E-2</v>
      </c>
      <c r="BS78">
        <v>-3.8833561502875698E-3</v>
      </c>
      <c r="BT78">
        <v>1.5559272311045201E-2</v>
      </c>
      <c r="BU78">
        <v>-6.4636733003187196E-4</v>
      </c>
      <c r="BV78">
        <v>-2.8806190249837799E-2</v>
      </c>
      <c r="BW78" s="56">
        <f t="shared" si="15"/>
        <v>1.2883758515761781E-2</v>
      </c>
      <c r="CJ78">
        <v>-7.8633030484711597E-3</v>
      </c>
      <c r="CK78">
        <v>1.6205639641077001E-2</v>
      </c>
      <c r="CL78">
        <v>3.09573962474925E-2</v>
      </c>
      <c r="CM78" s="56">
        <f t="shared" si="16"/>
        <v>-1.3055254099988457E-4</v>
      </c>
    </row>
    <row r="79" spans="1:91" x14ac:dyDescent="0.2">
      <c r="A79" s="1">
        <v>40298</v>
      </c>
      <c r="B79" s="38">
        <f>Data!B77</f>
        <v>6.0243134805275655E-3</v>
      </c>
      <c r="C79" s="38">
        <f>Data!C77</f>
        <v>1.7863316814567209E-2</v>
      </c>
      <c r="D79" s="38">
        <f>Data!D77</f>
        <v>-3.2228402163962167E-2</v>
      </c>
      <c r="E79" s="38">
        <f>Data!E77</f>
        <v>8.1760635077161581E-3</v>
      </c>
      <c r="F79" s="38">
        <f>Data!F77</f>
        <v>2.8230015513532658E-2</v>
      </c>
      <c r="G79" s="38">
        <f t="shared" si="17"/>
        <v>1.0448273234846334E-2</v>
      </c>
      <c r="H79" s="38">
        <f t="shared" si="18"/>
        <v>1.5191861437694931</v>
      </c>
      <c r="I79" s="39">
        <f>H79/MAX($H$4:H79) - 1</f>
        <v>0</v>
      </c>
      <c r="J79" s="39"/>
      <c r="K79" s="38"/>
      <c r="L79" s="38"/>
      <c r="X79" s="60">
        <v>1.04096237992575E-2</v>
      </c>
      <c r="Y79" s="60">
        <v>7.6130120779407404E-3</v>
      </c>
      <c r="Z79" s="60">
        <v>1.1980317161827601E-2</v>
      </c>
      <c r="AA79" s="56">
        <f t="shared" si="12"/>
        <v>2.718418809946662E-4</v>
      </c>
      <c r="AN79">
        <v>1.11738976238325E-2</v>
      </c>
      <c r="AO79">
        <v>-1.4701560670037099E-2</v>
      </c>
      <c r="AP79">
        <v>4.08068108460065E-2</v>
      </c>
      <c r="AQ79" s="56">
        <f t="shared" si="13"/>
        <v>5.0991581487482285E-3</v>
      </c>
      <c r="BD79">
        <v>1.9442689159781E-2</v>
      </c>
      <c r="BE79">
        <v>1.74100333738492E-2</v>
      </c>
      <c r="BF79" s="56">
        <f t="shared" si="14"/>
        <v>-6.8921206398763396E-2</v>
      </c>
      <c r="BS79">
        <v>5.9088255108915397E-2</v>
      </c>
      <c r="BT79">
        <v>8.7067818642223606E-3</v>
      </c>
      <c r="BU79">
        <v>-5.1907659473655601E-3</v>
      </c>
      <c r="BV79">
        <v>-3.8900121766480798E-3</v>
      </c>
      <c r="BW79" s="56">
        <f t="shared" si="15"/>
        <v>4.271611421974476E-3</v>
      </c>
      <c r="CJ79">
        <v>3.2550842533410902E-2</v>
      </c>
      <c r="CK79">
        <v>1.3897547811587901E-2</v>
      </c>
      <c r="CL79">
        <v>2.2389940961085E-2</v>
      </c>
      <c r="CM79" s="56">
        <f t="shared" si="16"/>
        <v>-3.1993298331609368E-3</v>
      </c>
    </row>
    <row r="80" spans="1:91" x14ac:dyDescent="0.2">
      <c r="A80" s="1">
        <v>40329</v>
      </c>
      <c r="B80" s="38">
        <f>Data!B78</f>
        <v>1.1200334338338447E-2</v>
      </c>
      <c r="C80" s="38">
        <f>Data!C78</f>
        <v>-8.1521739130434701E-2</v>
      </c>
      <c r="D80" s="38">
        <f>Data!D78</f>
        <v>-0.1131751190339898</v>
      </c>
      <c r="E80" s="38">
        <f>Data!E78</f>
        <v>-1.5831179029406006E-2</v>
      </c>
      <c r="F80" s="38">
        <f>Data!F78</f>
        <v>1.2731922912974092E-3</v>
      </c>
      <c r="G80" s="38">
        <f t="shared" si="17"/>
        <v>-2.5166257135243539E-2</v>
      </c>
      <c r="H80" s="38">
        <f t="shared" si="18"/>
        <v>1.4809539146390909</v>
      </c>
      <c r="I80" s="39">
        <f>H80/MAX($H$4:H80) - 1</f>
        <v>-2.5166257135243675E-2</v>
      </c>
      <c r="J80" s="39"/>
      <c r="K80" s="38"/>
      <c r="L80" s="38"/>
      <c r="X80" s="60">
        <v>8.4148727984345601E-3</v>
      </c>
      <c r="Y80" s="60">
        <v>-1.5784852259500399E-2</v>
      </c>
      <c r="Z80" s="60">
        <v>-4.3620988778093402E-2</v>
      </c>
      <c r="AA80" s="56">
        <f t="shared" si="12"/>
        <v>3.9796981620241704E-3</v>
      </c>
      <c r="AN80">
        <v>-7.6341502846614201E-2</v>
      </c>
      <c r="AO80">
        <v>5.8545360438296799E-3</v>
      </c>
      <c r="AP80">
        <v>3.9972566955445198E-3</v>
      </c>
      <c r="AQ80" s="56">
        <f t="shared" si="13"/>
        <v>-8.0285989549015724E-4</v>
      </c>
      <c r="BD80">
        <v>-6.9229506086817702E-2</v>
      </c>
      <c r="BE80">
        <v>-2.6637600426999399E-2</v>
      </c>
      <c r="BF80" s="56">
        <f t="shared" si="14"/>
        <v>-2.9894128380890117E-2</v>
      </c>
      <c r="BS80">
        <v>3.1610730855024902E-2</v>
      </c>
      <c r="BT80">
        <v>-2.2999867538602201E-2</v>
      </c>
      <c r="BU80">
        <v>-5.10550524466169E-3</v>
      </c>
      <c r="BV80">
        <v>3.9387055521053399E-2</v>
      </c>
      <c r="BW80" s="56">
        <f t="shared" si="15"/>
        <v>-8.9715105314875105E-3</v>
      </c>
      <c r="CJ80">
        <v>3.7703571147202899E-3</v>
      </c>
      <c r="CK80">
        <v>-1.7894362293940501E-2</v>
      </c>
      <c r="CL80">
        <v>-3.5206115979658802E-2</v>
      </c>
      <c r="CM80" s="56">
        <f t="shared" si="16"/>
        <v>1.208257976967617E-3</v>
      </c>
    </row>
    <row r="81" spans="1:91" x14ac:dyDescent="0.2">
      <c r="A81" s="1">
        <v>40359</v>
      </c>
      <c r="B81" s="38">
        <f>Data!B79</f>
        <v>1.122388130199381E-2</v>
      </c>
      <c r="C81" s="38">
        <f>Data!C79</f>
        <v>-6.2006903353057252E-2</v>
      </c>
      <c r="D81" s="38">
        <f>Data!D79</f>
        <v>-5.6963880126232436E-2</v>
      </c>
      <c r="E81" s="38">
        <f>Data!E79</f>
        <v>-1.1593779014537064E-3</v>
      </c>
      <c r="F81" s="38">
        <f>Data!F79</f>
        <v>1.7432318128602464E-2</v>
      </c>
      <c r="G81" s="38">
        <f t="shared" si="17"/>
        <v>-1.0226221862846833E-2</v>
      </c>
      <c r="H81" s="38">
        <f t="shared" si="18"/>
        <v>1.46580935133934</v>
      </c>
      <c r="I81" s="39">
        <f>H81/MAX($H$4:H81) - 1</f>
        <v>-3.5135123269168012E-2</v>
      </c>
      <c r="J81" s="39"/>
      <c r="K81" s="38"/>
      <c r="L81" s="38"/>
      <c r="X81" s="60">
        <v>1.56814383102859E-2</v>
      </c>
      <c r="Y81" s="60">
        <v>2.00630731565625E-2</v>
      </c>
      <c r="Z81" s="60">
        <v>-2.6433562101859701E-3</v>
      </c>
      <c r="AA81" s="56">
        <f t="shared" si="12"/>
        <v>6.635659488674079E-4</v>
      </c>
      <c r="AN81">
        <v>-5.5065373540875699E-2</v>
      </c>
      <c r="AO81">
        <v>1.2291304575335899E-3</v>
      </c>
      <c r="AP81">
        <v>-2.5145327453668601E-2</v>
      </c>
      <c r="AQ81" s="56">
        <f t="shared" si="13"/>
        <v>2.4513703410107973E-3</v>
      </c>
      <c r="BD81">
        <v>3.1823571296878401E-3</v>
      </c>
      <c r="BE81">
        <v>-1.09030082726644E-2</v>
      </c>
      <c r="BF81" s="56">
        <f t="shared" si="14"/>
        <v>-4.4542605206755653E-2</v>
      </c>
      <c r="BS81">
        <v>2.1442078434596799E-2</v>
      </c>
      <c r="BT81">
        <v>-1.0224874718030399E-2</v>
      </c>
      <c r="BU81">
        <v>-1.3880931583502299E-2</v>
      </c>
      <c r="BV81">
        <v>3.3895079875668102E-2</v>
      </c>
      <c r="BW81" s="56">
        <f t="shared" si="15"/>
        <v>9.3880331055315302E-3</v>
      </c>
      <c r="CJ81">
        <v>1.92350817392863E-2</v>
      </c>
      <c r="CK81">
        <v>3.6560568654719901E-3</v>
      </c>
      <c r="CL81">
        <v>1.30380821000999E-2</v>
      </c>
      <c r="CM81" s="56">
        <f t="shared" si="16"/>
        <v>-1.6690408270495297E-3</v>
      </c>
    </row>
    <row r="82" spans="1:91" x14ac:dyDescent="0.2">
      <c r="A82" s="1">
        <v>40389</v>
      </c>
      <c r="B82" s="38">
        <f>Data!B80</f>
        <v>8.5770003269654005E-3</v>
      </c>
      <c r="C82" s="38">
        <f>Data!C80</f>
        <v>7.1888553029307412E-2</v>
      </c>
      <c r="D82" s="38">
        <f>Data!D80</f>
        <v>0.10671765875183525</v>
      </c>
      <c r="E82" s="38">
        <f>Data!E80</f>
        <v>-6.2309587989517468E-4</v>
      </c>
      <c r="F82" s="38">
        <f>Data!F80</f>
        <v>4.1237453958851145E-3</v>
      </c>
      <c r="G82" s="38">
        <f t="shared" si="17"/>
        <v>2.9156450655991324E-2</v>
      </c>
      <c r="H82" s="38">
        <f t="shared" si="18"/>
        <v>1.5085471493627562</v>
      </c>
      <c r="I82" s="39">
        <f>H82/MAX($H$4:H82) - 1</f>
        <v>-7.0030881010663126E-3</v>
      </c>
      <c r="J82" s="39"/>
      <c r="K82" s="38"/>
      <c r="L82" s="38"/>
      <c r="X82" s="60">
        <v>1.06688526206795E-2</v>
      </c>
      <c r="Y82" s="60">
        <v>4.1167497203295197E-2</v>
      </c>
      <c r="Z82" s="60">
        <v>2.3982218439034801E-2</v>
      </c>
      <c r="AA82" s="56">
        <f t="shared" si="12"/>
        <v>1.7493113946307299E-3</v>
      </c>
      <c r="AN82">
        <v>7.1331945358704699E-2</v>
      </c>
      <c r="AO82">
        <v>3.6322046092349702E-3</v>
      </c>
      <c r="AP82">
        <v>-1.3441782998842001E-3</v>
      </c>
      <c r="AQ82" s="56">
        <f t="shared" si="13"/>
        <v>-8.0656522934835773E-3</v>
      </c>
      <c r="BD82">
        <v>6.7742386512124303E-2</v>
      </c>
      <c r="BE82">
        <v>1.97155165932386E-2</v>
      </c>
      <c r="BF82" s="56">
        <f t="shared" si="14"/>
        <v>3.3733796086337503E-2</v>
      </c>
      <c r="BS82">
        <v>-4.9405173940340399E-2</v>
      </c>
      <c r="BT82">
        <v>6.4454718815996096E-3</v>
      </c>
      <c r="BU82">
        <v>-1.0569480096350101E-2</v>
      </c>
      <c r="BV82">
        <v>-4.6496467733256899E-2</v>
      </c>
      <c r="BW82" s="56">
        <f t="shared" si="15"/>
        <v>1.1365294864398664E-2</v>
      </c>
      <c r="CJ82">
        <v>3.5037925666794299E-3</v>
      </c>
      <c r="CK82">
        <v>1.7014951977949701E-2</v>
      </c>
      <c r="CL82">
        <v>3.4651071059714302E-2</v>
      </c>
      <c r="CM82" s="56">
        <f t="shared" si="16"/>
        <v>-2.4461989697071914E-3</v>
      </c>
    </row>
    <row r="83" spans="1:91" x14ac:dyDescent="0.2">
      <c r="A83" s="1">
        <v>40421</v>
      </c>
      <c r="B83" s="38">
        <f>Data!B81</f>
        <v>1.5340886066421699E-3</v>
      </c>
      <c r="C83" s="38">
        <f>Data!C81</f>
        <v>-7.0745463462481561E-2</v>
      </c>
      <c r="D83" s="38">
        <f>Data!D81</f>
        <v>-1.4172234939479833E-2</v>
      </c>
      <c r="E83" s="38">
        <f>Data!E81</f>
        <v>1.6890744761737464E-2</v>
      </c>
      <c r="F83" s="38">
        <f>Data!F81</f>
        <v>1.4908432942208449E-2</v>
      </c>
      <c r="G83" s="38">
        <f t="shared" si="17"/>
        <v>-1.0090556292896843E-2</v>
      </c>
      <c r="H83" s="38">
        <f t="shared" si="18"/>
        <v>1.4933250694316225</v>
      </c>
      <c r="I83" s="39">
        <f>H83/MAX($H$4:H83) - 1</f>
        <v>-1.7022979339255118E-2</v>
      </c>
      <c r="J83" s="39"/>
      <c r="K83" s="38"/>
      <c r="L83" s="38"/>
      <c r="X83" s="60">
        <v>1.28675013263895E-2</v>
      </c>
      <c r="Y83" s="60">
        <v>2.3266717458828998E-2</v>
      </c>
      <c r="Z83" s="60">
        <v>-1.1303502662726001E-2</v>
      </c>
      <c r="AA83" s="56">
        <f t="shared" si="12"/>
        <v>-8.1253944550209369E-3</v>
      </c>
      <c r="AN83">
        <v>-4.6689689844406503E-2</v>
      </c>
      <c r="AO83">
        <v>-3.8998913016140601E-3</v>
      </c>
      <c r="AP83">
        <v>-2.8893588920252601E-2</v>
      </c>
      <c r="AQ83" s="56">
        <f t="shared" si="13"/>
        <v>-1.2538005800048109E-2</v>
      </c>
      <c r="BD83">
        <v>-2.5451399734246202E-2</v>
      </c>
      <c r="BE83">
        <v>-3.8365661018658899E-3</v>
      </c>
      <c r="BF83" s="56">
        <f t="shared" si="14"/>
        <v>8.4640410329724115E-3</v>
      </c>
      <c r="BS83">
        <v>5.6223539373412498E-2</v>
      </c>
      <c r="BT83">
        <v>1.4777954820992499E-3</v>
      </c>
      <c r="BU83">
        <v>-6.7100306840071101E-3</v>
      </c>
      <c r="BV83">
        <v>3.1417898010628997E-2</v>
      </c>
      <c r="BW83" s="56">
        <f t="shared" si="15"/>
        <v>1.5372882906670524E-2</v>
      </c>
      <c r="CJ83">
        <v>1.71124753343566E-2</v>
      </c>
      <c r="CK83">
        <v>8.18782616610636E-3</v>
      </c>
      <c r="CL83">
        <v>1.56399866366352E-3</v>
      </c>
      <c r="CM83" s="56">
        <f t="shared" si="16"/>
        <v>1.0589937325883141E-4</v>
      </c>
    </row>
    <row r="84" spans="1:91" x14ac:dyDescent="0.2">
      <c r="A84" s="1">
        <v>40451</v>
      </c>
      <c r="B84" s="38">
        <f>Data!B82</f>
        <v>-3.8091164468283534E-3</v>
      </c>
      <c r="C84" s="38">
        <f>Data!C82</f>
        <v>0.12138804591634766</v>
      </c>
      <c r="D84" s="38">
        <f>Data!D82</f>
        <v>0.10307778351717722</v>
      </c>
      <c r="E84" s="38">
        <f>Data!E82</f>
        <v>2.7352885379365866E-2</v>
      </c>
      <c r="F84" s="38">
        <f>Data!F82</f>
        <v>1.8584649295782185E-2</v>
      </c>
      <c r="G84" s="38">
        <f t="shared" si="17"/>
        <v>4.1056249432290977E-2</v>
      </c>
      <c r="H84" s="38">
        <f t="shared" si="18"/>
        <v>1.5546353959657004</v>
      </c>
      <c r="I84" s="39">
        <f>H84/MAX($H$4:H84) - 1</f>
        <v>0</v>
      </c>
      <c r="J84" s="39"/>
      <c r="K84" s="38"/>
      <c r="L84" s="38"/>
      <c r="X84" s="60">
        <v>1.06569369434451E-3</v>
      </c>
      <c r="Y84" s="60">
        <v>1.6762122947690201E-2</v>
      </c>
      <c r="Z84" s="60">
        <v>2.8624052892356699E-2</v>
      </c>
      <c r="AA84" s="56">
        <f t="shared" si="12"/>
        <v>-3.3235722949274491E-3</v>
      </c>
      <c r="AN84">
        <v>0.10645033399460201</v>
      </c>
      <c r="AO84">
        <v>2.8867154252985899E-2</v>
      </c>
      <c r="AP84">
        <v>3.5351540648262299E-2</v>
      </c>
      <c r="AQ84" s="56">
        <f t="shared" si="13"/>
        <v>-1.5037623798614147E-2</v>
      </c>
      <c r="BD84">
        <v>7.2603189200629401E-2</v>
      </c>
      <c r="BE84">
        <v>2.5192367834836301E-2</v>
      </c>
      <c r="BF84" s="56">
        <f t="shared" si="14"/>
        <v>1.9414129768371299E-2</v>
      </c>
      <c r="BS84">
        <v>4.9013949013949003E-2</v>
      </c>
      <c r="BT84">
        <v>1.9913805509131698E-2</v>
      </c>
      <c r="BU84">
        <v>3.5992978396723902E-3</v>
      </c>
      <c r="BV84">
        <v>-4.18459740981518E-2</v>
      </c>
      <c r="BW84" s="56">
        <f t="shared" si="15"/>
        <v>1.5571322545323252E-2</v>
      </c>
      <c r="CJ84">
        <v>2.18363673596964E-2</v>
      </c>
      <c r="CK84">
        <v>1.6314507669459299E-2</v>
      </c>
      <c r="CL84">
        <v>2.9689746586701201E-2</v>
      </c>
      <c r="CM84" s="56">
        <f t="shared" si="16"/>
        <v>-3.9579605250847777E-3</v>
      </c>
    </row>
    <row r="85" spans="1:91" x14ac:dyDescent="0.2">
      <c r="A85" s="1">
        <v>40480</v>
      </c>
      <c r="B85" s="38">
        <f>Data!B83</f>
        <v>9.794194270860368E-3</v>
      </c>
      <c r="C85" s="38">
        <f>Data!C83</f>
        <v>6.4595834804094698E-2</v>
      </c>
      <c r="D85" s="38">
        <f>Data!D83</f>
        <v>1.7491751184392168E-2</v>
      </c>
      <c r="E85" s="38">
        <f>Data!E83</f>
        <v>2.2308151768663853E-2</v>
      </c>
      <c r="F85" s="38">
        <f>Data!F83</f>
        <v>2.2509931632182179E-2</v>
      </c>
      <c r="G85" s="38">
        <f t="shared" si="17"/>
        <v>2.6247682217555822E-2</v>
      </c>
      <c r="H85" s="38">
        <f t="shared" si="18"/>
        <v>1.5954409718031723</v>
      </c>
      <c r="I85" s="39">
        <f>H85/MAX($H$4:H85) - 1</f>
        <v>0</v>
      </c>
      <c r="J85" s="39"/>
      <c r="K85" s="38"/>
      <c r="L85" s="38"/>
      <c r="X85" s="60">
        <v>3.56055958524282E-3</v>
      </c>
      <c r="Y85" s="60">
        <v>1.7199294002778798E-2</v>
      </c>
      <c r="Z85" s="60">
        <v>2.0692179901905999E-2</v>
      </c>
      <c r="AA85" s="56">
        <f t="shared" si="12"/>
        <v>8.2197727502999959E-3</v>
      </c>
      <c r="AN85">
        <v>4.7759549516597402E-2</v>
      </c>
      <c r="AO85">
        <v>1.77537454978818E-2</v>
      </c>
      <c r="AP85">
        <v>2.8724114515732398E-3</v>
      </c>
      <c r="AQ85" s="56">
        <f t="shared" si="13"/>
        <v>3.4785307346762301E-3</v>
      </c>
      <c r="BD85">
        <v>4.98276524715804E-2</v>
      </c>
      <c r="BE85">
        <v>1.8593923543872602E-2</v>
      </c>
      <c r="BF85" s="56">
        <f t="shared" si="14"/>
        <v>-4.1674431774732887E-2</v>
      </c>
      <c r="BS85">
        <v>3.88677457318845E-2</v>
      </c>
      <c r="BT85">
        <v>1.3873586919083599E-2</v>
      </c>
      <c r="BU85">
        <v>-1.73407408104565E-3</v>
      </c>
      <c r="BV85">
        <v>-1.43832024117201E-2</v>
      </c>
      <c r="BW85" s="56">
        <f t="shared" si="15"/>
        <v>1.6340784839585277E-2</v>
      </c>
      <c r="CJ85">
        <v>2.5652114295357901E-2</v>
      </c>
      <c r="CK85">
        <v>1.5607661000129201E-2</v>
      </c>
      <c r="CL85">
        <v>2.4252739487148799E-2</v>
      </c>
      <c r="CM85" s="56">
        <f t="shared" si="16"/>
        <v>-2.7304743076959209E-3</v>
      </c>
    </row>
    <row r="86" spans="1:91" x14ac:dyDescent="0.2">
      <c r="A86" s="1">
        <v>40512</v>
      </c>
      <c r="B86" s="38">
        <f>Data!B84</f>
        <v>-1.7984888097221097E-3</v>
      </c>
      <c r="C86" s="38">
        <f>Data!C84</f>
        <v>-1.6909814323607386E-2</v>
      </c>
      <c r="D86" s="38">
        <f>Data!D84</f>
        <v>-1.8656866627788427E-2</v>
      </c>
      <c r="E86" s="38">
        <f>Data!E84</f>
        <v>-9.1628478682193037E-3</v>
      </c>
      <c r="F86" s="38">
        <f>Data!F84</f>
        <v>-1.4332176592334211E-2</v>
      </c>
      <c r="G86" s="38">
        <f t="shared" si="17"/>
        <v>-1.0380357899375078E-2</v>
      </c>
      <c r="H86" s="38">
        <f t="shared" si="18"/>
        <v>1.5788797235085286</v>
      </c>
      <c r="I86" s="39">
        <f>H86/MAX($H$4:H86) - 1</f>
        <v>-1.0380357899375081E-2</v>
      </c>
      <c r="J86" s="39"/>
      <c r="K86" s="38"/>
      <c r="L86" s="38"/>
      <c r="X86" s="60">
        <v>-5.7474019825239902E-3</v>
      </c>
      <c r="Y86" s="60">
        <v>-3.1841842950492902E-2</v>
      </c>
      <c r="Z86" s="60">
        <v>-5.4089113838821099E-3</v>
      </c>
      <c r="AA86" s="56">
        <f t="shared" si="12"/>
        <v>2.9103965194163459E-3</v>
      </c>
      <c r="AN86">
        <v>1.1613499095365401E-2</v>
      </c>
      <c r="AO86">
        <v>1.6905303880970099E-2</v>
      </c>
      <c r="AP86">
        <v>3.45455215709045E-2</v>
      </c>
      <c r="AQ86" s="56">
        <f t="shared" si="13"/>
        <v>-4.3358494741253174E-2</v>
      </c>
      <c r="BD86">
        <v>-3.54025677256231E-3</v>
      </c>
      <c r="BE86">
        <v>2.59231225309109E-3</v>
      </c>
      <c r="BF86" s="56">
        <f t="shared" si="14"/>
        <v>-1.9696663476424195E-2</v>
      </c>
      <c r="BS86">
        <v>1.9729292334853502E-2</v>
      </c>
      <c r="BT86">
        <v>-1.86714559391121E-4</v>
      </c>
      <c r="BU86">
        <v>-4.8239227650591597E-3</v>
      </c>
      <c r="BV86">
        <v>6.2438844615164699E-3</v>
      </c>
      <c r="BW86" s="56">
        <f t="shared" si="15"/>
        <v>-7.4392094755480944E-3</v>
      </c>
      <c r="CJ86">
        <v>-1.9215541089480499E-2</v>
      </c>
      <c r="CK86">
        <v>4.6372082056680402E-3</v>
      </c>
      <c r="CL86">
        <v>-1.1156313366406099E-2</v>
      </c>
      <c r="CM86" s="56">
        <f t="shared" si="16"/>
        <v>5.4724482624653389E-3</v>
      </c>
    </row>
    <row r="87" spans="1:91" x14ac:dyDescent="0.2">
      <c r="A87" s="1">
        <v>40543</v>
      </c>
      <c r="B87" s="38">
        <f>Data!B85</f>
        <v>-5.4972887717157359E-3</v>
      </c>
      <c r="C87" s="38">
        <f>Data!C85</f>
        <v>5.2501405283867264E-2</v>
      </c>
      <c r="D87" s="38">
        <f>Data!D85</f>
        <v>0.12620483572381058</v>
      </c>
      <c r="E87" s="38">
        <f>Data!E85</f>
        <v>3.3396032885429472E-2</v>
      </c>
      <c r="F87" s="38">
        <f>Data!F85</f>
        <v>-1.9566361435638391E-2</v>
      </c>
      <c r="G87" s="38">
        <f t="shared" si="17"/>
        <v>1.9678645339290018E-2</v>
      </c>
      <c r="H87" s="38">
        <f t="shared" si="18"/>
        <v>1.6099499376208493</v>
      </c>
      <c r="I87" s="39">
        <f>H87/MAX($H$4:H87) - 1</f>
        <v>0</v>
      </c>
      <c r="J87" s="39"/>
      <c r="K87" s="38"/>
      <c r="L87" s="38"/>
      <c r="X87" s="60">
        <v>-1.0783669582095199E-2</v>
      </c>
      <c r="Y87" s="60">
        <v>-3.3175084367671501E-3</v>
      </c>
      <c r="Z87" s="60">
        <v>2.83917646887651E-2</v>
      </c>
      <c r="AA87" s="56">
        <f t="shared" si="12"/>
        <v>3.0701726549138015E-3</v>
      </c>
      <c r="AN87">
        <v>5.5081531539112001E-2</v>
      </c>
      <c r="AO87">
        <v>-2.3822196544943899E-2</v>
      </c>
      <c r="AP87">
        <v>1.2575877996148E-2</v>
      </c>
      <c r="AQ87" s="56">
        <f t="shared" si="13"/>
        <v>4.3005087438375417E-4</v>
      </c>
      <c r="BD87">
        <v>0.106889676899993</v>
      </c>
      <c r="BE87">
        <v>2.67461511161005E-2</v>
      </c>
      <c r="BF87" s="56">
        <f t="shared" si="14"/>
        <v>1.6890217767728144E-2</v>
      </c>
      <c r="BS87">
        <v>2.5378367070162201E-2</v>
      </c>
      <c r="BT87">
        <v>2.1734780853239301E-2</v>
      </c>
      <c r="BU87">
        <v>1.10616180890677E-2</v>
      </c>
      <c r="BV87">
        <v>-3.1599235959207002E-2</v>
      </c>
      <c r="BW87" s="56">
        <f t="shared" si="15"/>
        <v>1.7133189037296211E-2</v>
      </c>
      <c r="CJ87">
        <v>-2.2837250512475201E-2</v>
      </c>
      <c r="CK87">
        <v>1.0673162764171599E-2</v>
      </c>
      <c r="CL87">
        <v>1.7608095106669899E-2</v>
      </c>
      <c r="CM87" s="56">
        <f t="shared" si="16"/>
        <v>-2.7051689170144375E-4</v>
      </c>
    </row>
    <row r="88" spans="1:91" x14ac:dyDescent="0.2">
      <c r="A88" s="1">
        <v>40574</v>
      </c>
      <c r="B88" s="38">
        <f>Data!B86</f>
        <v>5.151446746194388E-4</v>
      </c>
      <c r="C88" s="38">
        <f>Data!C86</f>
        <v>4.2191839350566029E-2</v>
      </c>
      <c r="D88" s="38">
        <f>Data!D86</f>
        <v>1.6867305606979244E-2</v>
      </c>
      <c r="E88" s="38">
        <f>Data!E86</f>
        <v>-7.2124827356772059E-3</v>
      </c>
      <c r="F88" s="38">
        <f>Data!F86</f>
        <v>4.809395497632929E-3</v>
      </c>
      <c r="G88" s="38">
        <f t="shared" si="17"/>
        <v>1.0996755791168633E-2</v>
      </c>
      <c r="H88" s="38">
        <f t="shared" si="18"/>
        <v>1.6276541639208728</v>
      </c>
      <c r="I88" s="39">
        <f>H88/MAX($H$4:H88) - 1</f>
        <v>0</v>
      </c>
      <c r="J88" s="39"/>
      <c r="K88" s="38"/>
      <c r="L88" s="38"/>
      <c r="X88" s="60">
        <v>1.16385351288773E-3</v>
      </c>
      <c r="Y88" s="60">
        <v>-5.4328072692492197E-3</v>
      </c>
      <c r="Z88" s="60">
        <v>1.98605623875476E-2</v>
      </c>
      <c r="AA88" s="56">
        <f t="shared" si="12"/>
        <v>1.4940186797995918E-3</v>
      </c>
      <c r="AN88">
        <v>2.54489283099717E-2</v>
      </c>
      <c r="AO88">
        <v>2.82725468158662E-3</v>
      </c>
      <c r="AP88">
        <v>-2.62783329712972E-2</v>
      </c>
      <c r="AQ88" s="56">
        <f t="shared" si="13"/>
        <v>1.7467829912207945E-2</v>
      </c>
      <c r="BD88">
        <v>1.0030111481438999E-2</v>
      </c>
      <c r="BE88">
        <v>1.6794436714026299E-2</v>
      </c>
      <c r="BF88" s="56">
        <f t="shared" si="14"/>
        <v>-1.2530313587804986E-2</v>
      </c>
      <c r="BS88">
        <v>-6.2424370339102302E-2</v>
      </c>
      <c r="BT88">
        <v>2.5613937636308499E-3</v>
      </c>
      <c r="BU88">
        <v>-8.8929202417624698E-3</v>
      </c>
      <c r="BV88">
        <v>-1.9486330288817098E-2</v>
      </c>
      <c r="BW88" s="56">
        <f t="shared" si="15"/>
        <v>4.9009312079848575E-3</v>
      </c>
      <c r="CJ88">
        <v>1.6578587332671799E-3</v>
      </c>
      <c r="CK88">
        <v>1.1454314005393301E-2</v>
      </c>
      <c r="CL88">
        <v>2.1024415900435401E-2</v>
      </c>
      <c r="CM88" s="56">
        <f t="shared" si="16"/>
        <v>1.3875288811747225E-3</v>
      </c>
    </row>
    <row r="89" spans="1:91" x14ac:dyDescent="0.2">
      <c r="A89" s="1">
        <v>40602</v>
      </c>
      <c r="B89" s="38">
        <f>Data!B87</f>
        <v>2.5107604017218232E-3</v>
      </c>
      <c r="C89" s="38">
        <f>Data!C87</f>
        <v>1.8960746130982864E-2</v>
      </c>
      <c r="D89" s="38">
        <f>Data!D87</f>
        <v>2.4439452712319953E-2</v>
      </c>
      <c r="E89" s="38">
        <f>Data!E87</f>
        <v>1.275295479218741E-2</v>
      </c>
      <c r="F89" s="38">
        <f>Data!F87</f>
        <v>6.1165183388709465E-3</v>
      </c>
      <c r="G89" s="38">
        <f t="shared" si="17"/>
        <v>9.948542417957262E-3</v>
      </c>
      <c r="H89" s="38">
        <f t="shared" si="18"/>
        <v>1.6438469504124045</v>
      </c>
      <c r="I89" s="39">
        <f>H89/MAX($H$4:H89) - 1</f>
        <v>0</v>
      </c>
      <c r="J89" s="39"/>
      <c r="K89" s="38"/>
      <c r="L89" s="38"/>
      <c r="X89" s="60">
        <v>2.5015063815800901E-3</v>
      </c>
      <c r="Y89" s="60">
        <v>2.9428170260239498E-3</v>
      </c>
      <c r="Z89" s="60">
        <v>1.08682542015206E-2</v>
      </c>
      <c r="AA89" s="56">
        <f t="shared" si="12"/>
        <v>1.6276495858660494E-3</v>
      </c>
      <c r="AN89">
        <v>3.2727073692865302E-2</v>
      </c>
      <c r="AO89">
        <v>-4.1579370923932098E-3</v>
      </c>
      <c r="AP89">
        <v>2.0582670115783401E-2</v>
      </c>
      <c r="AQ89" s="56">
        <f t="shared" si="13"/>
        <v>-1.8781111455590728E-2</v>
      </c>
      <c r="BD89">
        <v>1.31790792698876E-2</v>
      </c>
      <c r="BE89">
        <v>1.3636529942470801E-2</v>
      </c>
      <c r="BF89" s="56">
        <f t="shared" si="14"/>
        <v>-2.8915548218365755E-3</v>
      </c>
      <c r="BS89">
        <v>5.9024364621398998E-2</v>
      </c>
      <c r="BT89">
        <v>8.9363873758778693E-3</v>
      </c>
      <c r="BU89">
        <v>-1.4079908037456499E-4</v>
      </c>
      <c r="BV89">
        <v>-2.1252558670661299E-2</v>
      </c>
      <c r="BW89" s="56">
        <f t="shared" si="15"/>
        <v>5.6100126355325833E-3</v>
      </c>
      <c r="CJ89">
        <v>6.2401576911952396E-3</v>
      </c>
      <c r="CK89">
        <v>9.0771864562524396E-3</v>
      </c>
      <c r="CL89">
        <v>1.3369760583100699E-2</v>
      </c>
      <c r="CM89" s="56">
        <f t="shared" si="16"/>
        <v>-5.5500142428555228E-4</v>
      </c>
    </row>
    <row r="90" spans="1:91" x14ac:dyDescent="0.2">
      <c r="A90" s="1">
        <v>40633</v>
      </c>
      <c r="B90" s="38">
        <f>Data!B88</f>
        <v>2.7872352703559589E-3</v>
      </c>
      <c r="C90" s="38">
        <f>Data!C88</f>
        <v>-2.6252263126131603E-2</v>
      </c>
      <c r="D90" s="38">
        <f>Data!D88</f>
        <v>-3.7958295158312727E-2</v>
      </c>
      <c r="E90" s="38">
        <f>Data!E88</f>
        <v>-1.0905528496127914E-2</v>
      </c>
      <c r="F90" s="38">
        <f>Data!F88</f>
        <v>6.8598248939435447E-3</v>
      </c>
      <c r="G90" s="38">
        <f t="shared" si="17"/>
        <v>-7.5290992057278315E-3</v>
      </c>
      <c r="H90" s="38">
        <f t="shared" si="18"/>
        <v>1.6314702636437162</v>
      </c>
      <c r="I90" s="39">
        <f>H90/MAX($H$4:H90) - 1</f>
        <v>-7.5290992057279738E-3</v>
      </c>
      <c r="J90" s="39"/>
      <c r="K90" s="38"/>
      <c r="L90" s="38"/>
      <c r="X90" s="60">
        <v>5.5247947933367901E-4</v>
      </c>
      <c r="Y90" s="60">
        <v>1.26956121509663E-2</v>
      </c>
      <c r="Z90" s="60">
        <v>3.6489181284420401E-3</v>
      </c>
      <c r="AA90" s="56">
        <f t="shared" si="12"/>
        <v>2.047968441294911E-3</v>
      </c>
      <c r="AN90">
        <v>1.2212861443312601E-3</v>
      </c>
      <c r="AO90">
        <v>-2.7498549605062799E-3</v>
      </c>
      <c r="AP90">
        <v>2.5518434800070499E-2</v>
      </c>
      <c r="AQ90" s="56">
        <f t="shared" si="13"/>
        <v>-3.0798374353979877E-2</v>
      </c>
      <c r="BD90">
        <v>2.0645485896374299E-2</v>
      </c>
      <c r="BE90">
        <v>3.5529420588067402E-3</v>
      </c>
      <c r="BF90" s="56">
        <f t="shared" si="14"/>
        <v>-5.6910885837464779E-2</v>
      </c>
      <c r="BS90">
        <v>1.478746997513E-2</v>
      </c>
      <c r="BT90">
        <v>-6.9007107654817101E-4</v>
      </c>
      <c r="BU90">
        <v>-3.5468658126823799E-3</v>
      </c>
      <c r="BV90">
        <v>4.59562946013103E-3</v>
      </c>
      <c r="BW90" s="56">
        <f t="shared" si="15"/>
        <v>-9.4892154720388425E-3</v>
      </c>
      <c r="CJ90">
        <v>8.8310914036591193E-3</v>
      </c>
      <c r="CK90">
        <v>2.8567947361342102E-3</v>
      </c>
      <c r="CL90">
        <v>4.2013976077757099E-3</v>
      </c>
      <c r="CM90" s="56">
        <f t="shared" si="16"/>
        <v>-1.4833437102494042E-3</v>
      </c>
    </row>
    <row r="91" spans="1:91" x14ac:dyDescent="0.2">
      <c r="A91" s="1">
        <v>40662</v>
      </c>
      <c r="B91" s="38">
        <f>Data!B89</f>
        <v>1.0974086883462908E-2</v>
      </c>
      <c r="C91" s="38">
        <f>Data!C89</f>
        <v>2.9335812416072748E-2</v>
      </c>
      <c r="D91" s="38">
        <f>Data!D89</f>
        <v>-5.0468660364161311E-3</v>
      </c>
      <c r="E91" s="38">
        <f>Data!E89</f>
        <v>2.3708352933925037E-2</v>
      </c>
      <c r="F91" s="38">
        <f>Data!F89</f>
        <v>2.9504047248661847E-2</v>
      </c>
      <c r="G91" s="38">
        <f t="shared" si="17"/>
        <v>1.9053880360492263E-2</v>
      </c>
      <c r="H91" s="38">
        <f t="shared" si="18"/>
        <v>1.6625561028588842</v>
      </c>
      <c r="I91" s="39">
        <f>H91/MAX($H$4:H91) - 1</f>
        <v>0</v>
      </c>
      <c r="J91" s="39"/>
      <c r="K91" s="38"/>
      <c r="L91" s="38"/>
      <c r="X91" s="60">
        <v>1.2693943678209901E-2</v>
      </c>
      <c r="Y91" s="60">
        <v>1.39188728553574E-2</v>
      </c>
      <c r="Z91" s="60">
        <v>2.5056415991357999E-3</v>
      </c>
      <c r="AA91" s="56">
        <f t="shared" si="12"/>
        <v>2.8715585590727132E-3</v>
      </c>
      <c r="AN91">
        <v>3.3488800570329998E-2</v>
      </c>
      <c r="AO91">
        <v>6.8602324482860402E-3</v>
      </c>
      <c r="AP91">
        <v>-3.20957313429138E-3</v>
      </c>
      <c r="AQ91" s="56">
        <f t="shared" si="13"/>
        <v>-1.0082666750317583E-2</v>
      </c>
      <c r="BD91">
        <v>3.46305763752097E-2</v>
      </c>
      <c r="BE91">
        <v>1.19405318117924E-2</v>
      </c>
      <c r="BF91" s="56">
        <f t="shared" si="14"/>
        <v>-4.4851504900545514E-2</v>
      </c>
      <c r="BS91">
        <v>9.1816785365172404E-2</v>
      </c>
      <c r="BT91">
        <v>1.11352948819967E-2</v>
      </c>
      <c r="BU91">
        <v>2.8698767139914202E-3</v>
      </c>
      <c r="BV91">
        <v>-1.6257760447181E-2</v>
      </c>
      <c r="BW91" s="56">
        <f t="shared" si="15"/>
        <v>1.0528622536666286E-2</v>
      </c>
      <c r="CJ91">
        <v>3.1358498928861799E-2</v>
      </c>
      <c r="CK91">
        <v>8.2654181680053007E-3</v>
      </c>
      <c r="CL91">
        <v>1.51995852773457E-2</v>
      </c>
      <c r="CM91" s="56">
        <f t="shared" si="16"/>
        <v>-3.9690489959368774E-4</v>
      </c>
    </row>
    <row r="92" spans="1:91" x14ac:dyDescent="0.2">
      <c r="A92" s="1">
        <v>40694</v>
      </c>
      <c r="B92" s="38">
        <f>Data!B90</f>
        <v>1.0741120218579203E-2</v>
      </c>
      <c r="C92" s="38">
        <f>Data!C90</f>
        <v>-1.6859006522830011E-2</v>
      </c>
      <c r="D92" s="38">
        <f>Data!D90</f>
        <v>-2.7437374135532155E-2</v>
      </c>
      <c r="E92" s="38">
        <f>Data!E90</f>
        <v>-2.3014873962964644E-2</v>
      </c>
      <c r="F92" s="38">
        <f>Data!F90</f>
        <v>6.9046765353686368E-3</v>
      </c>
      <c r="G92" s="38">
        <f t="shared" si="17"/>
        <v>-2.9842542915860561E-3</v>
      </c>
      <c r="H92" s="38">
        <f t="shared" si="18"/>
        <v>1.6575946126739249</v>
      </c>
      <c r="I92" s="39">
        <f>H92/MAX($H$4:H92) - 1</f>
        <v>-2.9842542915861081E-3</v>
      </c>
      <c r="J92" s="39"/>
      <c r="K92" s="38"/>
      <c r="L92" s="38"/>
      <c r="X92" s="60">
        <v>1.3050121333772801E-2</v>
      </c>
      <c r="Y92" s="60">
        <v>1.46616611568704E-2</v>
      </c>
      <c r="Z92" s="60">
        <v>-8.1599753983612206E-3</v>
      </c>
      <c r="AA92" s="56">
        <f t="shared" si="12"/>
        <v>1.6434791136227464E-3</v>
      </c>
      <c r="AN92">
        <v>-1.0886826127866799E-2</v>
      </c>
      <c r="AO92">
        <v>-3.2138089090594203E-4</v>
      </c>
      <c r="AP92">
        <v>-7.4291117698970198E-3</v>
      </c>
      <c r="AQ92" s="56">
        <f t="shared" si="13"/>
        <v>-3.4318797760403766E-3</v>
      </c>
      <c r="BD92">
        <v>-5.0582091672951003E-2</v>
      </c>
      <c r="BE92">
        <v>-4.6510986692748198E-3</v>
      </c>
      <c r="BF92" s="56">
        <f t="shared" si="14"/>
        <v>1.3565513511134088E-2</v>
      </c>
      <c r="BS92">
        <v>-1.7893457824390901E-2</v>
      </c>
      <c r="BT92">
        <v>-9.8768207073909303E-3</v>
      </c>
      <c r="BU92">
        <v>-1.0873187113345201E-2</v>
      </c>
      <c r="BV92">
        <v>-1.4843100560157901E-3</v>
      </c>
      <c r="BW92" s="56">
        <f t="shared" si="15"/>
        <v>-1.0081806654321379E-2</v>
      </c>
      <c r="CJ92">
        <v>6.0216616102444203E-3</v>
      </c>
      <c r="CK92">
        <v>9.9636640595424097E-4</v>
      </c>
      <c r="CL92">
        <v>4.8901459354115896E-3</v>
      </c>
      <c r="CM92" s="56">
        <f t="shared" si="16"/>
        <v>7.7898608344415324E-4</v>
      </c>
    </row>
    <row r="93" spans="1:91" x14ac:dyDescent="0.2">
      <c r="A93" s="1">
        <v>40724</v>
      </c>
      <c r="B93" s="38">
        <f>Data!B91</f>
        <v>9.3485839148033101E-4</v>
      </c>
      <c r="C93" s="38">
        <f>Data!C91</f>
        <v>-2.6130448096356007E-2</v>
      </c>
      <c r="D93" s="38">
        <f>Data!D91</f>
        <v>-4.4209618561340536E-3</v>
      </c>
      <c r="E93" s="38">
        <f>Data!E91</f>
        <v>-1.7408496940163443E-2</v>
      </c>
      <c r="F93" s="38">
        <f>Data!F91</f>
        <v>1.0535258268982384E-2</v>
      </c>
      <c r="G93" s="38">
        <f t="shared" si="17"/>
        <v>-4.6447585913478688E-3</v>
      </c>
      <c r="H93" s="38">
        <f t="shared" si="18"/>
        <v>1.6498954858557358</v>
      </c>
      <c r="I93" s="39">
        <f>H93/MAX($H$4:H93) - 1</f>
        <v>-7.6151517421744197E-3</v>
      </c>
      <c r="J93" s="39"/>
      <c r="K93" s="38"/>
      <c r="L93" s="38"/>
      <c r="X93" s="60">
        <v>-2.9277294423118998E-3</v>
      </c>
      <c r="Y93" s="60">
        <v>1.12101019769539E-2</v>
      </c>
      <c r="Z93" s="60">
        <v>-7.1170361838089899E-3</v>
      </c>
      <c r="AA93" s="56">
        <f t="shared" si="12"/>
        <v>1.5913978584745317E-3</v>
      </c>
      <c r="AN93">
        <v>-1.43426072184305E-2</v>
      </c>
      <c r="AO93">
        <v>6.1608025568010696E-3</v>
      </c>
      <c r="AP93">
        <v>-6.3868590696966E-3</v>
      </c>
      <c r="AQ93" s="56">
        <f t="shared" si="13"/>
        <v>-1.2010490896493404E-2</v>
      </c>
      <c r="BD93">
        <v>-5.04424162820424E-2</v>
      </c>
      <c r="BE93">
        <v>-1.0231641019401E-2</v>
      </c>
      <c r="BF93" s="56">
        <f t="shared" si="14"/>
        <v>4.3963246403705351E-2</v>
      </c>
      <c r="BS93">
        <v>-2.3148751074414602E-2</v>
      </c>
      <c r="BT93">
        <v>-1.2971422260582E-2</v>
      </c>
      <c r="BU93">
        <v>-1.046439447679E-2</v>
      </c>
      <c r="BV93">
        <v>4.0717453730455501E-3</v>
      </c>
      <c r="BW93" s="56">
        <f t="shared" si="15"/>
        <v>-3.5478605207681837E-3</v>
      </c>
      <c r="CJ93">
        <v>1.10609343056785E-2</v>
      </c>
      <c r="CK93">
        <v>-2.5070277837919699E-3</v>
      </c>
      <c r="CL93">
        <v>-1.0044765626120901E-2</v>
      </c>
      <c r="CM93" s="56">
        <f t="shared" si="16"/>
        <v>1.7559723184250899E-3</v>
      </c>
    </row>
    <row r="94" spans="1:91" x14ac:dyDescent="0.2">
      <c r="A94" s="1">
        <v>40753</v>
      </c>
      <c r="B94" s="38">
        <f>Data!B92</f>
        <v>9.2948411381117424E-3</v>
      </c>
      <c r="C94" s="38">
        <f>Data!C92</f>
        <v>1.5931244104391729E-2</v>
      </c>
      <c r="D94" s="38">
        <f>Data!D92</f>
        <v>4.5302466364798066E-2</v>
      </c>
      <c r="E94" s="38">
        <f>Data!E92</f>
        <v>1.6556570391669911E-2</v>
      </c>
      <c r="F94" s="38">
        <f>Data!F92</f>
        <v>4.0664689980820512E-2</v>
      </c>
      <c r="G94" s="38">
        <f t="shared" si="17"/>
        <v>2.2614163867208513E-2</v>
      </c>
      <c r="H94" s="38">
        <f t="shared" si="18"/>
        <v>1.687206492736645</v>
      </c>
      <c r="I94" s="39">
        <f>H94/MAX($H$4:H94) - 1</f>
        <v>0</v>
      </c>
      <c r="J94" s="39"/>
      <c r="K94" s="38"/>
      <c r="L94" s="38"/>
      <c r="X94" s="60">
        <v>1.58680254837524E-2</v>
      </c>
      <c r="Y94" s="60">
        <v>1.9459361063074401E-2</v>
      </c>
      <c r="Z94" s="60">
        <v>-3.5134893072694701E-3</v>
      </c>
      <c r="AA94" s="56">
        <f t="shared" si="12"/>
        <v>-1.4055063178555066E-3</v>
      </c>
      <c r="AN94">
        <v>-1.00234679055886E-2</v>
      </c>
      <c r="AO94">
        <v>2.3145777775859699E-2</v>
      </c>
      <c r="AP94">
        <v>-1.5810151599922499E-2</v>
      </c>
      <c r="AQ94" s="56">
        <f t="shared" si="13"/>
        <v>1.9256803505502386E-2</v>
      </c>
      <c r="BD94">
        <v>2.9617689324444401E-2</v>
      </c>
      <c r="BE94">
        <v>-1.92531085116021E-3</v>
      </c>
      <c r="BF94" s="56">
        <f t="shared" si="14"/>
        <v>2.7522523609019845E-2</v>
      </c>
      <c r="BS94">
        <v>8.4577081264123305E-2</v>
      </c>
      <c r="BT94">
        <v>3.4010100506687299E-3</v>
      </c>
      <c r="BU94">
        <v>3.43450241174959E-3</v>
      </c>
      <c r="BV94">
        <v>1.7063345671843502E-2</v>
      </c>
      <c r="BW94" s="56">
        <f t="shared" si="15"/>
        <v>4.8112073551841578E-3</v>
      </c>
      <c r="CJ94">
        <v>4.3724504936800003E-2</v>
      </c>
      <c r="CK94">
        <v>-3.3492361080855703E-5</v>
      </c>
      <c r="CL94">
        <v>1.2354536176482999E-2</v>
      </c>
      <c r="CM94" s="56">
        <f t="shared" si="16"/>
        <v>-1.050571187280365E-3</v>
      </c>
    </row>
    <row r="95" spans="1:91" x14ac:dyDescent="0.2">
      <c r="A95" s="1">
        <v>40786</v>
      </c>
      <c r="B95" s="38">
        <f>Data!B93</f>
        <v>1.2453661119937731E-2</v>
      </c>
      <c r="C95" s="38">
        <f>Data!C93</f>
        <v>-6.0455999174662267E-2</v>
      </c>
      <c r="D95" s="38">
        <f>Data!D93</f>
        <v>-7.4837536604256516E-2</v>
      </c>
      <c r="E95" s="38">
        <f>Data!E93</f>
        <v>-5.1121648646952345E-3</v>
      </c>
      <c r="F95" s="38">
        <f>Data!F93</f>
        <v>1.1614351294218839E-2</v>
      </c>
      <c r="G95" s="38">
        <f t="shared" si="17"/>
        <v>-1.3037557327729854E-2</v>
      </c>
      <c r="H95" s="38">
        <f t="shared" si="18"/>
        <v>1.6652094413638729</v>
      </c>
      <c r="I95" s="39">
        <f>H95/MAX($H$4:H95) - 1</f>
        <v>-1.3037557327729932E-2</v>
      </c>
      <c r="J95" s="39"/>
      <c r="K95" s="38"/>
      <c r="L95" s="38"/>
      <c r="X95" s="60">
        <v>1.4609963037143899E-2</v>
      </c>
      <c r="Y95" s="60">
        <v>5.3210484965360303E-3</v>
      </c>
      <c r="Z95" s="60">
        <v>-5.4681116864943001E-2</v>
      </c>
      <c r="AA95" s="56">
        <f t="shared" si="12"/>
        <v>-3.2877833029529464E-4</v>
      </c>
      <c r="AN95">
        <v>-5.2774459891994599E-2</v>
      </c>
      <c r="AO95">
        <v>9.6312827023988801E-3</v>
      </c>
      <c r="AP95">
        <v>-3.2680635012279899E-2</v>
      </c>
      <c r="AQ95" s="56">
        <f t="shared" si="13"/>
        <v>-1.0068973483670224E-3</v>
      </c>
      <c r="BD95">
        <v>9.9858719603633794E-3</v>
      </c>
      <c r="BE95">
        <v>-3.7205475368279103E-2</v>
      </c>
      <c r="BF95" s="56">
        <f t="shared" si="14"/>
        <v>-3.1850582662708987E-2</v>
      </c>
      <c r="BS95">
        <v>0.121999938539074</v>
      </c>
      <c r="BT95">
        <v>-2.44658040418794E-2</v>
      </c>
      <c r="BU95">
        <v>-2.7617308491720799E-3</v>
      </c>
      <c r="BV95">
        <v>5.4431745927553399E-3</v>
      </c>
      <c r="BW95" s="56">
        <f t="shared" si="15"/>
        <v>-6.2998314538459631E-3</v>
      </c>
      <c r="CJ95">
        <v>1.9951230325870001E-2</v>
      </c>
      <c r="CK95">
        <v>-2.1704073192707299E-2</v>
      </c>
      <c r="CL95">
        <v>-4.0071153827799098E-2</v>
      </c>
      <c r="CM95" s="56">
        <f t="shared" si="16"/>
        <v>-2.8636160323782522E-3</v>
      </c>
    </row>
    <row r="96" spans="1:91" x14ac:dyDescent="0.2">
      <c r="A96" s="1">
        <v>40816</v>
      </c>
      <c r="B96" s="38">
        <f>Data!B94</f>
        <v>1.7068698759490353E-3</v>
      </c>
      <c r="C96" s="38">
        <f>Data!C94</f>
        <v>-3.3929943999121415E-2</v>
      </c>
      <c r="D96" s="38">
        <f>Data!D94</f>
        <v>-0.20058644038488704</v>
      </c>
      <c r="E96" s="38">
        <f>Data!E94</f>
        <v>-1.2433538373822772E-2</v>
      </c>
      <c r="F96" s="38">
        <f>Data!F94</f>
        <v>-8.3202631880940903E-4</v>
      </c>
      <c r="G96" s="38">
        <f t="shared" si="17"/>
        <v>-2.7311573887698913E-2</v>
      </c>
      <c r="H96" s="38">
        <f t="shared" si="18"/>
        <v>1.6197299506675698</v>
      </c>
      <c r="I96" s="39">
        <f>H96/MAX($H$4:H96) - 1</f>
        <v>-3.9993055005157374E-2</v>
      </c>
      <c r="J96" s="39"/>
      <c r="K96" s="38"/>
      <c r="L96" s="38"/>
      <c r="X96" s="60">
        <v>7.2746108025669703E-3</v>
      </c>
      <c r="Y96" s="60">
        <v>-4.2005612589250799E-2</v>
      </c>
      <c r="Z96" s="60">
        <v>-4.32217992708313E-2</v>
      </c>
      <c r="AA96" s="56">
        <f t="shared" si="12"/>
        <v>-3.4335557811382084E-3</v>
      </c>
      <c r="AN96">
        <v>-7.3684392965963005E-2</v>
      </c>
      <c r="AO96">
        <v>1.88904497320441E-3</v>
      </c>
      <c r="AP96">
        <v>-4.1803399819180902E-2</v>
      </c>
      <c r="AQ96" s="56">
        <f t="shared" si="13"/>
        <v>5.3633393260947723E-2</v>
      </c>
      <c r="BD96">
        <v>-0.147349942083254</v>
      </c>
      <c r="BE96">
        <v>-3.9415250609949902E-2</v>
      </c>
      <c r="BF96" s="56">
        <f t="shared" si="14"/>
        <v>-4.6483562259220207E-2</v>
      </c>
      <c r="BS96">
        <v>-0.11052011722494599</v>
      </c>
      <c r="BT96">
        <v>-2.27382412298292E-2</v>
      </c>
      <c r="BU96">
        <v>-5.9400443721740999E-3</v>
      </c>
      <c r="BV96">
        <v>9.9451249741936403E-3</v>
      </c>
      <c r="BW96" s="56">
        <f t="shared" si="15"/>
        <v>8.5917228625998938E-3</v>
      </c>
      <c r="CJ96">
        <v>2.3388110335183002E-3</v>
      </c>
      <c r="CK96">
        <v>-1.6798196857655101E-2</v>
      </c>
      <c r="CL96">
        <v>-3.59471884682643E-2</v>
      </c>
      <c r="CM96" s="56">
        <f t="shared" si="16"/>
        <v>6.5641714723897997E-4</v>
      </c>
    </row>
    <row r="97" spans="1:91" x14ac:dyDescent="0.2">
      <c r="A97" s="1">
        <v>40847</v>
      </c>
      <c r="B97" s="38">
        <f>Data!B95</f>
        <v>-2.7483248959736528E-5</v>
      </c>
      <c r="C97" s="38">
        <f>Data!C95</f>
        <v>0.11513980450102301</v>
      </c>
      <c r="D97" s="38">
        <f>Data!D95</f>
        <v>9.3217606117719676E-2</v>
      </c>
      <c r="E97" s="38">
        <f>Data!E95</f>
        <v>-9.2411245091531535E-3</v>
      </c>
      <c r="F97" s="38">
        <f>Data!F95</f>
        <v>1.1275208897651989E-2</v>
      </c>
      <c r="G97" s="38">
        <f t="shared" si="17"/>
        <v>3.467213255665829E-2</v>
      </c>
      <c r="H97" s="38">
        <f t="shared" si="18"/>
        <v>1.6758894422231054</v>
      </c>
      <c r="I97" s="39">
        <f>H97/MAX($H$4:H97) - 1</f>
        <v>-6.7075669529835791E-3</v>
      </c>
      <c r="J97" s="39"/>
      <c r="K97" s="38"/>
      <c r="L97" s="38"/>
      <c r="X97" s="60">
        <v>1.07416909021296E-3</v>
      </c>
      <c r="Y97" s="60">
        <v>4.5089641618925903E-2</v>
      </c>
      <c r="Z97" s="60">
        <v>5.8483067583956903E-2</v>
      </c>
      <c r="AA97" s="56">
        <f t="shared" si="12"/>
        <v>1.0522294546051192E-3</v>
      </c>
      <c r="AN97">
        <v>0.10973930274482099</v>
      </c>
      <c r="AO97">
        <v>-4.7517361960460799E-3</v>
      </c>
      <c r="AP97">
        <v>4.2065054134454702E-2</v>
      </c>
      <c r="AQ97" s="56">
        <f t="shared" si="13"/>
        <v>-1.0876028816990374E-2</v>
      </c>
      <c r="BD97">
        <v>6.6183529972758906E-2</v>
      </c>
      <c r="BE97">
        <v>3.02568292427325E-2</v>
      </c>
      <c r="BF97" s="56">
        <f t="shared" si="14"/>
        <v>7.1810830690156313E-3</v>
      </c>
      <c r="BS97">
        <v>5.5986303647639103E-2</v>
      </c>
      <c r="BT97">
        <v>7.56846857609683E-3</v>
      </c>
      <c r="BU97">
        <v>-5.09509810480702E-3</v>
      </c>
      <c r="BV97">
        <v>-6.0212196763237399E-2</v>
      </c>
      <c r="BW97" s="56">
        <f t="shared" si="15"/>
        <v>-1.0534284953532579E-2</v>
      </c>
      <c r="CJ97">
        <v>1.1497070344723701E-2</v>
      </c>
      <c r="CK97">
        <v>1.26635666809039E-2</v>
      </c>
      <c r="CL97">
        <v>5.95572366741699E-2</v>
      </c>
      <c r="CM97" s="56">
        <f t="shared" si="16"/>
        <v>-7.0312935848972843E-3</v>
      </c>
    </row>
    <row r="98" spans="1:91" x14ac:dyDescent="0.2">
      <c r="A98" s="1">
        <v>40877</v>
      </c>
      <c r="B98" s="38">
        <f>Data!B96</f>
        <v>1.8194410852883092E-3</v>
      </c>
      <c r="C98" s="38">
        <f>Data!C96</f>
        <v>-1.7225563143410394E-2</v>
      </c>
      <c r="D98" s="38">
        <f>Data!D96</f>
        <v>-3.0156198018320812E-2</v>
      </c>
      <c r="E98" s="38">
        <f>Data!E96</f>
        <v>-6.527056965234701E-3</v>
      </c>
      <c r="F98" s="38">
        <f>Data!F96</f>
        <v>1.296199895887562E-2</v>
      </c>
      <c r="G98" s="38">
        <f t="shared" si="17"/>
        <v>-3.3047314692929166E-3</v>
      </c>
      <c r="H98" s="38">
        <f t="shared" si="18"/>
        <v>1.6703510776443351</v>
      </c>
      <c r="I98" s="39">
        <f>H98/MAX($H$4:H98) - 1</f>
        <v>-9.9901317146844359E-3</v>
      </c>
      <c r="J98" s="39"/>
      <c r="K98" s="38"/>
      <c r="L98" s="38"/>
      <c r="X98" s="60">
        <v>-8.6754524647991705E-4</v>
      </c>
      <c r="Y98" s="60">
        <v>-5.8542816086857297E-3</v>
      </c>
      <c r="Z98" s="60">
        <v>-2.12478475584735E-2</v>
      </c>
      <c r="AA98" s="56">
        <f t="shared" si="12"/>
        <v>1.1591635304509435E-3</v>
      </c>
      <c r="AN98">
        <v>-9.6456063086947097E-5</v>
      </c>
      <c r="AO98">
        <v>5.0854595702854999E-3</v>
      </c>
      <c r="AP98">
        <v>-1.43486620035382E-3</v>
      </c>
      <c r="AQ98" s="56">
        <f t="shared" si="13"/>
        <v>-1.9168821550136255E-2</v>
      </c>
      <c r="BD98">
        <v>-2.2190194824339898E-2</v>
      </c>
      <c r="BE98">
        <v>-1.1847623913450799E-2</v>
      </c>
      <c r="BF98" s="56">
        <f t="shared" si="14"/>
        <v>9.722444104775449E-4</v>
      </c>
      <c r="BS98">
        <v>1.8458039307167402E-2</v>
      </c>
      <c r="BT98">
        <v>-8.4087184938023106E-3</v>
      </c>
      <c r="BU98">
        <v>-2.4594883000992299E-3</v>
      </c>
      <c r="BV98">
        <v>-1.80048766640514E-2</v>
      </c>
      <c r="BW98" s="56">
        <f t="shared" si="15"/>
        <v>-3.0015457408394154E-3</v>
      </c>
      <c r="CJ98">
        <v>1.1380370957218699E-2</v>
      </c>
      <c r="CK98">
        <v>-5.9492301937030803E-3</v>
      </c>
      <c r="CL98">
        <v>-2.2115392804953501E-2</v>
      </c>
      <c r="CM98" s="56">
        <f t="shared" si="16"/>
        <v>5.3760995999427106E-3</v>
      </c>
    </row>
    <row r="99" spans="1:91" x14ac:dyDescent="0.2">
      <c r="A99" s="1">
        <v>40907</v>
      </c>
      <c r="B99" s="38">
        <f>Data!B97</f>
        <v>7.0121533016926918E-3</v>
      </c>
      <c r="C99" s="38">
        <f>Data!C97</f>
        <v>-8.8155984235637197E-3</v>
      </c>
      <c r="D99" s="38">
        <f>Data!D97</f>
        <v>-4.251515088373814E-2</v>
      </c>
      <c r="E99" s="38">
        <f>Data!E97</f>
        <v>-2.4774665427476084E-3</v>
      </c>
      <c r="F99" s="38">
        <f>Data!F97</f>
        <v>2.0602759181309604E-3</v>
      </c>
      <c r="G99" s="38">
        <f t="shared" si="17"/>
        <v>-3.2297380843915313E-3</v>
      </c>
      <c r="H99" s="38">
        <f t="shared" si="18"/>
        <v>1.6649562811545628</v>
      </c>
      <c r="I99" s="39">
        <f>H99/MAX($H$4:H99) - 1</f>
        <v>-1.3187604290208932E-2</v>
      </c>
      <c r="J99" s="39"/>
      <c r="K99" s="38"/>
      <c r="L99" s="38"/>
      <c r="X99" s="60">
        <v>1.0990831452971901E-2</v>
      </c>
      <c r="Y99" s="60">
        <v>1.17953568050822E-2</v>
      </c>
      <c r="Z99" s="60">
        <v>1.3795934670993101E-2</v>
      </c>
      <c r="AA99" s="56">
        <f t="shared" si="12"/>
        <v>8.2159778899009404E-4</v>
      </c>
      <c r="AN99">
        <v>-3.2155122585522098E-3</v>
      </c>
      <c r="AO99">
        <v>-2.3367054959672701E-2</v>
      </c>
      <c r="AP99">
        <v>-3.6237187872158998E-3</v>
      </c>
      <c r="AQ99" s="56">
        <f t="shared" si="13"/>
        <v>5.9216645795310812E-3</v>
      </c>
      <c r="BD99">
        <v>-3.7479116915664301E-2</v>
      </c>
      <c r="BE99">
        <v>-2.1027664599208001E-3</v>
      </c>
      <c r="BF99" s="56">
        <f t="shared" si="14"/>
        <v>-1.3933944921615343E-2</v>
      </c>
      <c r="BS99">
        <v>-0.103896698828986</v>
      </c>
      <c r="BT99">
        <v>-4.9091743503163502E-3</v>
      </c>
      <c r="BU99">
        <v>-8.6996348110030004E-3</v>
      </c>
      <c r="BV99">
        <v>-1.9372139308066999E-2</v>
      </c>
      <c r="BW99" s="56">
        <f t="shared" si="15"/>
        <v>1.54984348425025E-2</v>
      </c>
      <c r="CJ99">
        <v>3.56185087226169E-3</v>
      </c>
      <c r="CK99">
        <v>3.7904604606866501E-3</v>
      </c>
      <c r="CL99">
        <v>2.4786766123964899E-2</v>
      </c>
      <c r="CM99" s="56">
        <f t="shared" si="16"/>
        <v>-4.6281544633427858E-3</v>
      </c>
    </row>
    <row r="100" spans="1:91" x14ac:dyDescent="0.2">
      <c r="A100" s="1">
        <v>40939</v>
      </c>
      <c r="B100" s="38">
        <f>Data!B98</f>
        <v>4.0755613431917581E-3</v>
      </c>
      <c r="C100" s="38">
        <f>Data!C98</f>
        <v>7.6174531756827424E-2</v>
      </c>
      <c r="D100" s="38">
        <f>Data!D98</f>
        <v>0.10917466712485657</v>
      </c>
      <c r="E100" s="38">
        <f>Data!E98</f>
        <v>1.2674140364055342E-2</v>
      </c>
      <c r="F100" s="38">
        <f>Data!F98</f>
        <v>2.545106997995239E-2</v>
      </c>
      <c r="G100" s="38">
        <f t="shared" si="17"/>
        <v>3.5290090532058317E-2</v>
      </c>
      <c r="H100" s="38">
        <f t="shared" si="18"/>
        <v>1.7237127390484266</v>
      </c>
      <c r="I100" s="39">
        <f>H100/MAX($H$4:H100) - 1</f>
        <v>0</v>
      </c>
      <c r="J100" s="39"/>
      <c r="K100" s="38"/>
      <c r="L100" s="38"/>
      <c r="X100" s="60">
        <v>8.7807027952468992E-3</v>
      </c>
      <c r="Y100" s="60">
        <v>1.7619047619047701E-2</v>
      </c>
      <c r="Z100" s="60">
        <v>2.0248602123550199E-2</v>
      </c>
      <c r="AA100" s="56">
        <f t="shared" ref="AA100:AA123" si="19">B100-SUMPRODUCT(X100:Z100, X$2:Z$2)</f>
        <v>-6.5573325062427516E-4</v>
      </c>
      <c r="AN100">
        <v>5.9691660457493502E-2</v>
      </c>
      <c r="AO100">
        <v>2.1861869679874701E-2</v>
      </c>
      <c r="AP100">
        <v>2.5835901386118E-2</v>
      </c>
      <c r="AQ100" s="56">
        <f t="shared" ref="AQ100:AQ123" si="20">C100-SUMPRODUCT(AN100:AP100, AN$2:AP$2)</f>
        <v>-3.9387603569438767E-3</v>
      </c>
      <c r="BD100">
        <v>2.47286754553602E-2</v>
      </c>
      <c r="BE100">
        <v>2.53480049964987E-2</v>
      </c>
      <c r="BF100" s="56">
        <f t="shared" ref="BF100:BF123" si="21">D100-SUMPRODUCT(BD100:BE100, BD$2:BE$2)</f>
        <v>5.8212153438550601E-2</v>
      </c>
      <c r="BS100">
        <v>0.11045363631135301</v>
      </c>
      <c r="BT100">
        <v>1.57456894257475E-2</v>
      </c>
      <c r="BU100">
        <v>-3.9926837045045601E-3</v>
      </c>
      <c r="BV100">
        <v>-5.99084361411251E-3</v>
      </c>
      <c r="BW100" s="56">
        <f t="shared" ref="BW100:BW123" si="22">E100-SUMPRODUCT(BS100:BV100, BS$2:BV$2)</f>
        <v>1.1939351332902783E-3</v>
      </c>
      <c r="CJ100">
        <v>2.8705893156408601E-2</v>
      </c>
      <c r="CK100">
        <v>1.9738373130252101E-2</v>
      </c>
      <c r="CL100">
        <v>2.90293049187971E-2</v>
      </c>
      <c r="CM100" s="56">
        <f t="shared" ref="CM100:CM123" si="23">F100-SUMPRODUCT(CJ100:CL100, CJ$2:CL$2)</f>
        <v>-2.8134788466387881E-3</v>
      </c>
    </row>
    <row r="101" spans="1:91" x14ac:dyDescent="0.2">
      <c r="A101" s="1">
        <v>40968</v>
      </c>
      <c r="B101" s="38">
        <f>Data!B99</f>
        <v>9.225042191001176E-4</v>
      </c>
      <c r="C101" s="38">
        <f>Data!C99</f>
        <v>7.3505104521147224E-2</v>
      </c>
      <c r="D101" s="38">
        <f>Data!D99</f>
        <v>7.8517511604270229E-3</v>
      </c>
      <c r="E101" s="38">
        <f>Data!E99</f>
        <v>7.894786998136949E-3</v>
      </c>
      <c r="F101" s="38">
        <f>Data!F99</f>
        <v>-3.2189280242237439E-3</v>
      </c>
      <c r="G101" s="38">
        <f t="shared" si="17"/>
        <v>1.6266811276863462E-2</v>
      </c>
      <c r="H101" s="38">
        <f t="shared" si="18"/>
        <v>1.7517520488700526</v>
      </c>
      <c r="I101" s="39">
        <f>H101/MAX($H$4:H101) - 1</f>
        <v>0</v>
      </c>
      <c r="J101" s="39"/>
      <c r="K101" s="38"/>
      <c r="L101" s="38"/>
      <c r="X101" s="60">
        <v>-2.2964942055525599E-4</v>
      </c>
      <c r="Y101" s="60">
        <v>2.9515242898490401E-2</v>
      </c>
      <c r="Z101" s="60">
        <v>2.3014817999653301E-2</v>
      </c>
      <c r="AA101" s="56">
        <f t="shared" si="19"/>
        <v>1.118325021759759E-3</v>
      </c>
      <c r="AN101">
        <v>4.7824706102695298E-2</v>
      </c>
      <c r="AO101">
        <v>7.9615903943641708E-3</v>
      </c>
      <c r="AP101">
        <v>-1.9309842736031702E-2</v>
      </c>
      <c r="AQ101" s="56">
        <f t="shared" si="20"/>
        <v>2.0607148277215076E-2</v>
      </c>
      <c r="BD101">
        <v>2.6986806266247301E-2</v>
      </c>
      <c r="BE101">
        <v>1.86380526399328E-2</v>
      </c>
      <c r="BF101" s="56">
        <f t="shared" si="21"/>
        <v>-3.5672410989143588E-2</v>
      </c>
      <c r="BS101">
        <v>-2.3593591750299198E-2</v>
      </c>
      <c r="BT101">
        <v>1.32009559803286E-2</v>
      </c>
      <c r="BU101">
        <v>-2.5665610837164502E-3</v>
      </c>
      <c r="BV101">
        <v>-1.4307816435817701E-2</v>
      </c>
      <c r="BW101" s="56">
        <f t="shared" si="22"/>
        <v>8.2774333749450549E-3</v>
      </c>
      <c r="CJ101">
        <v>-3.6465563029186598E-3</v>
      </c>
      <c r="CK101">
        <v>1.5767517064045E-2</v>
      </c>
      <c r="CL101">
        <v>2.2785168579098101E-2</v>
      </c>
      <c r="CM101" s="56">
        <f t="shared" si="23"/>
        <v>-1.5658790721983233E-3</v>
      </c>
    </row>
    <row r="102" spans="1:91" x14ac:dyDescent="0.2">
      <c r="A102" s="1">
        <v>40998</v>
      </c>
      <c r="B102" s="38">
        <f>Data!B100</f>
        <v>6.5057928663980746E-4</v>
      </c>
      <c r="C102" s="38">
        <f>Data!C100</f>
        <v>5.053890046191456E-2</v>
      </c>
      <c r="D102" s="38">
        <f>Data!D100</f>
        <v>-5.3876550097044507E-2</v>
      </c>
      <c r="E102" s="38">
        <f>Data!E100</f>
        <v>-1.3185557759400779E-2</v>
      </c>
      <c r="F102" s="38">
        <f>Data!F100</f>
        <v>-5.4597452118900769E-3</v>
      </c>
      <c r="G102" s="38">
        <f t="shared" si="17"/>
        <v>2.7808239726297476E-3</v>
      </c>
      <c r="H102" s="38">
        <f t="shared" si="18"/>
        <v>1.7566233629616537</v>
      </c>
      <c r="I102" s="39">
        <f>H102/MAX($H$4:H102) - 1</f>
        <v>0</v>
      </c>
      <c r="J102" s="39"/>
      <c r="K102" s="38"/>
      <c r="L102" s="38"/>
      <c r="X102" s="60">
        <v>-5.4792371646907902E-3</v>
      </c>
      <c r="Y102" s="60">
        <v>9.42729201037107E-4</v>
      </c>
      <c r="Z102" s="60">
        <v>4.5436507331165802E-3</v>
      </c>
      <c r="AA102" s="56">
        <f t="shared" si="19"/>
        <v>4.1762569692034976E-3</v>
      </c>
      <c r="AN102">
        <v>3.28918267156941E-2</v>
      </c>
      <c r="AO102">
        <v>3.24781745075664E-3</v>
      </c>
      <c r="AP102">
        <v>-7.2870591812044302E-3</v>
      </c>
      <c r="AQ102" s="56">
        <f t="shared" si="20"/>
        <v>1.4121313305749388E-2</v>
      </c>
      <c r="BD102">
        <v>-4.1365310590923701E-2</v>
      </c>
      <c r="BE102">
        <v>3.94883328684248E-3</v>
      </c>
      <c r="BF102" s="56">
        <f t="shared" si="21"/>
        <v>-3.0732417447742834E-2</v>
      </c>
      <c r="BS102">
        <v>-1.6861547891274999E-2</v>
      </c>
      <c r="BT102">
        <v>1.37426761502368E-3</v>
      </c>
      <c r="BU102">
        <v>-3.7818742078556998E-3</v>
      </c>
      <c r="BV102">
        <v>-3.285625078321E-2</v>
      </c>
      <c r="BW102" s="56">
        <f t="shared" si="22"/>
        <v>-8.083997282262511E-3</v>
      </c>
      <c r="CJ102">
        <v>-8.1575057115978993E-3</v>
      </c>
      <c r="CK102">
        <v>5.1561418228793796E-3</v>
      </c>
      <c r="CL102">
        <v>-9.3558643157420896E-4</v>
      </c>
      <c r="CM102" s="56">
        <f t="shared" si="23"/>
        <v>2.7389281269571009E-3</v>
      </c>
    </row>
    <row r="103" spans="1:91" x14ac:dyDescent="0.2">
      <c r="A103" s="1">
        <v>41029</v>
      </c>
      <c r="B103" s="38">
        <f>Data!B101</f>
        <v>6.4853091764145443E-3</v>
      </c>
      <c r="C103" s="38">
        <f>Data!C101</f>
        <v>-1.8880938011897608E-2</v>
      </c>
      <c r="D103" s="38">
        <f>Data!D101</f>
        <v>3.0949312899457571E-3</v>
      </c>
      <c r="E103" s="38">
        <f>Data!E101</f>
        <v>-5.7933653187722811E-3</v>
      </c>
      <c r="F103" s="38">
        <f>Data!F101</f>
        <v>2.0339931389994792E-2</v>
      </c>
      <c r="G103" s="38">
        <f t="shared" si="17"/>
        <v>3.102140326282741E-3</v>
      </c>
      <c r="H103" s="38">
        <f t="shared" si="18"/>
        <v>1.7620726551339874</v>
      </c>
      <c r="I103" s="39">
        <f>H103/MAX($H$4:H103) - 1</f>
        <v>0</v>
      </c>
      <c r="J103" s="39"/>
      <c r="K103" s="38"/>
      <c r="L103" s="38"/>
      <c r="X103" s="60">
        <v>1.10864495194745E-2</v>
      </c>
      <c r="Y103" s="60">
        <v>1.7558612802314199E-2</v>
      </c>
      <c r="Z103" s="60">
        <v>-8.6388088692923603E-4</v>
      </c>
      <c r="AA103" s="56">
        <f t="shared" si="19"/>
        <v>-1.0873455026178891E-3</v>
      </c>
      <c r="AN103">
        <v>-1.5445927847312899E-3</v>
      </c>
      <c r="AO103">
        <v>8.6526601626244499E-3</v>
      </c>
      <c r="AP103">
        <v>-9.1698007191365304E-3</v>
      </c>
      <c r="AQ103" s="56">
        <f t="shared" si="20"/>
        <v>-1.9495283643531418E-2</v>
      </c>
      <c r="BD103">
        <v>-4.2323117162766898E-3</v>
      </c>
      <c r="BE103">
        <v>-3.3190076789352302E-3</v>
      </c>
      <c r="BF103" s="56">
        <f t="shared" si="21"/>
        <v>1.0451406205862747E-2</v>
      </c>
      <c r="BS103">
        <v>-2.03818601444716E-3</v>
      </c>
      <c r="BT103">
        <v>-2.8145952957865398E-3</v>
      </c>
      <c r="BU103">
        <v>-5.7231793588730104E-3</v>
      </c>
      <c r="BV103">
        <v>-1.9110415846273999E-3</v>
      </c>
      <c r="BW103" s="56">
        <f t="shared" si="22"/>
        <v>-3.4665773687845604E-4</v>
      </c>
      <c r="CJ103">
        <v>2.2289066840101499E-2</v>
      </c>
      <c r="CK103">
        <v>2.9085840630864702E-3</v>
      </c>
      <c r="CL103">
        <v>1.02225686325452E-2</v>
      </c>
      <c r="CM103" s="56">
        <f t="shared" si="23"/>
        <v>-1.1855736541660049E-3</v>
      </c>
    </row>
    <row r="104" spans="1:91" x14ac:dyDescent="0.2">
      <c r="A104" s="1">
        <v>41060</v>
      </c>
      <c r="B104" s="38">
        <f>Data!B102</f>
        <v>3.1652383618276936E-3</v>
      </c>
      <c r="C104" s="38">
        <f>Data!C102</f>
        <v>-7.7152899824253107E-2</v>
      </c>
      <c r="D104" s="38">
        <f>Data!D102</f>
        <v>-9.6474373693121063E-2</v>
      </c>
      <c r="E104" s="38">
        <f>Data!E102</f>
        <v>4.0365403664328614E-3</v>
      </c>
      <c r="F104" s="38">
        <f>Data!F102</f>
        <v>1.8428705630643805E-2</v>
      </c>
      <c r="G104" s="38">
        <f t="shared" si="17"/>
        <v>-1.9242090377692467E-2</v>
      </c>
      <c r="H104" s="38">
        <f t="shared" si="18"/>
        <v>1.7281666938518387</v>
      </c>
      <c r="I104" s="39">
        <f>H104/MAX($H$4:H104) - 1</f>
        <v>-1.9242090377692422E-2</v>
      </c>
      <c r="J104" s="39"/>
      <c r="K104" s="38"/>
      <c r="L104" s="38"/>
      <c r="X104" s="60">
        <v>9.0482611069633307E-3</v>
      </c>
      <c r="Y104" s="60">
        <v>-2.7718091963902E-2</v>
      </c>
      <c r="Z104" s="60">
        <v>-2.1120801506882E-2</v>
      </c>
      <c r="AA104" s="56">
        <f t="shared" si="19"/>
        <v>-2.2361612471446385E-3</v>
      </c>
      <c r="AN104">
        <v>-6.4146341840476004E-2</v>
      </c>
      <c r="AO104">
        <v>-5.5058055253708301E-3</v>
      </c>
      <c r="AP104">
        <v>-6.0891766074489002E-3</v>
      </c>
      <c r="AQ104" s="56">
        <f t="shared" si="20"/>
        <v>-2.9691599729425311E-3</v>
      </c>
      <c r="BD104">
        <v>-9.1319863255492101E-2</v>
      </c>
      <c r="BE104">
        <v>-2.3300716813589299E-2</v>
      </c>
      <c r="BF104" s="56">
        <f t="shared" si="21"/>
        <v>-2.4792022074612841E-3</v>
      </c>
      <c r="BS104">
        <v>-6.2616008409671103E-2</v>
      </c>
      <c r="BT104">
        <v>-1.1900829122259199E-2</v>
      </c>
      <c r="BU104">
        <v>-1.3566314264100701E-3</v>
      </c>
      <c r="BV104">
        <v>1.29728512971611E-2</v>
      </c>
      <c r="BW104" s="56">
        <f t="shared" si="22"/>
        <v>1.3859113827765883E-2</v>
      </c>
      <c r="CJ104">
        <v>2.41755911356165E-2</v>
      </c>
      <c r="CK104">
        <v>-1.0544197695849101E-2</v>
      </c>
      <c r="CL104">
        <v>-1.20725403999187E-2</v>
      </c>
      <c r="CM104" s="56">
        <f t="shared" si="23"/>
        <v>-2.9426043896314952E-3</v>
      </c>
    </row>
    <row r="105" spans="1:91" x14ac:dyDescent="0.2">
      <c r="A105" s="1">
        <v>41089</v>
      </c>
      <c r="B105" s="38">
        <f>Data!B103</f>
        <v>1.15907188392117E-3</v>
      </c>
      <c r="C105" s="38">
        <f>Data!C103</f>
        <v>2.9708626928204307E-2</v>
      </c>
      <c r="D105" s="38">
        <f>Data!D103</f>
        <v>3.8363418335760624E-3</v>
      </c>
      <c r="E105" s="38">
        <f>Data!E103</f>
        <v>-1.4201680418060025E-2</v>
      </c>
      <c r="F105" s="38">
        <f>Data!F103</f>
        <v>-3.5396042881291612E-3</v>
      </c>
      <c r="G105" s="38">
        <f t="shared" si="17"/>
        <v>4.623119518048887E-3</v>
      </c>
      <c r="H105" s="38">
        <f t="shared" si="18"/>
        <v>1.736156215024627</v>
      </c>
      <c r="I105" s="39">
        <f>H105/MAX($H$4:H105) - 1</f>
        <v>-1.4707929343236836E-2</v>
      </c>
      <c r="J105" s="39"/>
      <c r="K105" s="38"/>
      <c r="L105" s="38"/>
      <c r="X105" s="60">
        <v>3.92035603458796E-4</v>
      </c>
      <c r="Y105" s="60">
        <v>3.5682107947301298E-2</v>
      </c>
      <c r="Z105" s="60">
        <v>1.99454335629108E-2</v>
      </c>
      <c r="AA105" s="56">
        <f t="shared" si="19"/>
        <v>4.4777966926319449E-4</v>
      </c>
      <c r="AN105">
        <v>2.7153093515513999E-2</v>
      </c>
      <c r="AO105">
        <v>-2.24959792860056E-2</v>
      </c>
      <c r="AP105">
        <v>8.6978029228439498E-3</v>
      </c>
      <c r="AQ105" s="56">
        <f t="shared" si="20"/>
        <v>8.4660375201784689E-3</v>
      </c>
      <c r="BD105">
        <v>5.4929753128882798E-2</v>
      </c>
      <c r="BE105">
        <v>1.7875513651273199E-3</v>
      </c>
      <c r="BF105" s="56">
        <f t="shared" si="21"/>
        <v>-3.6318345129354654E-2</v>
      </c>
      <c r="BS105">
        <v>2.3671748338684101E-2</v>
      </c>
      <c r="BT105">
        <v>-4.06069462806236E-3</v>
      </c>
      <c r="BU105">
        <v>-1.28868491578609E-2</v>
      </c>
      <c r="BV105">
        <v>-3.1983860838842797E-2</v>
      </c>
      <c r="BW105" s="56">
        <f t="shared" si="22"/>
        <v>-4.1406442718169029E-3</v>
      </c>
      <c r="CJ105">
        <v>-1.5960934534285901E-3</v>
      </c>
      <c r="CK105">
        <v>8.8261545297985099E-3</v>
      </c>
      <c r="CL105">
        <v>2.0337469166369599E-2</v>
      </c>
      <c r="CM105" s="56">
        <f t="shared" si="23"/>
        <v>-4.2167555160028698E-3</v>
      </c>
    </row>
    <row r="106" spans="1:91" x14ac:dyDescent="0.2">
      <c r="A106" s="1">
        <v>41121</v>
      </c>
      <c r="B106" s="38">
        <f>Data!B104</f>
        <v>8.0344317475291582E-3</v>
      </c>
      <c r="C106" s="38">
        <f>Data!C104</f>
        <v>9.8021083780284179E-3</v>
      </c>
      <c r="D106" s="38">
        <f>Data!D104</f>
        <v>-2.4762950828857599E-2</v>
      </c>
      <c r="E106" s="38">
        <f>Data!E104</f>
        <v>2.0088961747473988E-2</v>
      </c>
      <c r="F106" s="38">
        <f>Data!F104</f>
        <v>1.4306151645207432E-2</v>
      </c>
      <c r="G106" s="38">
        <f t="shared" si="17"/>
        <v>7.9703090822572133E-3</v>
      </c>
      <c r="H106" s="38">
        <f t="shared" si="18"/>
        <v>1.7499939166734551</v>
      </c>
      <c r="I106" s="39">
        <f>H106/MAX($H$4:H106) - 1</f>
        <v>-6.8548470038052312E-3</v>
      </c>
      <c r="J106" s="39"/>
      <c r="K106" s="38"/>
      <c r="L106" s="38"/>
      <c r="X106" s="60">
        <v>1.37931415135475E-2</v>
      </c>
      <c r="Y106" s="60">
        <v>4.00334843411463E-2</v>
      </c>
      <c r="Z106" s="60">
        <v>5.3701592913111299E-3</v>
      </c>
      <c r="AA106" s="56">
        <f t="shared" si="19"/>
        <v>-1.8905394413525865E-3</v>
      </c>
      <c r="AN106">
        <v>1.34049181982987E-2</v>
      </c>
      <c r="AO106">
        <v>3.0551305981481001E-3</v>
      </c>
      <c r="AP106">
        <v>-2.7708225631883E-2</v>
      </c>
      <c r="AQ106" s="56">
        <f t="shared" si="20"/>
        <v>-1.5138156717591604E-3</v>
      </c>
      <c r="BD106">
        <v>6.46861266860701E-2</v>
      </c>
      <c r="BE106">
        <v>4.6644080283071397E-3</v>
      </c>
      <c r="BF106" s="56">
        <f t="shared" si="21"/>
        <v>-7.5479002287589469E-2</v>
      </c>
      <c r="BS106">
        <v>1.07233403236406E-2</v>
      </c>
      <c r="BT106">
        <v>9.0257066089889405E-3</v>
      </c>
      <c r="BU106">
        <v>-2.99064278098027E-3</v>
      </c>
      <c r="BV106">
        <v>-1.11355550638803E-2</v>
      </c>
      <c r="BW106" s="56">
        <f t="shared" si="22"/>
        <v>1.8960175957798621E-2</v>
      </c>
      <c r="CJ106">
        <v>1.7939389749660899E-2</v>
      </c>
      <c r="CK106">
        <v>1.20163493899692E-2</v>
      </c>
      <c r="CL106">
        <v>1.9163300804858601E-2</v>
      </c>
      <c r="CM106" s="56">
        <f t="shared" si="23"/>
        <v>-3.5579681034219358E-3</v>
      </c>
    </row>
    <row r="107" spans="1:91" x14ac:dyDescent="0.2">
      <c r="A107" s="1">
        <v>41152</v>
      </c>
      <c r="B107" s="38">
        <f>Data!B105</f>
        <v>1.1272338638066426E-3</v>
      </c>
      <c r="C107" s="38">
        <f>Data!C105</f>
        <v>5.0091575091575136E-2</v>
      </c>
      <c r="D107" s="38">
        <f>Data!D105</f>
        <v>2.8132267343761175E-3</v>
      </c>
      <c r="E107" s="38">
        <f>Data!E105</f>
        <v>-2.2822593880253983E-3</v>
      </c>
      <c r="F107" s="38">
        <f>Data!F105</f>
        <v>4.2793451728551091E-4</v>
      </c>
      <c r="G107" s="38">
        <f t="shared" si="17"/>
        <v>1.0893588561774728E-2</v>
      </c>
      <c r="H107" s="38">
        <f t="shared" si="18"/>
        <v>1.7690576303873042</v>
      </c>
      <c r="I107" s="39">
        <f>H107/MAX($H$4:H107) - 1</f>
        <v>0</v>
      </c>
      <c r="J107" s="39"/>
      <c r="K107" s="38"/>
      <c r="L107" s="38"/>
      <c r="X107" s="60">
        <v>6.5332433197595697E-4</v>
      </c>
      <c r="Y107" s="60">
        <v>1.15998295535249E-2</v>
      </c>
      <c r="Z107" s="60">
        <v>1.14050561200521E-2</v>
      </c>
      <c r="AA107" s="56">
        <f t="shared" si="19"/>
        <v>9.2677078989687137E-4</v>
      </c>
      <c r="AN107">
        <v>2.6904143782650901E-2</v>
      </c>
      <c r="AO107">
        <v>5.1925206532126298E-3</v>
      </c>
      <c r="AP107">
        <v>1.08246347755623E-2</v>
      </c>
      <c r="AQ107" s="56">
        <f t="shared" si="20"/>
        <v>1.6233341002585826E-2</v>
      </c>
      <c r="BD107">
        <v>1.29835599280488E-2</v>
      </c>
      <c r="BE107">
        <v>1.13629652106022E-2</v>
      </c>
      <c r="BF107" s="56">
        <f t="shared" si="21"/>
        <v>-2.1337041884184109E-2</v>
      </c>
      <c r="BS107">
        <v>4.7857647189981201E-2</v>
      </c>
      <c r="BT107">
        <v>6.60026499423316E-3</v>
      </c>
      <c r="BU107">
        <v>-3.9318030888184597E-3</v>
      </c>
      <c r="BV107">
        <v>-1.0744005186284799E-2</v>
      </c>
      <c r="BW107" s="56">
        <f t="shared" si="22"/>
        <v>-5.2310984977189572E-3</v>
      </c>
      <c r="CJ107">
        <v>-2.3769301946535699E-3</v>
      </c>
      <c r="CK107">
        <v>1.0532068083051601E-2</v>
      </c>
      <c r="CL107">
        <v>1.2058380452028001E-2</v>
      </c>
      <c r="CM107" s="56">
        <f t="shared" si="23"/>
        <v>1.9779104196444141E-3</v>
      </c>
    </row>
    <row r="108" spans="1:91" x14ac:dyDescent="0.2">
      <c r="A108" s="1">
        <v>41180</v>
      </c>
      <c r="B108" s="38">
        <f>Data!B106</f>
        <v>2.07666119617822E-3</v>
      </c>
      <c r="C108" s="38">
        <f>Data!C106</f>
        <v>1.2121740647074164E-2</v>
      </c>
      <c r="D108" s="38">
        <f>Data!D106</f>
        <v>0.11025124105342266</v>
      </c>
      <c r="E108" s="38">
        <f>Data!E106</f>
        <v>-3.0175992760539394E-4</v>
      </c>
      <c r="F108" s="38">
        <f>Data!F106</f>
        <v>1.0222387115078391E-2</v>
      </c>
      <c r="G108" s="38">
        <f t="shared" si="17"/>
        <v>1.6411036825738447E-2</v>
      </c>
      <c r="H108" s="38">
        <f t="shared" si="18"/>
        <v>1.7980897003064438</v>
      </c>
      <c r="I108" s="39">
        <f>H108/MAX($H$4:H108) - 1</f>
        <v>0</v>
      </c>
      <c r="J108" s="39"/>
      <c r="K108" s="38"/>
      <c r="L108" s="38"/>
      <c r="X108" s="60">
        <v>1.3765261485561E-3</v>
      </c>
      <c r="Y108" s="60">
        <v>1.47274485943398E-2</v>
      </c>
      <c r="Z108" s="60">
        <v>1.2866596344935701E-2</v>
      </c>
      <c r="AA108" s="56">
        <f t="shared" si="19"/>
        <v>1.3842544451756244E-3</v>
      </c>
      <c r="AN108">
        <v>1.9611250416183799E-2</v>
      </c>
      <c r="AO108">
        <v>-1.2131287971126E-2</v>
      </c>
      <c r="AP108">
        <v>6.9963728355182404E-3</v>
      </c>
      <c r="AQ108" s="56">
        <f t="shared" si="20"/>
        <v>-5.206310211442064E-3</v>
      </c>
      <c r="BD108">
        <v>1.7055599982705599E-2</v>
      </c>
      <c r="BE108">
        <v>1.2752949328769501E-2</v>
      </c>
      <c r="BF108" s="56">
        <f t="shared" si="21"/>
        <v>8.1439357963326964E-2</v>
      </c>
      <c r="BS108">
        <v>4.7521943434701598E-2</v>
      </c>
      <c r="BT108">
        <v>6.5387650685306796E-3</v>
      </c>
      <c r="BU108">
        <v>-6.5924129485635001E-3</v>
      </c>
      <c r="BV108">
        <v>-6.2224506052703799E-3</v>
      </c>
      <c r="BW108" s="56">
        <f t="shared" si="22"/>
        <v>-1.3620068159804764E-3</v>
      </c>
      <c r="CJ108">
        <v>7.1775627770826996E-3</v>
      </c>
      <c r="CK108">
        <v>1.31311780170942E-2</v>
      </c>
      <c r="CL108">
        <v>1.42431224934918E-2</v>
      </c>
      <c r="CM108" s="56">
        <f t="shared" si="23"/>
        <v>3.0582685568746673E-3</v>
      </c>
    </row>
    <row r="109" spans="1:91" x14ac:dyDescent="0.2">
      <c r="A109" s="1">
        <v>41213</v>
      </c>
      <c r="B109" s="38">
        <f>Data!B107</f>
        <v>-1.6748465607344665E-3</v>
      </c>
      <c r="C109" s="38">
        <f>Data!C107</f>
        <v>-6.7551266586248548E-2</v>
      </c>
      <c r="D109" s="38">
        <f>Data!D107</f>
        <v>-9.2744216873312801E-2</v>
      </c>
      <c r="E109" s="38">
        <f>Data!E107</f>
        <v>-1.837322095604943E-2</v>
      </c>
      <c r="F109" s="38">
        <f>Data!F107</f>
        <v>5.7939830717184115E-3</v>
      </c>
      <c r="G109" s="38">
        <f t="shared" si="17"/>
        <v>-2.3945232935379968E-2</v>
      </c>
      <c r="H109" s="38">
        <f t="shared" si="18"/>
        <v>1.7550340235938984</v>
      </c>
      <c r="I109" s="39">
        <f>H109/MAX($H$4:H109) - 1</f>
        <v>-2.3945232935379979E-2</v>
      </c>
      <c r="J109" s="39"/>
      <c r="K109" s="38"/>
      <c r="L109" s="38"/>
      <c r="X109" s="60">
        <v>1.9668675189759002E-3</v>
      </c>
      <c r="Y109" s="60">
        <v>8.1639555979213796E-3</v>
      </c>
      <c r="Z109" s="60">
        <v>6.2805842146256303E-3</v>
      </c>
      <c r="AA109" s="56">
        <f t="shared" si="19"/>
        <v>-2.8339141719725164E-3</v>
      </c>
      <c r="AN109">
        <v>-2.91864546073063E-2</v>
      </c>
      <c r="AO109">
        <v>-2.4276524684249502E-2</v>
      </c>
      <c r="AP109">
        <v>-3.2304586296036898E-3</v>
      </c>
      <c r="AQ109" s="56">
        <f t="shared" si="20"/>
        <v>-2.3873796500566723E-2</v>
      </c>
      <c r="BD109">
        <v>-3.8728806637808498E-2</v>
      </c>
      <c r="BE109">
        <v>4.3365114767168799E-3</v>
      </c>
      <c r="BF109" s="56">
        <f t="shared" si="21"/>
        <v>-7.1931905317466904E-2</v>
      </c>
      <c r="BS109">
        <v>-2.9115531104528102E-2</v>
      </c>
      <c r="BT109">
        <v>-2.0813062460760499E-3</v>
      </c>
      <c r="BU109">
        <v>-8.5619724767274103E-3</v>
      </c>
      <c r="BV109">
        <v>1.5978653706865499E-2</v>
      </c>
      <c r="BW109" s="56">
        <f t="shared" si="22"/>
        <v>-9.2800151405209655E-3</v>
      </c>
      <c r="CJ109">
        <v>7.46435737670281E-3</v>
      </c>
      <c r="CK109">
        <v>6.4806662306513604E-3</v>
      </c>
      <c r="CL109">
        <v>8.2474517336015296E-3</v>
      </c>
      <c r="CM109" s="56">
        <f t="shared" si="23"/>
        <v>-1.5004922948429877E-3</v>
      </c>
    </row>
    <row r="110" spans="1:91" x14ac:dyDescent="0.2">
      <c r="A110" s="1">
        <v>41243</v>
      </c>
      <c r="B110" s="38">
        <f>Data!B108</f>
        <v>-1.7201286911094904E-3</v>
      </c>
      <c r="C110" s="38">
        <f>Data!C108</f>
        <v>1.007207540195898E-2</v>
      </c>
      <c r="D110" s="38">
        <f>Data!D108</f>
        <v>6.9925148238696444E-2</v>
      </c>
      <c r="E110" s="38">
        <f>Data!E108</f>
        <v>-6.44670878578113E-4</v>
      </c>
      <c r="F110" s="38">
        <f>Data!F108</f>
        <v>6.4865886557725627E-3</v>
      </c>
      <c r="G110" s="38">
        <f t="shared" si="17"/>
        <v>9.7934294880130182E-3</v>
      </c>
      <c r="H110" s="38">
        <f t="shared" si="18"/>
        <v>1.7722218255530291</v>
      </c>
      <c r="I110" s="39">
        <f>H110/MAX($H$4:H110) - 1</f>
        <v>-1.4386309397693586E-2</v>
      </c>
      <c r="J110" s="39"/>
      <c r="K110" s="38"/>
      <c r="L110" s="38"/>
      <c r="X110" s="60">
        <v>1.5779969741502901E-3</v>
      </c>
      <c r="Y110" s="60">
        <v>1.55246824150184E-2</v>
      </c>
      <c r="Z110" s="60">
        <v>5.8451617760928399E-3</v>
      </c>
      <c r="AA110" s="56">
        <f t="shared" si="19"/>
        <v>-3.0641708839602468E-3</v>
      </c>
      <c r="AN110">
        <v>1.6745329986962001E-2</v>
      </c>
      <c r="AO110">
        <v>1.71601035358253E-2</v>
      </c>
      <c r="AP110">
        <v>-4.8779436311741098E-4</v>
      </c>
      <c r="AQ110" s="56">
        <f t="shared" si="20"/>
        <v>-1.6040741598618128E-2</v>
      </c>
      <c r="BD110">
        <v>5.16054446878078E-4</v>
      </c>
      <c r="BE110">
        <v>1.0234473797340301E-2</v>
      </c>
      <c r="BF110" s="56">
        <f t="shared" si="21"/>
        <v>5.5857293677528258E-2</v>
      </c>
      <c r="BS110">
        <v>-3.3010780809578102E-3</v>
      </c>
      <c r="BT110">
        <v>4.5185292148639498E-3</v>
      </c>
      <c r="BU110">
        <v>-1.09126064051401E-3</v>
      </c>
      <c r="BV110">
        <v>-1.29800331971497E-3</v>
      </c>
      <c r="BW110" s="56">
        <f t="shared" si="22"/>
        <v>-9.0601467399440945E-4</v>
      </c>
      <c r="CJ110">
        <v>7.14489374905658E-3</v>
      </c>
      <c r="CK110">
        <v>5.6097898553779703E-3</v>
      </c>
      <c r="CL110">
        <v>7.4231587502431298E-3</v>
      </c>
      <c r="CM110" s="56">
        <f t="shared" si="23"/>
        <v>-4.941239535652597E-4</v>
      </c>
    </row>
    <row r="111" spans="1:91" x14ac:dyDescent="0.2">
      <c r="A111" s="1">
        <v>41274</v>
      </c>
      <c r="B111" s="38">
        <f>Data!B109</f>
        <v>1.3667740940468409E-3</v>
      </c>
      <c r="C111" s="38">
        <f>Data!C109</f>
        <v>-4.5741469215987429E-4</v>
      </c>
      <c r="D111" s="38">
        <f>Data!D109</f>
        <v>-7.3716408001648359E-3</v>
      </c>
      <c r="E111" s="38">
        <f>Data!E109</f>
        <v>1.0210786981236009E-2</v>
      </c>
      <c r="F111" s="38">
        <f>Data!F109</f>
        <v>-7.6782558963371939E-3</v>
      </c>
      <c r="G111" s="38">
        <f t="shared" si="17"/>
        <v>-1.2020169874604292E-3</v>
      </c>
      <c r="H111" s="38">
        <f t="shared" si="18"/>
        <v>1.7700915848131662</v>
      </c>
      <c r="I111" s="39">
        <f>H111/MAX($H$4:H111) - 1</f>
        <v>-1.5571033796871192E-2</v>
      </c>
      <c r="J111" s="39"/>
      <c r="K111" s="38"/>
      <c r="L111" s="38"/>
      <c r="X111" s="60">
        <v>-1.4239152797478299E-3</v>
      </c>
      <c r="Y111" s="60">
        <v>9.2955504497604906E-3</v>
      </c>
      <c r="Z111" s="60">
        <v>1.7282381060420699E-2</v>
      </c>
      <c r="AA111" s="56">
        <f t="shared" si="19"/>
        <v>2.9324232144063919E-3</v>
      </c>
      <c r="AN111">
        <v>-2.76224100151712E-4</v>
      </c>
      <c r="AO111">
        <v>-2.0930873839065899E-2</v>
      </c>
      <c r="AP111">
        <v>2.6510451601075E-2</v>
      </c>
      <c r="AQ111" s="56">
        <f t="shared" si="20"/>
        <v>4.6931821684907706E-3</v>
      </c>
      <c r="BD111">
        <v>-2.60713221720742E-2</v>
      </c>
      <c r="BE111">
        <v>1.9871607881609198E-2</v>
      </c>
      <c r="BF111" s="56">
        <f t="shared" si="21"/>
        <v>-1.6075662437104066E-2</v>
      </c>
      <c r="BS111">
        <v>-2.3102444940727902E-2</v>
      </c>
      <c r="BT111">
        <v>1.1279931639825099E-2</v>
      </c>
      <c r="BU111">
        <v>-4.7757931271985598E-4</v>
      </c>
      <c r="BV111">
        <v>7.2503845849438697E-3</v>
      </c>
      <c r="BW111" s="56">
        <f t="shared" si="22"/>
        <v>8.7958514165215416E-3</v>
      </c>
      <c r="CJ111">
        <v>-1.0766207597129001E-2</v>
      </c>
      <c r="CK111">
        <v>1.1757510952545E-2</v>
      </c>
      <c r="CL111">
        <v>1.58584657806729E-2</v>
      </c>
      <c r="CM111" s="56">
        <f t="shared" si="23"/>
        <v>1.0505614775835181E-3</v>
      </c>
    </row>
    <row r="112" spans="1:91" x14ac:dyDescent="0.2">
      <c r="A112" s="1">
        <v>41305</v>
      </c>
      <c r="B112" s="38">
        <f>Data!B110</f>
        <v>-5.0028944559219468E-3</v>
      </c>
      <c r="C112" s="38">
        <f>Data!C110</f>
        <v>1.3545670876807581E-2</v>
      </c>
      <c r="D112" s="38">
        <f>Data!D110</f>
        <v>2.286054249587588E-2</v>
      </c>
      <c r="E112" s="38">
        <f>Data!E110</f>
        <v>1.526979061451339E-2</v>
      </c>
      <c r="F112" s="38">
        <f>Data!F110</f>
        <v>-7.9613245648367803E-3</v>
      </c>
      <c r="G112" s="38">
        <f t="shared" si="17"/>
        <v>2.8293845325180274E-3</v>
      </c>
      <c r="H112" s="38">
        <f t="shared" si="18"/>
        <v>1.7750998545643768</v>
      </c>
      <c r="I112" s="39">
        <f>H112/MAX($H$4:H112) - 1</f>
        <v>-1.2785705706533368E-2</v>
      </c>
      <c r="J112" s="39"/>
      <c r="K112" s="38"/>
      <c r="L112" s="38"/>
      <c r="X112" s="60">
        <v>-6.9941823583950001E-3</v>
      </c>
      <c r="Y112" s="60">
        <v>-1.4224073798542E-2</v>
      </c>
      <c r="Z112" s="60">
        <v>2.0752070007389802E-2</v>
      </c>
      <c r="AA112" s="56">
        <f t="shared" si="19"/>
        <v>1.349783347970682E-3</v>
      </c>
      <c r="AN112">
        <v>4.28589908737236E-2</v>
      </c>
      <c r="AO112">
        <v>-2.21365582278912E-2</v>
      </c>
      <c r="AP112">
        <v>1.0797630567976E-2</v>
      </c>
      <c r="AQ112" s="56">
        <f t="shared" si="20"/>
        <v>-2.5519463684317817E-2</v>
      </c>
      <c r="BD112">
        <v>2.3972595396878599E-2</v>
      </c>
      <c r="BE112">
        <v>2.2881695580633198E-2</v>
      </c>
      <c r="BF112" s="56">
        <f t="shared" si="21"/>
        <v>-2.4277636753176048E-2</v>
      </c>
      <c r="BS112">
        <v>-6.9537708538513999E-3</v>
      </c>
      <c r="BT112">
        <v>2.0520075697851199E-2</v>
      </c>
      <c r="BU112">
        <v>2.8292039105331001E-3</v>
      </c>
      <c r="BV112">
        <v>-1.8429381243616899E-2</v>
      </c>
      <c r="BW112" s="56">
        <f t="shared" si="22"/>
        <v>7.9654024665281337E-3</v>
      </c>
      <c r="CJ112">
        <v>-9.3682925802787108E-3</v>
      </c>
      <c r="CK112">
        <v>1.76908717873181E-2</v>
      </c>
      <c r="CL112">
        <v>1.3757887648994801E-2</v>
      </c>
      <c r="CM112" s="56">
        <f t="shared" si="23"/>
        <v>5.5660878359437525E-4</v>
      </c>
    </row>
    <row r="113" spans="1:91" x14ac:dyDescent="0.2">
      <c r="A113" s="1">
        <v>41333</v>
      </c>
      <c r="B113" s="38">
        <f>Data!B111</f>
        <v>3.3893962604549799E-3</v>
      </c>
      <c r="C113" s="38">
        <f>Data!C111</f>
        <v>5.869604478959678E-3</v>
      </c>
      <c r="D113" s="38">
        <f>Data!D111</f>
        <v>-5.6316899264906461E-2</v>
      </c>
      <c r="E113" s="38">
        <f>Data!E111</f>
        <v>-6.7914589939099823E-3</v>
      </c>
      <c r="F113" s="38">
        <f>Data!F111</f>
        <v>5.2677673337726549E-3</v>
      </c>
      <c r="G113" s="38">
        <f t="shared" si="17"/>
        <v>-2.4430230618983305E-3</v>
      </c>
      <c r="H113" s="38">
        <f t="shared" si="18"/>
        <v>1.7707632446825037</v>
      </c>
      <c r="I113" s="39">
        <f>H113/MAX($H$4:H113) - 1</f>
        <v>-1.5197492994527995E-2</v>
      </c>
      <c r="J113" s="39"/>
      <c r="K113" s="38"/>
      <c r="L113" s="38"/>
      <c r="X113" s="60">
        <v>5.01231237953803E-3</v>
      </c>
      <c r="Y113" s="60">
        <v>-1.4187822622029301E-3</v>
      </c>
      <c r="Z113" s="60">
        <v>-3.8462083704327E-4</v>
      </c>
      <c r="AA113" s="56">
        <f t="shared" si="19"/>
        <v>4.565806790048396E-4</v>
      </c>
      <c r="AN113">
        <v>1.24439118994406E-2</v>
      </c>
      <c r="AO113">
        <v>-1.91034499692999E-3</v>
      </c>
      <c r="AP113">
        <v>-2.5435862936724601E-3</v>
      </c>
      <c r="AQ113" s="56">
        <f t="shared" si="20"/>
        <v>-6.526021340120404E-3</v>
      </c>
      <c r="BD113">
        <v>-4.0867983552996701E-2</v>
      </c>
      <c r="BE113">
        <v>3.6419568818162299E-3</v>
      </c>
      <c r="BF113" s="56">
        <f t="shared" si="21"/>
        <v>-3.3103454997013629E-2</v>
      </c>
      <c r="BS113">
        <v>-5.0543968263509202E-2</v>
      </c>
      <c r="BT113">
        <v>2.6238727119396502E-3</v>
      </c>
      <c r="BU113">
        <v>-1.2552567936752199E-3</v>
      </c>
      <c r="BV113">
        <v>-1.04098271008102E-2</v>
      </c>
      <c r="BW113" s="56">
        <f t="shared" si="22"/>
        <v>-1.8306201159141097E-3</v>
      </c>
      <c r="CJ113">
        <v>5.1787717092071101E-3</v>
      </c>
      <c r="CK113">
        <v>3.8791295056148601E-3</v>
      </c>
      <c r="CL113">
        <v>4.6276915424947598E-3</v>
      </c>
      <c r="CM113" s="56">
        <f t="shared" si="23"/>
        <v>3.0393841361265553E-4</v>
      </c>
    </row>
    <row r="114" spans="1:91" x14ac:dyDescent="0.2">
      <c r="A114" s="1">
        <v>41362</v>
      </c>
      <c r="B114" s="38">
        <f>Data!B112</f>
        <v>1.1649927653416547E-3</v>
      </c>
      <c r="C114" s="38">
        <f>Data!C112</f>
        <v>2.4777807702666355E-2</v>
      </c>
      <c r="D114" s="38">
        <f>Data!D112</f>
        <v>-4.5254012549631351E-2</v>
      </c>
      <c r="E114" s="38">
        <f>Data!E112</f>
        <v>4.0739710770019144E-3</v>
      </c>
      <c r="F114" s="38">
        <f>Data!F112</f>
        <v>5.5291271138560028E-3</v>
      </c>
      <c r="G114" s="38">
        <f t="shared" si="17"/>
        <v>2.9086154644590127E-3</v>
      </c>
      <c r="H114" s="38">
        <f t="shared" si="18"/>
        <v>1.7759137140398829</v>
      </c>
      <c r="I114" s="39">
        <f>H114/MAX($H$4:H114) - 1</f>
        <v>-1.2333081193213857E-2</v>
      </c>
      <c r="J114" s="39"/>
      <c r="K114" s="38"/>
      <c r="L114" s="38"/>
      <c r="X114" s="60">
        <v>7.9862224081450595E-4</v>
      </c>
      <c r="Y114" s="60">
        <v>-7.5272067714631198E-3</v>
      </c>
      <c r="Z114" s="60">
        <v>9.5074448476390998E-3</v>
      </c>
      <c r="AA114" s="56">
        <f t="shared" si="19"/>
        <v>1.7482260759014898E-3</v>
      </c>
      <c r="AN114">
        <v>3.7513132926226198E-2</v>
      </c>
      <c r="AO114">
        <v>-2.10335032973008E-3</v>
      </c>
      <c r="AP114">
        <v>8.6705086329481595E-3</v>
      </c>
      <c r="AQ114" s="56">
        <f t="shared" si="20"/>
        <v>-1.7088329292239246E-2</v>
      </c>
      <c r="BD114">
        <v>6.7382468187171503E-3</v>
      </c>
      <c r="BE114">
        <v>1.00481940376722E-2</v>
      </c>
      <c r="BF114" s="56">
        <f t="shared" si="21"/>
        <v>-6.3349502739280611E-2</v>
      </c>
      <c r="BS114">
        <v>1.13255803647736E-2</v>
      </c>
      <c r="BT114">
        <v>9.3186486452792004E-3</v>
      </c>
      <c r="BU114">
        <v>4.8940210561854202E-4</v>
      </c>
      <c r="BV114">
        <v>-2.52802949080526E-2</v>
      </c>
      <c r="BW114" s="56">
        <f t="shared" si="22"/>
        <v>6.9340985795216491E-4</v>
      </c>
      <c r="CJ114">
        <v>3.7827077425052198E-3</v>
      </c>
      <c r="CK114">
        <v>8.8292465396606606E-3</v>
      </c>
      <c r="CL114">
        <v>1.0306067088453601E-2</v>
      </c>
      <c r="CM114" s="56">
        <f t="shared" si="23"/>
        <v>1.5456820784910215E-3</v>
      </c>
    </row>
    <row r="115" spans="1:91" x14ac:dyDescent="0.2">
      <c r="A115" s="1">
        <v>41394</v>
      </c>
      <c r="B115" s="38">
        <f>Data!B113</f>
        <v>5.3187249937567405E-3</v>
      </c>
      <c r="C115" s="38">
        <f>Data!C113</f>
        <v>8.8480070083223339E-3</v>
      </c>
      <c r="D115" s="38">
        <f>Data!D113</f>
        <v>-5.0649591620250622E-2</v>
      </c>
      <c r="E115" s="38">
        <f>Data!E113</f>
        <v>6.5293638901491313E-3</v>
      </c>
      <c r="F115" s="38">
        <f>Data!F113</f>
        <v>6.5795963885135755E-3</v>
      </c>
      <c r="G115" s="38">
        <f t="shared" si="17"/>
        <v>1.0524927581448565E-3</v>
      </c>
      <c r="H115" s="38">
        <f t="shared" si="18"/>
        <v>1.7777828503629998</v>
      </c>
      <c r="I115" s="39">
        <f>H115/MAX($H$4:H115) - 1</f>
        <v>-1.1293568913710583E-2</v>
      </c>
      <c r="J115" s="39"/>
      <c r="K115" s="38"/>
      <c r="L115" s="38"/>
      <c r="X115" s="60">
        <v>1.0118666333720499E-2</v>
      </c>
      <c r="Y115" s="60">
        <v>2.8342115683348101E-2</v>
      </c>
      <c r="Z115" s="60">
        <v>8.4516917403525404E-3</v>
      </c>
      <c r="AA115" s="56">
        <f t="shared" si="19"/>
        <v>-1.5935233740010683E-3</v>
      </c>
      <c r="AN115">
        <v>2.1226629675467099E-2</v>
      </c>
      <c r="AO115">
        <v>6.1058929339254898E-3</v>
      </c>
      <c r="AP115">
        <v>-2.2940902240455599E-2</v>
      </c>
      <c r="AQ115" s="56">
        <f t="shared" si="20"/>
        <v>-1.3290414264493816E-2</v>
      </c>
      <c r="BD115">
        <v>-2.79099773750748E-2</v>
      </c>
      <c r="BE115">
        <v>9.9188746978451404E-3</v>
      </c>
      <c r="BF115" s="56">
        <f t="shared" si="21"/>
        <v>-4.4754085164576525E-2</v>
      </c>
      <c r="BS115">
        <v>-7.5611893583724596E-2</v>
      </c>
      <c r="BT115">
        <v>8.5975033639389391E-3</v>
      </c>
      <c r="BU115">
        <v>-2.0453467356416101E-3</v>
      </c>
      <c r="BV115">
        <v>-1.5608335795793699E-2</v>
      </c>
      <c r="BW115" s="56">
        <f t="shared" si="22"/>
        <v>1.2607610113848217E-2</v>
      </c>
      <c r="CJ115">
        <v>7.5579583828075999E-3</v>
      </c>
      <c r="CK115">
        <v>1.06428500995806E-2</v>
      </c>
      <c r="CL115">
        <v>1.8570358074073E-2</v>
      </c>
      <c r="CM115" s="56">
        <f t="shared" si="23"/>
        <v>-1.9194081665246387E-3</v>
      </c>
    </row>
    <row r="116" spans="1:91" x14ac:dyDescent="0.2">
      <c r="A116" s="1">
        <v>41425</v>
      </c>
      <c r="B116" s="38">
        <f>Data!B114</f>
        <v>-1.5332656814866508E-2</v>
      </c>
      <c r="C116" s="38">
        <f>Data!C114</f>
        <v>4.4546717610281394E-2</v>
      </c>
      <c r="D116" s="38">
        <f>Data!D114</f>
        <v>1.6082698376758131E-2</v>
      </c>
      <c r="E116" s="38">
        <f>Data!E114</f>
        <v>-1.2510328251848835E-2</v>
      </c>
      <c r="F116" s="38">
        <f>Data!F114</f>
        <v>-4.7132466049369603E-2</v>
      </c>
      <c r="G116" s="38">
        <f t="shared" si="17"/>
        <v>-7.4693069083886683E-3</v>
      </c>
      <c r="H116" s="38">
        <f t="shared" si="18"/>
        <v>1.7645040446371685</v>
      </c>
      <c r="I116" s="39">
        <f>H116/MAX($H$4:H116) - 1</f>
        <v>-1.86785206897917E-2</v>
      </c>
      <c r="J116" s="39"/>
      <c r="K116" s="38"/>
      <c r="L116" s="38"/>
      <c r="X116" s="60">
        <v>-1.7841980244843601E-2</v>
      </c>
      <c r="Y116" s="60">
        <v>-3.8105534410497202E-2</v>
      </c>
      <c r="Z116" s="60">
        <v>1.25328116303792E-2</v>
      </c>
      <c r="AA116" s="56">
        <f t="shared" si="19"/>
        <v>-1.8517670873315836E-3</v>
      </c>
      <c r="AN116">
        <v>1.85773646491252E-2</v>
      </c>
      <c r="AO116">
        <v>-7.0892743908621599E-3</v>
      </c>
      <c r="AP116">
        <v>1.6576283848616799E-2</v>
      </c>
      <c r="AQ116" s="56">
        <f t="shared" si="20"/>
        <v>2.4408796705189688E-2</v>
      </c>
      <c r="BD116">
        <v>-2.2427933583602601E-2</v>
      </c>
      <c r="BE116">
        <v>1.84023792580266E-2</v>
      </c>
      <c r="BF116" s="56">
        <f t="shared" si="21"/>
        <v>6.8427660912931641E-3</v>
      </c>
      <c r="BS116">
        <v>-6.0208165448869498E-2</v>
      </c>
      <c r="BT116">
        <v>6.1574763744156602E-3</v>
      </c>
      <c r="BU116">
        <v>5.53264754375094E-3</v>
      </c>
      <c r="BV116">
        <v>-1.11568188414217E-2</v>
      </c>
      <c r="BW116" s="56">
        <f t="shared" si="22"/>
        <v>-1.289469479629049E-2</v>
      </c>
      <c r="CJ116">
        <v>-5.2070056374402998E-2</v>
      </c>
      <c r="CK116">
        <v>6.2482883066472495E-4</v>
      </c>
      <c r="CL116">
        <v>-5.3091686144643999E-3</v>
      </c>
      <c r="CM116" s="56">
        <f t="shared" si="23"/>
        <v>1.1314439623971162E-3</v>
      </c>
    </row>
    <row r="117" spans="1:91" x14ac:dyDescent="0.2">
      <c r="A117" s="1">
        <v>41453</v>
      </c>
      <c r="B117" s="38">
        <f>Data!B115</f>
        <v>-9.6187393654423303E-3</v>
      </c>
      <c r="C117" s="38">
        <f>Data!C115</f>
        <v>-3.6412004322886382E-2</v>
      </c>
      <c r="D117" s="38">
        <f>Data!D115</f>
        <v>-7.10578635133301E-2</v>
      </c>
      <c r="E117" s="38">
        <f>Data!E115</f>
        <v>-1.5689032159481475E-2</v>
      </c>
      <c r="F117" s="38">
        <f>Data!F115</f>
        <v>-5.3882066738813572E-2</v>
      </c>
      <c r="G117" s="38">
        <f t="shared" si="17"/>
        <v>-3.2626757318286896E-2</v>
      </c>
      <c r="H117" s="38">
        <f t="shared" si="18"/>
        <v>1.7069339993856558</v>
      </c>
      <c r="I117" s="39">
        <f>H117/MAX($H$4:H117) - 1</f>
        <v>-5.0695858446468178E-2</v>
      </c>
      <c r="J117" s="39"/>
      <c r="K117" s="38"/>
      <c r="L117" s="38"/>
      <c r="X117" s="60">
        <v>-1.54685431007124E-2</v>
      </c>
      <c r="Y117" s="60">
        <v>-5.0315627405696603E-2</v>
      </c>
      <c r="Z117" s="60">
        <v>-1.0891503291356901E-2</v>
      </c>
      <c r="AA117" s="56">
        <f t="shared" si="19"/>
        <v>1.4560068899450978E-3</v>
      </c>
      <c r="AN117">
        <v>-1.88178557253794E-2</v>
      </c>
      <c r="AO117">
        <v>-1.00036202566407E-2</v>
      </c>
      <c r="AP117">
        <v>8.3126969143645403E-3</v>
      </c>
      <c r="AQ117" s="56">
        <f t="shared" si="20"/>
        <v>-1.2615753907167078E-2</v>
      </c>
      <c r="BD117">
        <v>-4.7145757410488001E-2</v>
      </c>
      <c r="BE117">
        <v>-1.0328273971258101E-2</v>
      </c>
      <c r="BF117" s="56">
        <f t="shared" si="21"/>
        <v>-2.4810351366505626E-2</v>
      </c>
      <c r="BS117">
        <v>-0.11044098573281499</v>
      </c>
      <c r="BT117">
        <v>-1.3137384469871101E-2</v>
      </c>
      <c r="BU117">
        <v>-1.1975674863602399E-3</v>
      </c>
      <c r="BV117">
        <v>-2.9219192699019301E-3</v>
      </c>
      <c r="BW117" s="56">
        <f t="shared" si="22"/>
        <v>-7.9634040067751502E-4</v>
      </c>
      <c r="CJ117">
        <v>-5.4934687633633503E-2</v>
      </c>
      <c r="CK117">
        <v>-1.19398169835109E-2</v>
      </c>
      <c r="CL117">
        <v>-2.6360046392069399E-2</v>
      </c>
      <c r="CM117" s="56">
        <f t="shared" si="23"/>
        <v>-1.2310883774867692E-3</v>
      </c>
    </row>
    <row r="118" spans="1:91" x14ac:dyDescent="0.2">
      <c r="A118" s="1">
        <v>41486</v>
      </c>
      <c r="B118" s="38">
        <f>Data!B116</f>
        <v>-8.9967535810864252E-4</v>
      </c>
      <c r="C118" s="38">
        <f>Data!C116</f>
        <v>4.1497713743421594E-2</v>
      </c>
      <c r="D118" s="38">
        <f>Data!D116</f>
        <v>9.2457405715129504E-3</v>
      </c>
      <c r="E118" s="38">
        <f>Data!E116</f>
        <v>-5.6116493981117621E-4</v>
      </c>
      <c r="F118" s="38">
        <f>Data!F116</f>
        <v>7.4396532573297591E-3</v>
      </c>
      <c r="G118" s="38">
        <f t="shared" si="17"/>
        <v>1.0932412334329648E-2</v>
      </c>
      <c r="H118" s="38">
        <f t="shared" si="18"/>
        <v>1.7255949056944264</v>
      </c>
      <c r="I118" s="39">
        <f>H118/MAX($H$4:H118) - 1</f>
        <v>-4.0317674140318061E-2</v>
      </c>
      <c r="J118" s="39"/>
      <c r="K118" s="38"/>
      <c r="L118" s="38"/>
      <c r="X118" s="60">
        <v>1.36719075645675E-3</v>
      </c>
      <c r="Y118" s="60">
        <v>9.5003404558864392E-3</v>
      </c>
      <c r="Z118" s="60">
        <v>1.7438481889677799E-2</v>
      </c>
      <c r="AA118" s="56">
        <f t="shared" si="19"/>
        <v>-9.9346535070973709E-4</v>
      </c>
      <c r="AN118">
        <v>5.3021535271521099E-2</v>
      </c>
      <c r="AO118">
        <v>-9.7134634403883702E-4</v>
      </c>
      <c r="AP118">
        <v>1.9099212355161699E-2</v>
      </c>
      <c r="AQ118" s="56">
        <f t="shared" si="20"/>
        <v>-1.9773499044452213E-2</v>
      </c>
      <c r="BD118">
        <v>1.3624427376102401E-2</v>
      </c>
      <c r="BE118">
        <v>1.39199794171097E-2</v>
      </c>
      <c r="BF118" s="56">
        <f t="shared" si="21"/>
        <v>-1.8771198374652881E-2</v>
      </c>
      <c r="BS118">
        <v>7.3339651527301902E-2</v>
      </c>
      <c r="BT118">
        <v>9.1891103847112597E-3</v>
      </c>
      <c r="BU118">
        <v>3.44193655194558E-3</v>
      </c>
      <c r="BV118">
        <v>-2.8219349515015799E-2</v>
      </c>
      <c r="BW118" s="56">
        <f t="shared" si="22"/>
        <v>-1.1492561841876092E-2</v>
      </c>
      <c r="CJ118">
        <v>2.9574757897485901E-3</v>
      </c>
      <c r="CK118">
        <v>5.7471738327656797E-3</v>
      </c>
      <c r="CL118">
        <v>1.8805672646134499E-2</v>
      </c>
      <c r="CM118" s="56">
        <f t="shared" si="23"/>
        <v>2.4857256611777005E-3</v>
      </c>
    </row>
    <row r="119" spans="1:91" x14ac:dyDescent="0.2">
      <c r="A119" s="1">
        <v>41516</v>
      </c>
      <c r="B119" s="38">
        <f>Data!B117</f>
        <v>-2.8587702405814541E-3</v>
      </c>
      <c r="C119" s="38">
        <f>Data!C117</f>
        <v>-6.1298873426109957E-3</v>
      </c>
      <c r="D119" s="38">
        <f>Data!D117</f>
        <v>1.7376748881822612E-2</v>
      </c>
      <c r="E119" s="38">
        <f>Data!E117</f>
        <v>-1.0824676613365836E-2</v>
      </c>
      <c r="F119" s="38">
        <f>Data!F117</f>
        <v>-1.0087124606484865E-2</v>
      </c>
      <c r="G119" s="38">
        <f t="shared" si="17"/>
        <v>-4.1502483126255631E-3</v>
      </c>
      <c r="H119" s="38">
        <f t="shared" si="18"/>
        <v>1.7184332583487929</v>
      </c>
      <c r="I119" s="39">
        <f>H119/MAX($H$4:H119) - 1</f>
        <v>-4.4300594093873769E-2</v>
      </c>
      <c r="J119" s="39"/>
      <c r="K119" s="38"/>
      <c r="L119" s="38"/>
      <c r="X119" s="60">
        <v>-5.1116402204499601E-3</v>
      </c>
      <c r="Y119" s="60">
        <v>-2.6803494571850599E-2</v>
      </c>
      <c r="Z119" s="60">
        <v>-1.0889526147366299E-3</v>
      </c>
      <c r="AA119" s="56">
        <f t="shared" si="19"/>
        <v>1.5095140859257396E-3</v>
      </c>
      <c r="AN119">
        <v>-1.7138501783197899E-2</v>
      </c>
      <c r="AO119">
        <v>2.07978038974268E-2</v>
      </c>
      <c r="AP119">
        <v>-2.8006516847357602E-3</v>
      </c>
      <c r="AQ119" s="56">
        <f t="shared" si="20"/>
        <v>3.8259911271903875E-3</v>
      </c>
      <c r="BD119">
        <v>3.4023013309380901E-2</v>
      </c>
      <c r="BE119">
        <v>-2.3983542157581801E-3</v>
      </c>
      <c r="BF119" s="56">
        <f t="shared" si="21"/>
        <v>-2.797653362949102E-3</v>
      </c>
      <c r="BS119">
        <v>5.2978333220131901E-2</v>
      </c>
      <c r="BT119">
        <v>-6.9632203176212002E-3</v>
      </c>
      <c r="BU119">
        <v>-5.8214860073264596E-3</v>
      </c>
      <c r="BV119">
        <v>2.04768561711824E-2</v>
      </c>
      <c r="BW119" s="56">
        <f t="shared" si="22"/>
        <v>-9.6703422796163285E-3</v>
      </c>
      <c r="CJ119">
        <v>-1.0464824237463101E-2</v>
      </c>
      <c r="CK119">
        <v>-1.1417343102947399E-3</v>
      </c>
      <c r="CL119">
        <v>-6.2005928351865896E-3</v>
      </c>
      <c r="CM119" s="56">
        <f t="shared" si="23"/>
        <v>2.6797757169017521E-4</v>
      </c>
    </row>
    <row r="120" spans="1:91" x14ac:dyDescent="0.2">
      <c r="A120" s="1">
        <v>41547</v>
      </c>
      <c r="B120" s="38">
        <f>Data!B118</f>
        <v>1.4079143500636437E-2</v>
      </c>
      <c r="C120" s="38">
        <f>Data!C118</f>
        <v>2.8588098016335994E-2</v>
      </c>
      <c r="D120" s="38">
        <f>Data!D118</f>
        <v>1.5724227676923608E-2</v>
      </c>
      <c r="E120" s="38">
        <f>Data!E118</f>
        <v>-1.6629693997630701E-3</v>
      </c>
      <c r="F120" s="38">
        <f>Data!F118</f>
        <v>1.6455522221116459E-2</v>
      </c>
      <c r="G120" s="38">
        <f t="shared" si="17"/>
        <v>1.6247645439350394E-2</v>
      </c>
      <c r="H120" s="38">
        <f t="shared" si="18"/>
        <v>1.7463537526416315</v>
      </c>
      <c r="I120" s="39">
        <f>H120/MAX($H$4:H120) - 1</f>
        <v>-2.8772729000113295E-2</v>
      </c>
      <c r="J120" s="39"/>
      <c r="K120" s="38"/>
      <c r="L120" s="38"/>
      <c r="X120" s="60">
        <v>9.4669076627840205E-3</v>
      </c>
      <c r="Y120" s="60">
        <v>2.6700110562880599E-2</v>
      </c>
      <c r="Z120" s="60">
        <v>4.4704669561479497E-4</v>
      </c>
      <c r="AA120" s="56">
        <f t="shared" si="19"/>
        <v>7.0818216930203523E-3</v>
      </c>
      <c r="AN120">
        <v>4.4563317714624497E-2</v>
      </c>
      <c r="AO120">
        <v>1.95128836164138E-2</v>
      </c>
      <c r="AP120">
        <v>3.2443980564370603E-2</v>
      </c>
      <c r="AQ120" s="56">
        <f t="shared" si="20"/>
        <v>-3.4955727598375841E-2</v>
      </c>
      <c r="BD120">
        <v>-2.55418357523245E-2</v>
      </c>
      <c r="BE120">
        <v>1.54287109283142E-2</v>
      </c>
      <c r="BF120" s="56">
        <f t="shared" si="21"/>
        <v>1.2609240228270192E-2</v>
      </c>
      <c r="BS120">
        <v>-4.7474682319551098E-2</v>
      </c>
      <c r="BT120">
        <v>1.2089449946689E-2</v>
      </c>
      <c r="BU120">
        <v>1.0831444598664601E-3</v>
      </c>
      <c r="BV120">
        <v>-4.7255680139568499E-3</v>
      </c>
      <c r="BW120" s="56">
        <f t="shared" si="22"/>
        <v>-1.9207054499148835E-3</v>
      </c>
      <c r="CJ120">
        <v>1.6977194532704201E-2</v>
      </c>
      <c r="CK120">
        <v>1.1006305486822601E-2</v>
      </c>
      <c r="CL120">
        <v>9.9139543583988098E-3</v>
      </c>
      <c r="CM120" s="56">
        <f t="shared" si="23"/>
        <v>8.0322439063376661E-4</v>
      </c>
    </row>
    <row r="121" spans="1:91" x14ac:dyDescent="0.2">
      <c r="A121" s="1">
        <v>41578</v>
      </c>
      <c r="B121" s="38">
        <f>Data!B119</f>
        <v>6.8130854157055776E-3</v>
      </c>
      <c r="C121" s="38">
        <f>Data!C119</f>
        <v>4.5701320800583645E-2</v>
      </c>
      <c r="D121" s="38">
        <f>Data!D119</f>
        <v>4.1885267856307529E-3</v>
      </c>
      <c r="E121" s="38">
        <f>Data!E119</f>
        <v>8.2944110470013488E-3</v>
      </c>
      <c r="F121" s="38">
        <f>Data!F119</f>
        <v>8.318373627398401E-3</v>
      </c>
      <c r="G121" s="38">
        <f t="shared" si="17"/>
        <v>1.5112062285385435E-2</v>
      </c>
      <c r="H121" s="38">
        <f t="shared" si="18"/>
        <v>1.7727447593238685</v>
      </c>
      <c r="I121" s="39">
        <f>H121/MAX($H$4:H121) - 1</f>
        <v>-1.4095481987497993E-2</v>
      </c>
      <c r="J121" s="39"/>
      <c r="K121" s="38"/>
      <c r="L121" s="38"/>
      <c r="X121" s="60">
        <v>8.0849723408842299E-3</v>
      </c>
      <c r="Y121" s="60">
        <v>2.6696883488435599E-2</v>
      </c>
      <c r="Z121" s="60">
        <v>1.6497600631038199E-2</v>
      </c>
      <c r="AA121" s="56">
        <f t="shared" si="19"/>
        <v>1.7578673775043643E-3</v>
      </c>
      <c r="AN121">
        <v>4.4235609992200602E-2</v>
      </c>
      <c r="AO121">
        <v>4.4182007235749098E-4</v>
      </c>
      <c r="AP121">
        <v>-2.0821529552609099E-2</v>
      </c>
      <c r="AQ121" s="56">
        <f t="shared" si="20"/>
        <v>4.1879513622666842E-4</v>
      </c>
      <c r="BD121">
        <v>-1.4766192828094901E-2</v>
      </c>
      <c r="BE121">
        <v>1.50619700631471E-2</v>
      </c>
      <c r="BF121" s="56">
        <f t="shared" si="21"/>
        <v>-5.8424094973212118E-3</v>
      </c>
      <c r="BS121">
        <v>-4.4919979232974604E-3</v>
      </c>
      <c r="BT121">
        <v>1.207724076255E-2</v>
      </c>
      <c r="BU121">
        <v>1.07879150866852E-3</v>
      </c>
      <c r="BV121">
        <v>-2.5871635788712499E-2</v>
      </c>
      <c r="BW121" s="56">
        <f t="shared" si="22"/>
        <v>5.0195325749641598E-3</v>
      </c>
      <c r="CJ121">
        <v>9.1834282333802496E-3</v>
      </c>
      <c r="CK121">
        <v>1.09984492538815E-2</v>
      </c>
      <c r="CL121">
        <v>2.4582572971922501E-2</v>
      </c>
      <c r="CM121" s="56">
        <f t="shared" si="23"/>
        <v>-2.5646501759728317E-3</v>
      </c>
    </row>
    <row r="122" spans="1:91" x14ac:dyDescent="0.2">
      <c r="A122" s="1">
        <v>41607</v>
      </c>
      <c r="B122" s="38">
        <f>Data!B120</f>
        <v>-6.2234915492658249E-3</v>
      </c>
      <c r="C122" s="38">
        <f>Data!C120</f>
        <v>3.8744672607516462E-2</v>
      </c>
      <c r="D122" s="38">
        <f>Data!D120</f>
        <v>-4.795763361854144E-2</v>
      </c>
      <c r="E122" s="38">
        <f>Data!E120</f>
        <v>5.2379659643575494E-3</v>
      </c>
      <c r="F122" s="38">
        <f>Data!F120</f>
        <v>-1.1394272343455913E-2</v>
      </c>
      <c r="G122" s="38">
        <f t="shared" si="17"/>
        <v>-1.1079539506757834E-3</v>
      </c>
      <c r="H122" s="38">
        <f t="shared" si="18"/>
        <v>1.7707806397642358</v>
      </c>
      <c r="I122" s="39">
        <f>H122/MAX($H$4:H122) - 1</f>
        <v>-1.5187818793219066E-2</v>
      </c>
      <c r="J122" s="39"/>
      <c r="K122" s="38"/>
      <c r="L122" s="38"/>
      <c r="X122" s="60">
        <v>-3.7441891062188798E-3</v>
      </c>
      <c r="Y122" s="60">
        <v>-2.2793450014089299E-2</v>
      </c>
      <c r="Z122" s="60">
        <v>8.3949613537135405E-3</v>
      </c>
      <c r="AA122" s="56">
        <f t="shared" si="19"/>
        <v>-2.2165620736855299E-3</v>
      </c>
      <c r="AN122">
        <v>2.8209187344894599E-2</v>
      </c>
      <c r="AO122">
        <v>3.11444791938786E-4</v>
      </c>
      <c r="AP122">
        <v>9.5900881622592599E-3</v>
      </c>
      <c r="AQ122" s="56">
        <f t="shared" si="20"/>
        <v>5.8714114258408695E-3</v>
      </c>
      <c r="BD122">
        <v>-8.0034620715150294E-3</v>
      </c>
      <c r="BE122">
        <v>1.0371024952818801E-2</v>
      </c>
      <c r="BF122" s="56">
        <f t="shared" si="21"/>
        <v>-5.6352005522870133E-2</v>
      </c>
      <c r="BS122">
        <v>-5.2688464619896298E-2</v>
      </c>
      <c r="BT122">
        <v>1.16162394326922E-2</v>
      </c>
      <c r="BU122">
        <v>6.8330470174815501E-3</v>
      </c>
      <c r="BV122">
        <v>-1.85173267102299E-2</v>
      </c>
      <c r="BW122" s="56">
        <f t="shared" si="22"/>
        <v>1.7602322455746505E-3</v>
      </c>
      <c r="CJ122">
        <v>-1.52870325845527E-2</v>
      </c>
      <c r="CK122">
        <v>4.7831924152106397E-3</v>
      </c>
      <c r="CL122">
        <v>4.6507722474946602E-3</v>
      </c>
      <c r="CM122" s="56">
        <f t="shared" si="23"/>
        <v>2.3593350696833621E-3</v>
      </c>
    </row>
    <row r="123" spans="1:91" x14ac:dyDescent="0.2">
      <c r="A123" s="1">
        <v>41639</v>
      </c>
      <c r="B123" s="38">
        <f>Data!B121</f>
        <v>-4.7182962661118655E-3</v>
      </c>
      <c r="C123" s="38">
        <f>Data!C121</f>
        <v>4.1327862737784438E-2</v>
      </c>
      <c r="D123" s="38">
        <f>Data!D121</f>
        <v>4.893850458061344E-2</v>
      </c>
      <c r="E123" s="38">
        <f>Data!E121</f>
        <v>4.7046248627378162E-3</v>
      </c>
      <c r="F123" s="38">
        <f>Data!F121</f>
        <v>-2.0848048272797404E-2</v>
      </c>
      <c r="G123" s="38">
        <f t="shared" si="17"/>
        <v>6.9654199865741787E-3</v>
      </c>
      <c r="H123" s="38">
        <f t="shared" si="18"/>
        <v>1.7831148706242881</v>
      </c>
      <c r="I123" s="39">
        <f>H123/MAX($H$4:H123) - 1</f>
        <v>-8.3281883432198001E-3</v>
      </c>
      <c r="J123" s="39"/>
      <c r="K123" s="38"/>
      <c r="L123" s="38"/>
      <c r="X123" s="60">
        <v>-5.6511475626330699E-3</v>
      </c>
      <c r="Y123" s="60">
        <v>5.8312774342379496E-3</v>
      </c>
      <c r="Z123" s="60">
        <v>1.11309201909082E-2</v>
      </c>
      <c r="AA123" s="56">
        <f t="shared" si="19"/>
        <v>-8.8687900592762138E-4</v>
      </c>
      <c r="AN123">
        <v>2.85648684691031E-2</v>
      </c>
      <c r="AO123">
        <v>3.23744239967816E-3</v>
      </c>
      <c r="AP123">
        <v>-5.6358383849604001E-3</v>
      </c>
      <c r="AQ123" s="56">
        <f t="shared" si="20"/>
        <v>9.3919271067439483E-3</v>
      </c>
      <c r="BD123">
        <v>1.2398949640063399E-2</v>
      </c>
      <c r="BE123">
        <v>1.1934679026654099E-2</v>
      </c>
      <c r="BF123" s="56">
        <f t="shared" si="21"/>
        <v>2.4424070114870459E-2</v>
      </c>
      <c r="BS123">
        <v>-4.1257430087365703E-2</v>
      </c>
      <c r="BT123">
        <v>1.52267494505856E-2</v>
      </c>
      <c r="BU123">
        <v>7.5417590831057301E-3</v>
      </c>
      <c r="BV123">
        <v>-1.11725531665792E-2</v>
      </c>
      <c r="BW123" s="56">
        <f t="shared" si="22"/>
        <v>-1.7199125264485268E-3</v>
      </c>
      <c r="CJ123">
        <v>-2.08913713799374E-2</v>
      </c>
      <c r="CK123">
        <v>7.6849903674798296E-3</v>
      </c>
      <c r="CL123">
        <v>5.4797726282751497E-3</v>
      </c>
      <c r="CM123" s="56">
        <f t="shared" si="23"/>
        <v>-1.7729243254011942E-3</v>
      </c>
    </row>
  </sheetData>
  <mergeCells count="5">
    <mergeCell ref="AC5:AD5"/>
    <mergeCell ref="AS5:AT5"/>
    <mergeCell ref="BH5:BI5"/>
    <mergeCell ref="BY5:BZ5"/>
    <mergeCell ref="CO5:CP5"/>
  </mergeCells>
  <pageMargins left="0.7" right="0.7" top="0.75" bottom="0.75" header="0.3" footer="0.3"/>
  <pageSetup orientation="portrait" horizontalDpi="0"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E62B8-CA9F-5443-BC39-E649D60A43C3}">
  <dimension ref="A1:BO182"/>
  <sheetViews>
    <sheetView zoomScaleNormal="100" workbookViewId="0">
      <selection activeCell="BQ14" sqref="BQ14"/>
    </sheetView>
  </sheetViews>
  <sheetFormatPr baseColWidth="10" defaultColWidth="8.83203125" defaultRowHeight="15" x14ac:dyDescent="0.2"/>
  <cols>
    <col min="2" max="3" width="13.83203125" style="2" customWidth="1"/>
    <col min="4" max="6" width="13.83203125" customWidth="1"/>
    <col min="8" max="12" width="12.83203125" customWidth="1"/>
    <col min="13" max="13" width="10.83203125" customWidth="1"/>
    <col min="15" max="15" width="17.83203125" bestFit="1" customWidth="1"/>
    <col min="16" max="16" width="12.83203125" bestFit="1" customWidth="1"/>
    <col min="17" max="17" width="13.6640625" bestFit="1" customWidth="1"/>
    <col min="18" max="19" width="12.33203125" bestFit="1" customWidth="1"/>
    <col min="20" max="20" width="13.33203125" bestFit="1" customWidth="1"/>
    <col min="21" max="22" width="13.1640625" bestFit="1" customWidth="1"/>
    <col min="24" max="24" width="10.83203125" customWidth="1"/>
    <col min="25" max="26" width="13.5" style="2" customWidth="1"/>
    <col min="27" max="32" width="13.5" customWidth="1"/>
    <col min="36" max="36" width="9.83203125" style="2" customWidth="1"/>
    <col min="37" max="37" width="9.83203125" customWidth="1"/>
    <col min="56" max="56" width="10.83203125" customWidth="1"/>
    <col min="57" max="57" width="21.5" bestFit="1" customWidth="1"/>
    <col min="58" max="58" width="21.5" customWidth="1"/>
    <col min="59" max="59" width="23.5" bestFit="1" customWidth="1"/>
    <col min="60" max="60" width="23.5" customWidth="1"/>
    <col min="61" max="61" width="19.6640625" bestFit="1" customWidth="1"/>
    <col min="62" max="62" width="19.6640625" customWidth="1"/>
    <col min="64" max="64" width="20.33203125" bestFit="1" customWidth="1"/>
    <col min="65" max="67" width="21.5" bestFit="1" customWidth="1"/>
  </cols>
  <sheetData>
    <row r="1" spans="1:67" ht="32" x14ac:dyDescent="0.2">
      <c r="D1" s="2"/>
      <c r="E1" s="2"/>
      <c r="F1" s="2"/>
      <c r="H1" s="2" t="s">
        <v>238</v>
      </c>
      <c r="O1" t="s">
        <v>239</v>
      </c>
      <c r="X1" s="84" t="s">
        <v>240</v>
      </c>
      <c r="AA1" s="2"/>
      <c r="AB1" s="2"/>
      <c r="AC1" s="2"/>
      <c r="AD1" s="2"/>
      <c r="AE1" s="2"/>
      <c r="AF1" s="2"/>
      <c r="AJ1" s="91" t="s">
        <v>8</v>
      </c>
      <c r="AK1" s="91" t="s">
        <v>18</v>
      </c>
      <c r="BD1" s="84" t="s">
        <v>240</v>
      </c>
    </row>
    <row r="2" spans="1:67" ht="16" thickBot="1" x14ac:dyDescent="0.25">
      <c r="B2" s="92" t="s">
        <v>0</v>
      </c>
      <c r="C2" s="92" t="s">
        <v>1</v>
      </c>
      <c r="D2" s="92" t="s">
        <v>158</v>
      </c>
      <c r="E2" s="92" t="s">
        <v>3</v>
      </c>
      <c r="F2" s="92" t="s">
        <v>4</v>
      </c>
      <c r="H2" s="93" t="s">
        <v>0</v>
      </c>
      <c r="I2" s="94" t="s">
        <v>1</v>
      </c>
      <c r="J2" s="94" t="s">
        <v>158</v>
      </c>
      <c r="K2" s="94" t="s">
        <v>3</v>
      </c>
      <c r="L2" s="95" t="s">
        <v>4</v>
      </c>
      <c r="Y2" s="92" t="s">
        <v>241</v>
      </c>
      <c r="Z2" s="92" t="s">
        <v>242</v>
      </c>
      <c r="AA2" s="92" t="s">
        <v>243</v>
      </c>
      <c r="AB2" s="96" t="s">
        <v>244</v>
      </c>
      <c r="AC2" s="92" t="s">
        <v>245</v>
      </c>
      <c r="AD2" s="92" t="s">
        <v>246</v>
      </c>
      <c r="AE2" s="92" t="s">
        <v>247</v>
      </c>
      <c r="AF2" s="96" t="s">
        <v>248</v>
      </c>
      <c r="AJ2" s="92" t="s">
        <v>59</v>
      </c>
      <c r="AK2" s="92" t="s">
        <v>59</v>
      </c>
      <c r="BE2" s="92" t="s">
        <v>262</v>
      </c>
      <c r="BF2" s="92" t="s">
        <v>267</v>
      </c>
      <c r="BG2" s="92" t="s">
        <v>263</v>
      </c>
      <c r="BH2" s="92" t="s">
        <v>266</v>
      </c>
      <c r="BI2" s="92" t="s">
        <v>264</v>
      </c>
      <c r="BJ2" s="92" t="s">
        <v>265</v>
      </c>
      <c r="BL2" s="28"/>
      <c r="BM2" s="29" t="s">
        <v>241</v>
      </c>
      <c r="BN2" s="29" t="s">
        <v>242</v>
      </c>
      <c r="BO2" s="30" t="s">
        <v>243</v>
      </c>
    </row>
    <row r="3" spans="1:67" x14ac:dyDescent="0.2">
      <c r="A3" s="1">
        <v>38016</v>
      </c>
      <c r="B3" s="97">
        <v>6.2656429682741432E-3</v>
      </c>
      <c r="C3" s="97">
        <v>3.4770514603616132E-2</v>
      </c>
      <c r="D3" s="97">
        <v>3.260982376995325E-2</v>
      </c>
      <c r="E3" s="97">
        <v>6.4599982985540372E-3</v>
      </c>
      <c r="F3" s="97">
        <v>1.1827396930966794E-2</v>
      </c>
      <c r="H3" s="98">
        <v>6.2656429682741432E-3</v>
      </c>
      <c r="I3" s="99">
        <v>3.4770514603616132E-2</v>
      </c>
      <c r="J3" s="99">
        <v>3.260982376995325E-2</v>
      </c>
      <c r="K3" s="99">
        <v>6.4599982985540372E-3</v>
      </c>
      <c r="L3" s="100">
        <v>1.1827396930966794E-2</v>
      </c>
      <c r="O3" s="101"/>
      <c r="P3" s="101" t="s">
        <v>0</v>
      </c>
      <c r="Q3" s="101" t="s">
        <v>1</v>
      </c>
      <c r="R3" s="101" t="s">
        <v>158</v>
      </c>
      <c r="S3" s="101" t="s">
        <v>3</v>
      </c>
      <c r="T3" s="101" t="s">
        <v>4</v>
      </c>
      <c r="X3" s="1">
        <v>38016</v>
      </c>
      <c r="Y3" s="102"/>
      <c r="Z3" s="102"/>
      <c r="AA3" s="102"/>
      <c r="AB3" s="102"/>
      <c r="AC3" s="102"/>
      <c r="AD3" s="102"/>
      <c r="AE3" s="102"/>
      <c r="AF3" s="102"/>
      <c r="AJ3" s="97">
        <v>3.7328896444264199E-3</v>
      </c>
      <c r="AK3" s="97">
        <v>1.6045880594972139E-2</v>
      </c>
      <c r="BD3" s="1">
        <v>38016</v>
      </c>
      <c r="BL3" s="129" t="s">
        <v>309</v>
      </c>
      <c r="BM3" s="39" cm="1">
        <f t="array" ref="BM3">GEOMEAN(1+Y39:Y122)-1</f>
        <v>3.8211995308632396E-3</v>
      </c>
      <c r="BN3" s="39" cm="1">
        <f t="array" ref="BN3">GEOMEAN(1+Z39:Z122)-1</f>
        <v>3.5394540233555372E-3</v>
      </c>
      <c r="BO3" s="40" cm="1">
        <f t="array" ref="BO3">GEOMEAN(1+AA39:AA122)-1</f>
        <v>2.8798250259234326E-3</v>
      </c>
    </row>
    <row r="4" spans="1:67" x14ac:dyDescent="0.2">
      <c r="A4" s="1">
        <v>38044</v>
      </c>
      <c r="B4" s="97">
        <v>8.4282173017939943E-3</v>
      </c>
      <c r="C4" s="97">
        <v>-3.2526881720430167E-2</v>
      </c>
      <c r="D4" s="97">
        <v>8.396542481908309E-2</v>
      </c>
      <c r="E4" s="97">
        <v>1.998999592325168E-2</v>
      </c>
      <c r="F4" s="97">
        <v>2.3758424341297602E-2</v>
      </c>
      <c r="H4" s="98">
        <v>8.4282173017939943E-3</v>
      </c>
      <c r="I4" s="99">
        <v>-3.2526881720430167E-2</v>
      </c>
      <c r="J4" s="99">
        <v>8.396542481908309E-2</v>
      </c>
      <c r="K4" s="99">
        <v>1.998999592325168E-2</v>
      </c>
      <c r="L4" s="100">
        <v>2.3758424341297602E-2</v>
      </c>
      <c r="O4" t="s">
        <v>0</v>
      </c>
      <c r="P4">
        <f>VARP(H3:H38)</f>
        <v>5.139459419073011E-5</v>
      </c>
      <c r="X4" s="1">
        <v>38044</v>
      </c>
      <c r="Y4" s="102"/>
      <c r="Z4" s="102"/>
      <c r="AA4" s="102"/>
      <c r="AB4" s="102"/>
      <c r="AC4" s="102"/>
      <c r="AD4" s="102"/>
      <c r="AE4" s="102"/>
      <c r="AF4" s="102"/>
      <c r="AJ4" s="97">
        <v>5.1522151231468971E-3</v>
      </c>
      <c r="AK4" s="97">
        <v>1.6745270710005755E-2</v>
      </c>
      <c r="BD4" s="1">
        <v>38044</v>
      </c>
      <c r="BL4" s="129" t="s">
        <v>310</v>
      </c>
      <c r="BM4" s="39">
        <f>BM3*12</f>
        <v>4.5854394370358875E-2</v>
      </c>
      <c r="BN4" s="39">
        <f t="shared" ref="BN4:BO4" si="0">BN3*12</f>
        <v>4.2473448280266446E-2</v>
      </c>
      <c r="BO4" s="40">
        <f t="shared" si="0"/>
        <v>3.4557900311081191E-2</v>
      </c>
    </row>
    <row r="5" spans="1:67" x14ac:dyDescent="0.2">
      <c r="A5" s="1">
        <v>38077</v>
      </c>
      <c r="B5" s="97">
        <v>4.3830411305911809E-3</v>
      </c>
      <c r="C5" s="97">
        <v>-2.6674076132259028E-2</v>
      </c>
      <c r="D5" s="97">
        <v>-3.5853150441054193E-3</v>
      </c>
      <c r="E5" s="97">
        <v>1.122999962763771E-2</v>
      </c>
      <c r="F5" s="97">
        <v>1.6515691841171076E-2</v>
      </c>
      <c r="H5" s="98">
        <v>4.3830411305911809E-3</v>
      </c>
      <c r="I5" s="99">
        <v>-2.6674076132259028E-2</v>
      </c>
      <c r="J5" s="99">
        <v>-3.5853150441054193E-3</v>
      </c>
      <c r="K5" s="99">
        <v>1.122999962763771E-2</v>
      </c>
      <c r="L5" s="100">
        <v>1.6515691841171076E-2</v>
      </c>
      <c r="O5" t="s">
        <v>1</v>
      </c>
      <c r="P5">
        <v>1.7880463557475254E-5</v>
      </c>
      <c r="Q5">
        <f>VARP(I3:I38)</f>
        <v>1.7517492863258258E-3</v>
      </c>
      <c r="X5" s="1">
        <v>38077</v>
      </c>
      <c r="Y5" s="102"/>
      <c r="Z5" s="102"/>
      <c r="AA5" s="102"/>
      <c r="AB5" s="102"/>
      <c r="AC5" s="102"/>
      <c r="AD5" s="102"/>
      <c r="AE5" s="102"/>
      <c r="AF5" s="102"/>
      <c r="AJ5" s="97">
        <v>1.1076523950998451E-2</v>
      </c>
      <c r="AK5" s="97">
        <v>-6.6356141858682216E-3</v>
      </c>
      <c r="BD5" s="1">
        <v>38077</v>
      </c>
      <c r="BL5" s="31" t="s">
        <v>78</v>
      </c>
      <c r="BM5" s="39">
        <f>_xlfn.STDEV.S(Y39:Y122)</f>
        <v>1.2239284478050606E-2</v>
      </c>
      <c r="BN5" s="39">
        <f>_xlfn.STDEV.S(Z39:Z122)</f>
        <v>1.1134777552791759E-2</v>
      </c>
      <c r="BO5" s="40">
        <f>_xlfn.STDEV.S(AA39:AA122)</f>
        <v>1.2882162616855649E-2</v>
      </c>
    </row>
    <row r="6" spans="1:67" x14ac:dyDescent="0.2">
      <c r="A6" s="1">
        <v>38107</v>
      </c>
      <c r="B6" s="97">
        <v>-1.7804105065790443E-2</v>
      </c>
      <c r="C6" s="97">
        <v>-4.6674279189266255E-2</v>
      </c>
      <c r="D6" s="97">
        <v>-8.5476236266292749E-2</v>
      </c>
      <c r="E6" s="97">
        <v>-2.839999836017304E-2</v>
      </c>
      <c r="F6" s="97">
        <v>-4.3864054913778761E-2</v>
      </c>
      <c r="H6" s="98">
        <v>-1.7804105065790443E-2</v>
      </c>
      <c r="I6" s="99">
        <v>-4.6674279189266255E-2</v>
      </c>
      <c r="J6" s="99">
        <v>-8.5476236266292749E-2</v>
      </c>
      <c r="K6" s="99">
        <v>-2.839999836017304E-2</v>
      </c>
      <c r="L6" s="100">
        <v>-4.3864054913778761E-2</v>
      </c>
      <c r="O6" t="s">
        <v>158</v>
      </c>
      <c r="P6">
        <v>-2.6231232433984227E-5</v>
      </c>
      <c r="Q6">
        <v>3.9159355541061006E-4</v>
      </c>
      <c r="R6">
        <f>VARP(J3:J38)</f>
        <v>3.4160014399037238E-3</v>
      </c>
      <c r="X6" s="1">
        <v>38107</v>
      </c>
      <c r="Y6" s="102"/>
      <c r="Z6" s="102"/>
      <c r="AA6" s="102"/>
      <c r="AB6" s="102"/>
      <c r="AC6" s="102"/>
      <c r="AD6" s="102"/>
      <c r="AE6" s="102"/>
      <c r="AF6" s="102"/>
      <c r="AJ6" s="97">
        <v>-3.656403634352956E-2</v>
      </c>
      <c r="AK6" s="97">
        <v>-2.0481467970296485E-2</v>
      </c>
      <c r="BD6" s="1">
        <v>38107</v>
      </c>
      <c r="BL6" s="31" t="s">
        <v>79</v>
      </c>
      <c r="BM6" s="39">
        <f>BM5*SQRT(12)</f>
        <v>4.2398125128545551E-2</v>
      </c>
      <c r="BN6" s="39">
        <f t="shared" ref="BN6:BO6" si="1">BN5*SQRT(12)</f>
        <v>3.8572000904825543E-2</v>
      </c>
      <c r="BO6" s="40">
        <f t="shared" si="1"/>
        <v>4.4625120327516851E-2</v>
      </c>
    </row>
    <row r="7" spans="1:67" x14ac:dyDescent="0.2">
      <c r="A7" s="1">
        <v>38138</v>
      </c>
      <c r="B7" s="97">
        <v>-2.1877217285536377E-3</v>
      </c>
      <c r="C7" s="97">
        <v>4.9558317113340244E-2</v>
      </c>
      <c r="D7" s="97">
        <v>4.3707135734297298E-2</v>
      </c>
      <c r="E7" s="97">
        <v>-6.9499961933691123E-3</v>
      </c>
      <c r="F7" s="97">
        <v>1.5257636777510797E-2</v>
      </c>
      <c r="H7" s="98">
        <v>-2.1877217285536377E-3</v>
      </c>
      <c r="I7" s="99">
        <v>4.9558317113340244E-2</v>
      </c>
      <c r="J7" s="99">
        <v>4.3707135734297298E-2</v>
      </c>
      <c r="K7" s="99">
        <v>-6.9499961933691123E-3</v>
      </c>
      <c r="L7" s="100">
        <v>1.5257636777510797E-2</v>
      </c>
      <c r="O7" t="s">
        <v>3</v>
      </c>
      <c r="P7">
        <v>8.589506075349267E-6</v>
      </c>
      <c r="Q7">
        <v>1.9418716377617249E-4</v>
      </c>
      <c r="R7">
        <v>3.9742132054471264E-4</v>
      </c>
      <c r="S7">
        <f>VARP(K3:K38)</f>
        <v>1.5534454448247784E-4</v>
      </c>
      <c r="X7" s="1">
        <v>38138</v>
      </c>
      <c r="Y7" s="102"/>
      <c r="Z7" s="102"/>
      <c r="AA7" s="102"/>
      <c r="AB7" s="102"/>
      <c r="AC7" s="102"/>
      <c r="AD7" s="102"/>
      <c r="AE7" s="102"/>
      <c r="AF7" s="102"/>
      <c r="AJ7" s="97">
        <v>4.9003611723277274E-3</v>
      </c>
      <c r="AK7" s="97">
        <v>9.1110062055117513E-3</v>
      </c>
      <c r="BD7" s="1">
        <v>38138</v>
      </c>
      <c r="BL7" s="31" t="s">
        <v>80</v>
      </c>
      <c r="BM7" s="39">
        <f>MIN(Y39:Y122)</f>
        <v>-4.8357923528342443E-2</v>
      </c>
      <c r="BN7" s="39">
        <f>MIN(Z39:Z122)</f>
        <v>-4.4982355187533754E-2</v>
      </c>
      <c r="BO7" s="40">
        <f>MIN(AA39:AA122)</f>
        <v>-7.0885408327335822E-2</v>
      </c>
    </row>
    <row r="8" spans="1:67" ht="16" thickBot="1" x14ac:dyDescent="0.25">
      <c r="A8" s="1">
        <v>38168</v>
      </c>
      <c r="B8" s="97">
        <v>8.8462612906230476E-3</v>
      </c>
      <c r="C8" s="97">
        <v>2.7674750356633471E-2</v>
      </c>
      <c r="D8" s="97">
        <v>-3.4057820299501218E-3</v>
      </c>
      <c r="E8" s="97">
        <v>-1.1000051204472783E-3</v>
      </c>
      <c r="F8" s="97">
        <v>-1.4189512304110252E-3</v>
      </c>
      <c r="H8" s="98">
        <v>8.8462612906230476E-3</v>
      </c>
      <c r="I8" s="99">
        <v>2.7674750356633471E-2</v>
      </c>
      <c r="J8" s="99">
        <v>-3.4057820299501218E-3</v>
      </c>
      <c r="K8" s="99">
        <v>-1.1000051204472783E-3</v>
      </c>
      <c r="L8" s="100">
        <v>-1.4189512304110252E-3</v>
      </c>
      <c r="O8" s="4" t="s">
        <v>4</v>
      </c>
      <c r="P8" s="4">
        <v>8.2513660194850246E-5</v>
      </c>
      <c r="Q8" s="4">
        <v>-1.1292375010316274E-5</v>
      </c>
      <c r="R8" s="4">
        <v>5.4788820806649053E-5</v>
      </c>
      <c r="S8" s="4">
        <v>2.5011771726195434E-5</v>
      </c>
      <c r="T8" s="4">
        <f>VARP(L3:L38)</f>
        <v>1.9220897694100116E-4</v>
      </c>
      <c r="X8" s="1">
        <v>38168</v>
      </c>
      <c r="Y8" s="102"/>
      <c r="Z8" s="102"/>
      <c r="AA8" s="102"/>
      <c r="AB8" s="102"/>
      <c r="AC8" s="102"/>
      <c r="AD8" s="102"/>
      <c r="AE8" s="102"/>
      <c r="AF8" s="102"/>
      <c r="AJ8" s="97">
        <v>2.922565977729219E-3</v>
      </c>
      <c r="AK8" s="97">
        <v>2.052881182659716E-2</v>
      </c>
      <c r="BD8" s="1">
        <v>38168</v>
      </c>
      <c r="BL8" s="31" t="s">
        <v>81</v>
      </c>
      <c r="BM8" s="39">
        <f>MAX(Y39:Y122)</f>
        <v>3.4463153512161809E-2</v>
      </c>
      <c r="BN8" s="39">
        <f>MAX(Z39:Z122)</f>
        <v>2.6058019550386044E-2</v>
      </c>
      <c r="BO8" s="40">
        <f>MAX(AA39:AA122)</f>
        <v>2.1181146542863745E-2</v>
      </c>
    </row>
    <row r="9" spans="1:67" x14ac:dyDescent="0.2">
      <c r="A9" s="1">
        <v>38198</v>
      </c>
      <c r="B9" s="97">
        <v>8.9616862738517433E-3</v>
      </c>
      <c r="C9" s="97">
        <v>-7.5513603553581499E-2</v>
      </c>
      <c r="D9" s="97">
        <v>1.9774084992043583E-2</v>
      </c>
      <c r="E9" s="97">
        <v>-3.289996510301485E-3</v>
      </c>
      <c r="F9" s="97">
        <v>1.474351928904527E-2</v>
      </c>
      <c r="H9" s="98">
        <v>8.9616862738517433E-3</v>
      </c>
      <c r="I9" s="99">
        <v>-7.5513603553581499E-2</v>
      </c>
      <c r="J9" s="99">
        <v>1.9774084992043583E-2</v>
      </c>
      <c r="K9" s="99">
        <v>-3.289996510301485E-3</v>
      </c>
      <c r="L9" s="100">
        <v>1.474351928904527E-2</v>
      </c>
      <c r="X9" s="1">
        <v>38198</v>
      </c>
      <c r="Y9" s="102"/>
      <c r="Z9" s="102"/>
      <c r="AA9" s="102"/>
      <c r="AB9" s="102"/>
      <c r="AC9" s="102"/>
      <c r="AD9" s="102"/>
      <c r="AE9" s="102"/>
      <c r="AF9" s="102"/>
      <c r="AJ9" s="97">
        <v>-2.074828000888651E-4</v>
      </c>
      <c r="AK9" s="97">
        <v>-3.2649903525320934E-2</v>
      </c>
      <c r="BD9" s="1">
        <v>38198</v>
      </c>
      <c r="BL9" s="31" t="s">
        <v>82</v>
      </c>
      <c r="BM9">
        <f>SKEW(Y39:Y122)</f>
        <v>-0.93869526645706536</v>
      </c>
      <c r="BN9">
        <f>SKEW(Z39:Z122)</f>
        <v>-1.1981585934655319</v>
      </c>
      <c r="BO9" s="18">
        <f>SKEW(AA39:AA122)</f>
        <v>-2.7077106089459186</v>
      </c>
    </row>
    <row r="10" spans="1:67" x14ac:dyDescent="0.2">
      <c r="A10" s="1">
        <v>38230</v>
      </c>
      <c r="B10" s="97">
        <v>1.5418905207830846E-2</v>
      </c>
      <c r="C10" s="97">
        <v>-5.330330330330324E-2</v>
      </c>
      <c r="D10" s="97">
        <v>-2.4231920390882955E-2</v>
      </c>
      <c r="E10" s="97">
        <v>-2.3300046663617957E-3</v>
      </c>
      <c r="F10" s="97">
        <v>2.357337376988311E-2</v>
      </c>
      <c r="H10" s="98">
        <v>1.5418905207830846E-2</v>
      </c>
      <c r="I10" s="99">
        <v>-5.330330330330324E-2</v>
      </c>
      <c r="J10" s="99">
        <v>-2.4231920390882955E-2</v>
      </c>
      <c r="K10" s="99">
        <v>-2.3300046663617957E-3</v>
      </c>
      <c r="L10" s="100">
        <v>2.357337376988311E-2</v>
      </c>
      <c r="X10" s="1">
        <v>38230</v>
      </c>
      <c r="Y10" s="102"/>
      <c r="Z10" s="102"/>
      <c r="AA10" s="102"/>
      <c r="AB10" s="102"/>
      <c r="AC10" s="102"/>
      <c r="AD10" s="102"/>
      <c r="AE10" s="102"/>
      <c r="AF10" s="102"/>
      <c r="AJ10" s="97">
        <v>2.1887266998019905E-2</v>
      </c>
      <c r="AK10" s="97">
        <v>4.395219435098241E-3</v>
      </c>
      <c r="BD10" s="1">
        <v>38230</v>
      </c>
      <c r="BL10" s="31" t="s">
        <v>83</v>
      </c>
      <c r="BM10">
        <f>KURT(Y39:Y122)</f>
        <v>3.4069522402718366</v>
      </c>
      <c r="BN10">
        <f>KURT(Z39:Z122)</f>
        <v>3.8738480290022368</v>
      </c>
      <c r="BO10" s="18">
        <f>KURT(AA39:AA122)</f>
        <v>13.482494694597074</v>
      </c>
    </row>
    <row r="11" spans="1:67" ht="16" thickBot="1" x14ac:dyDescent="0.25">
      <c r="A11" s="1">
        <v>38260</v>
      </c>
      <c r="B11" s="97">
        <v>1.5233914296945983E-3</v>
      </c>
      <c r="C11" s="97">
        <v>2.9183187946074662E-2</v>
      </c>
      <c r="D11" s="97">
        <v>0.12160576765525155</v>
      </c>
      <c r="E11" s="97">
        <v>8.3500020813711551E-3</v>
      </c>
      <c r="F11" s="97">
        <v>2.2524054632169221E-3</v>
      </c>
      <c r="H11" s="98">
        <v>1.5233914296945983E-3</v>
      </c>
      <c r="I11" s="99">
        <v>2.9183187946074662E-2</v>
      </c>
      <c r="J11" s="99">
        <v>0.12160576765525155</v>
      </c>
      <c r="K11" s="99">
        <v>8.3500020813711551E-3</v>
      </c>
      <c r="L11" s="100">
        <v>2.2524054632169221E-3</v>
      </c>
      <c r="P11" s="103">
        <f>H45</f>
        <v>0.42963316947316271</v>
      </c>
      <c r="Q11" s="103">
        <f t="shared" ref="Q11:T11" si="2">I45</f>
        <v>8.284502096763359E-2</v>
      </c>
      <c r="R11" s="103">
        <f t="shared" si="2"/>
        <v>5.6805507336271578E-2</v>
      </c>
      <c r="S11" s="103">
        <f t="shared" si="2"/>
        <v>0.21837231940790192</v>
      </c>
      <c r="T11" s="103">
        <f t="shared" si="2"/>
        <v>0.21234396631117461</v>
      </c>
      <c r="X11" s="1">
        <v>38260</v>
      </c>
      <c r="Y11" s="102"/>
      <c r="Z11" s="102"/>
      <c r="AA11" s="102"/>
      <c r="AB11" s="102"/>
      <c r="AC11" s="102"/>
      <c r="AD11" s="102"/>
      <c r="AE11" s="102"/>
      <c r="AF11" s="102"/>
      <c r="AJ11" s="97">
        <v>1.1817089718343832E-2</v>
      </c>
      <c r="AK11" s="97">
        <v>1.8917543914197976E-2</v>
      </c>
      <c r="BD11" s="1">
        <v>38260</v>
      </c>
      <c r="BL11" s="31" t="s">
        <v>84</v>
      </c>
      <c r="BM11">
        <f>120/6 * (BM9^2 + BM10^2/4)</f>
        <v>75.659593902844449</v>
      </c>
      <c r="BN11">
        <f t="shared" ref="BN11:BO11" si="3">120/6 * (BN9^2 + BN10^2/4)</f>
        <v>103.74517306092861</v>
      </c>
      <c r="BO11" s="18">
        <f t="shared" si="3"/>
        <v>1055.5222507851568</v>
      </c>
    </row>
    <row r="12" spans="1:67" x14ac:dyDescent="0.2">
      <c r="A12" s="1">
        <v>38289</v>
      </c>
      <c r="B12" s="97">
        <v>8.0551512078639309E-3</v>
      </c>
      <c r="C12" s="97">
        <v>5.2396363075974728E-2</v>
      </c>
      <c r="D12" s="97">
        <v>-4.2067679937357161E-2</v>
      </c>
      <c r="E12" s="97">
        <v>8.3800005220826534E-3</v>
      </c>
      <c r="F12" s="97">
        <v>1.4042126379137265E-2</v>
      </c>
      <c r="H12" s="98">
        <v>8.0551512078639309E-3</v>
      </c>
      <c r="I12" s="99">
        <v>5.2396363075974728E-2</v>
      </c>
      <c r="J12" s="99">
        <v>-4.2067679937357161E-2</v>
      </c>
      <c r="K12" s="99">
        <v>8.3800005220826534E-3</v>
      </c>
      <c r="L12" s="100">
        <v>1.4042126379137265E-2</v>
      </c>
      <c r="O12" s="101"/>
      <c r="P12" s="101" t="s">
        <v>0</v>
      </c>
      <c r="Q12" s="101" t="s">
        <v>1</v>
      </c>
      <c r="R12" s="101" t="s">
        <v>158</v>
      </c>
      <c r="S12" s="101" t="s">
        <v>3</v>
      </c>
      <c r="T12" s="101" t="s">
        <v>4</v>
      </c>
      <c r="V12" s="2" t="s">
        <v>249</v>
      </c>
      <c r="X12" s="1">
        <v>38289</v>
      </c>
      <c r="Y12" s="102"/>
      <c r="Z12" s="102"/>
      <c r="AA12" s="102"/>
      <c r="AB12" s="102"/>
      <c r="AC12" s="102"/>
      <c r="AD12" s="102"/>
      <c r="AE12" s="102"/>
      <c r="AF12" s="102"/>
      <c r="AJ12" s="97">
        <v>2.3953957382419455E-2</v>
      </c>
      <c r="AK12" s="97">
        <v>2.4470421531105124E-2</v>
      </c>
      <c r="BD12" s="1">
        <v>38289</v>
      </c>
      <c r="BL12" s="31" t="s">
        <v>86</v>
      </c>
      <c r="BM12">
        <f>_xlfn.CHISQ.DIST.RT(BM11, 2)</f>
        <v>3.7215849131641544E-17</v>
      </c>
      <c r="BN12">
        <f t="shared" ref="BN12:BO12" si="4">_xlfn.CHISQ.DIST.RT(BN11, 2)</f>
        <v>2.9649809527501381E-23</v>
      </c>
      <c r="BO12" s="18">
        <f t="shared" si="4"/>
        <v>6.2554056632474272E-230</v>
      </c>
    </row>
    <row r="13" spans="1:67" x14ac:dyDescent="0.2">
      <c r="A13" s="1">
        <v>38321</v>
      </c>
      <c r="B13" s="97">
        <v>-2.4905286897548562E-3</v>
      </c>
      <c r="C13" s="97">
        <v>4.8616195636256965E-2</v>
      </c>
      <c r="D13" s="97">
        <v>5.0911974623314871E-2</v>
      </c>
      <c r="E13" s="97">
        <v>2.8050001880210784E-2</v>
      </c>
      <c r="F13" s="97">
        <v>-4.573748912340081E-3</v>
      </c>
      <c r="H13" s="98">
        <v>-2.4905286897548562E-3</v>
      </c>
      <c r="I13" s="99">
        <v>4.8616195636256965E-2</v>
      </c>
      <c r="J13" s="99">
        <v>5.0911974623314871E-2</v>
      </c>
      <c r="K13" s="99">
        <v>2.8050001880210784E-2</v>
      </c>
      <c r="L13" s="100">
        <v>-4.573748912340081E-3</v>
      </c>
      <c r="N13" s="103">
        <f>H45</f>
        <v>0.42963316947316271</v>
      </c>
      <c r="O13" t="s">
        <v>0</v>
      </c>
      <c r="P13" s="104">
        <f>P4</f>
        <v>5.139459419073011E-5</v>
      </c>
      <c r="Q13" s="104">
        <f>P14</f>
        <v>1.7880463557475254E-5</v>
      </c>
      <c r="R13" s="104">
        <f>P15</f>
        <v>-2.6231232433984227E-5</v>
      </c>
      <c r="S13" s="104">
        <f>P16</f>
        <v>8.589506075349267E-6</v>
      </c>
      <c r="T13" s="104">
        <f>P17</f>
        <v>8.2513660194850246E-5</v>
      </c>
      <c r="V13" s="97">
        <f>SQRT(P13)</f>
        <v>7.1690023148782778E-3</v>
      </c>
      <c r="X13" s="1">
        <v>38321</v>
      </c>
      <c r="Y13" s="102"/>
      <c r="Z13" s="102"/>
      <c r="AA13" s="102"/>
      <c r="AB13" s="102"/>
      <c r="AC13" s="102"/>
      <c r="AD13" s="102"/>
      <c r="AE13" s="102"/>
      <c r="AF13" s="102"/>
      <c r="AJ13" s="97">
        <v>2.6496978688449468E-2</v>
      </c>
      <c r="AK13" s="97">
        <v>5.2531244752250128E-2</v>
      </c>
      <c r="BD13" s="1">
        <v>38321</v>
      </c>
      <c r="BL13" s="31" t="s">
        <v>87</v>
      </c>
      <c r="BM13" t="str">
        <f>IF(BM12&lt;0.05, "REJECT", "PASS")</f>
        <v>REJECT</v>
      </c>
      <c r="BN13" t="str">
        <f t="shared" ref="BN13:BO13" si="5">IF(BN12&lt;0.05, "REJECT", "PASS")</f>
        <v>REJECT</v>
      </c>
      <c r="BO13" s="18" t="str">
        <f t="shared" si="5"/>
        <v>REJECT</v>
      </c>
    </row>
    <row r="14" spans="1:67" x14ac:dyDescent="0.2">
      <c r="A14" s="1">
        <v>38352</v>
      </c>
      <c r="B14" s="97">
        <v>7.0429407937542265E-3</v>
      </c>
      <c r="C14" s="97">
        <v>2.8487641390867235E-2</v>
      </c>
      <c r="D14" s="97">
        <v>5.0918293900485301E-2</v>
      </c>
      <c r="E14" s="97">
        <v>6.0599974547017599E-3</v>
      </c>
      <c r="F14" s="97">
        <v>1.2207877592492977E-2</v>
      </c>
      <c r="H14" s="98">
        <v>7.0429407937542265E-3</v>
      </c>
      <c r="I14" s="99">
        <v>2.8487641390867235E-2</v>
      </c>
      <c r="J14" s="99">
        <v>5.0918293900485301E-2</v>
      </c>
      <c r="K14" s="99">
        <v>6.0599974547017599E-3</v>
      </c>
      <c r="L14" s="100">
        <v>1.2207877592492977E-2</v>
      </c>
      <c r="N14" s="103">
        <f>I45</f>
        <v>8.284502096763359E-2</v>
      </c>
      <c r="O14" t="s">
        <v>1</v>
      </c>
      <c r="P14" s="104">
        <f>P5</f>
        <v>1.7880463557475254E-5</v>
      </c>
      <c r="Q14" s="104">
        <f>Q5</f>
        <v>1.7517492863258258E-3</v>
      </c>
      <c r="R14" s="104">
        <f>Q15</f>
        <v>3.9159355541061006E-4</v>
      </c>
      <c r="S14" s="104">
        <f>Q16</f>
        <v>1.9418716377617249E-4</v>
      </c>
      <c r="T14" s="104">
        <f>Q17</f>
        <v>-1.1292375010316274E-5</v>
      </c>
      <c r="V14" s="97">
        <f>SQRT(Q14)</f>
        <v>4.1853904075077941E-2</v>
      </c>
      <c r="X14" s="1">
        <v>38352</v>
      </c>
      <c r="Y14" s="102"/>
      <c r="Z14" s="102"/>
      <c r="AA14" s="102"/>
      <c r="AB14" s="102"/>
      <c r="AC14" s="102"/>
      <c r="AD14" s="102"/>
      <c r="AE14" s="102"/>
      <c r="AF14" s="102"/>
      <c r="AJ14" s="97">
        <v>1.5321933507419283E-2</v>
      </c>
      <c r="AK14" s="97">
        <v>3.8173111154495398E-2</v>
      </c>
      <c r="BD14" s="1">
        <v>38352</v>
      </c>
      <c r="BL14" s="31" t="s">
        <v>88</v>
      </c>
      <c r="BM14" s="39">
        <f>_xlfn.PERCENTILE.INC(Y39:Y122, 0.05)</f>
        <v>-1.4950740158372331E-2</v>
      </c>
      <c r="BN14" s="32">
        <f>_xlfn.PERCENTILE.INC(Z39:Z122, 0.05)</f>
        <v>-1.1926139854357747E-2</v>
      </c>
      <c r="BO14" s="22">
        <f>_xlfn.PERCENTILE.INC(AA39:AA122, 0.05)</f>
        <v>-1.2278538573155098E-2</v>
      </c>
    </row>
    <row r="15" spans="1:67" x14ac:dyDescent="0.2">
      <c r="A15" s="1">
        <v>38383</v>
      </c>
      <c r="B15" s="97">
        <v>5.3219840744269664E-3</v>
      </c>
      <c r="C15" s="97">
        <v>-5.2410047522063796E-2</v>
      </c>
      <c r="D15" s="97">
        <v>-2.6241659670363737E-2</v>
      </c>
      <c r="E15" s="97">
        <v>-5.7600019640531297E-3</v>
      </c>
      <c r="F15" s="97">
        <v>2.3324131618960298E-3</v>
      </c>
      <c r="H15" s="98">
        <v>5.3219840744269664E-3</v>
      </c>
      <c r="I15" s="99">
        <v>-5.2410047522063796E-2</v>
      </c>
      <c r="J15" s="99">
        <v>-2.6241659670363737E-2</v>
      </c>
      <c r="K15" s="99">
        <v>-5.7600019640531297E-3</v>
      </c>
      <c r="L15" s="100">
        <v>2.3324131618960298E-3</v>
      </c>
      <c r="N15" s="103">
        <f>J45</f>
        <v>5.6805507336271578E-2</v>
      </c>
      <c r="O15" t="s">
        <v>158</v>
      </c>
      <c r="P15" s="104">
        <f>P6</f>
        <v>-2.6231232433984227E-5</v>
      </c>
      <c r="Q15" s="104">
        <f>Q6</f>
        <v>3.9159355541061006E-4</v>
      </c>
      <c r="R15" s="104">
        <f>R6</f>
        <v>3.4160014399037238E-3</v>
      </c>
      <c r="S15" s="104">
        <f>R16</f>
        <v>3.9742132054471264E-4</v>
      </c>
      <c r="T15" s="104">
        <f>R17</f>
        <v>5.4788820806649053E-5</v>
      </c>
      <c r="V15" s="97">
        <f>SQRT(R15)</f>
        <v>5.8446569102931299E-2</v>
      </c>
      <c r="X15" s="1">
        <v>38383</v>
      </c>
      <c r="Y15" s="102"/>
      <c r="Z15" s="102"/>
      <c r="AA15" s="102"/>
      <c r="AB15" s="102"/>
      <c r="AC15" s="102"/>
      <c r="AD15" s="102"/>
      <c r="AE15" s="102"/>
      <c r="AF15" s="102"/>
      <c r="AJ15" s="97">
        <v>-1.0524263850465232E-2</v>
      </c>
      <c r="AK15" s="97">
        <v>-2.2514368519943706E-2</v>
      </c>
      <c r="BD15" s="1">
        <v>38383</v>
      </c>
      <c r="BL15" s="31" t="s">
        <v>162</v>
      </c>
      <c r="BM15" s="150">
        <f>_xlfn.PERCENTILE.INC(Y39:Y122, 0.01)</f>
        <v>-2.9597680555250479E-2</v>
      </c>
      <c r="BN15" s="36">
        <f>_xlfn.PERCENTILE.INC(Z39:Z122, 0.01)</f>
        <v>-3.1425139811926288E-2</v>
      </c>
      <c r="BO15" s="37">
        <f>_xlfn.PERCENTILE.INC(AA39:AA122, 0.01)</f>
        <v>-4.7563073774698816E-2</v>
      </c>
    </row>
    <row r="16" spans="1:67" x14ac:dyDescent="0.2">
      <c r="A16" s="1">
        <v>38411</v>
      </c>
      <c r="B16" s="97">
        <v>-4.6350965979836678E-3</v>
      </c>
      <c r="C16" s="97">
        <v>4.298610116060253E-4</v>
      </c>
      <c r="D16" s="97">
        <v>5.9643669489554574E-2</v>
      </c>
      <c r="E16" s="97">
        <v>1.8060007063214423E-2</v>
      </c>
      <c r="F16" s="97">
        <v>-5.8469196895389874E-3</v>
      </c>
      <c r="H16" s="98">
        <v>-4.6350965979836678E-3</v>
      </c>
      <c r="I16" s="99">
        <v>4.298610116060253E-4</v>
      </c>
      <c r="J16" s="99">
        <v>5.9643669489554574E-2</v>
      </c>
      <c r="K16" s="99">
        <v>1.8060007063214423E-2</v>
      </c>
      <c r="L16" s="100">
        <v>-5.8469196895389874E-3</v>
      </c>
      <c r="N16" s="103">
        <f>K45</f>
        <v>0.21837231940790192</v>
      </c>
      <c r="O16" t="s">
        <v>3</v>
      </c>
      <c r="P16" s="104">
        <f>P7</f>
        <v>8.589506075349267E-6</v>
      </c>
      <c r="Q16" s="104">
        <f>Q7</f>
        <v>1.9418716377617249E-4</v>
      </c>
      <c r="R16" s="104">
        <f>R7</f>
        <v>3.9742132054471264E-4</v>
      </c>
      <c r="S16" s="104">
        <f>S7</f>
        <v>1.5534454448247784E-4</v>
      </c>
      <c r="T16" s="104">
        <f>S17</f>
        <v>2.5011771726195434E-5</v>
      </c>
      <c r="V16" s="97">
        <f>SQRT(S16)</f>
        <v>1.2463729156335108E-2</v>
      </c>
      <c r="X16" s="1">
        <v>38411</v>
      </c>
      <c r="Y16" s="102"/>
      <c r="Z16" s="102"/>
      <c r="AA16" s="102"/>
      <c r="AB16" s="102"/>
      <c r="AC16" s="102"/>
      <c r="AD16" s="102"/>
      <c r="AE16" s="102"/>
      <c r="AF16" s="102"/>
      <c r="AJ16" s="97">
        <v>1.9035658999762006E-3</v>
      </c>
      <c r="AK16" s="97">
        <v>3.167802302041145E-2</v>
      </c>
      <c r="BD16" s="1">
        <v>38411</v>
      </c>
      <c r="BL16" s="31" t="s">
        <v>89</v>
      </c>
      <c r="BM16" s="39">
        <f>AVERAGEIF(Y39:Y122, "&lt;="&amp;BM14)</f>
        <v>-2.5930408789162186E-2</v>
      </c>
      <c r="BN16" s="32">
        <f>AVERAGEIF(Z39:Z122, "&lt;="&amp;BN14)</f>
        <v>-2.4705685678924248E-2</v>
      </c>
      <c r="BO16" s="22">
        <f>AVERAGEIF(AA39:AA122, "&lt;="&amp;BO14)</f>
        <v>-3.0870594843422507E-2</v>
      </c>
    </row>
    <row r="17" spans="1:67" ht="16" thickBot="1" x14ac:dyDescent="0.25">
      <c r="A17" s="1">
        <v>38442</v>
      </c>
      <c r="B17" s="97">
        <v>-1.8562159021209279E-3</v>
      </c>
      <c r="C17" s="97">
        <v>-2.2916069894013069E-2</v>
      </c>
      <c r="D17" s="97">
        <v>1.204954713829931E-2</v>
      </c>
      <c r="E17" s="97">
        <v>-6.0100030506643476E-3</v>
      </c>
      <c r="F17" s="97">
        <v>-2.8739889188467149E-3</v>
      </c>
      <c r="H17" s="98">
        <v>-1.8562159021209279E-3</v>
      </c>
      <c r="I17" s="99">
        <v>-2.2916069894013069E-2</v>
      </c>
      <c r="J17" s="99">
        <v>1.204954713829931E-2</v>
      </c>
      <c r="K17" s="99">
        <v>-6.0100030506643476E-3</v>
      </c>
      <c r="L17" s="100">
        <v>-2.8739889188467149E-3</v>
      </c>
      <c r="N17" s="103">
        <f>L45</f>
        <v>0.21234396631117461</v>
      </c>
      <c r="O17" s="4" t="s">
        <v>4</v>
      </c>
      <c r="P17" s="105">
        <f>P8</f>
        <v>8.2513660194850246E-5</v>
      </c>
      <c r="Q17" s="105">
        <f>Q8</f>
        <v>-1.1292375010316274E-5</v>
      </c>
      <c r="R17" s="105">
        <f>R8</f>
        <v>5.4788820806649053E-5</v>
      </c>
      <c r="S17" s="105">
        <f>S8</f>
        <v>2.5011771726195434E-5</v>
      </c>
      <c r="T17" s="105">
        <f>T8</f>
        <v>1.9220897694100116E-4</v>
      </c>
      <c r="V17" s="97">
        <f>SQRT(T17)</f>
        <v>1.3863945215594338E-2</v>
      </c>
      <c r="X17" s="1">
        <v>38442</v>
      </c>
      <c r="Y17" s="102"/>
      <c r="Z17" s="102"/>
      <c r="AA17" s="102"/>
      <c r="AB17" s="102"/>
      <c r="AC17" s="102"/>
      <c r="AD17" s="102"/>
      <c r="AE17" s="102"/>
      <c r="AF17" s="102"/>
      <c r="AJ17" s="97">
        <v>-1.2098136671757076E-2</v>
      </c>
      <c r="AK17" s="97">
        <v>-1.941144346706003E-2</v>
      </c>
      <c r="BD17" s="1">
        <v>38442</v>
      </c>
      <c r="BL17" s="31" t="s">
        <v>163</v>
      </c>
      <c r="BM17" s="151">
        <f>AVERAGEIF(Y39:Y122, "&lt;="&amp;BM15)</f>
        <v>-4.8357923528342443E-2</v>
      </c>
      <c r="BN17" s="34">
        <f>AVERAGEIF(Z39:Z122, "&lt;="&amp;BN15)</f>
        <v>-4.4982355187533754E-2</v>
      </c>
      <c r="BO17" s="35">
        <f>AVERAGEIF(AA39:AA122, "&lt;="&amp;BO15)</f>
        <v>-7.0885408327335822E-2</v>
      </c>
    </row>
    <row r="18" spans="1:67" x14ac:dyDescent="0.2">
      <c r="A18" s="1">
        <v>38471</v>
      </c>
      <c r="B18" s="97">
        <v>1.1069066446740772E-2</v>
      </c>
      <c r="C18" s="97">
        <v>-3.9577836411609502E-2</v>
      </c>
      <c r="D18" s="97">
        <v>-4.4170461697952579E-2</v>
      </c>
      <c r="E18" s="97">
        <v>-1.0610002179281874E-2</v>
      </c>
      <c r="F18" s="97">
        <v>2.1743329173352199E-2</v>
      </c>
      <c r="H18" s="98">
        <v>1.1069066446740772E-2</v>
      </c>
      <c r="I18" s="99">
        <v>-3.9577836411609502E-2</v>
      </c>
      <c r="J18" s="99">
        <v>-4.4170461697952579E-2</v>
      </c>
      <c r="K18" s="99">
        <v>-1.0610002179281874E-2</v>
      </c>
      <c r="L18" s="100">
        <v>2.1743329173352199E-2</v>
      </c>
      <c r="U18" s="94" t="s">
        <v>250</v>
      </c>
      <c r="V18" s="106" cm="1">
        <f t="array" ref="V18">SQRT(MMULT(MMULT(P11:T11,P13:T17),N13:N17))</f>
        <v>9.4383407762993806E-3</v>
      </c>
      <c r="X18" s="1">
        <v>38471</v>
      </c>
      <c r="Y18" s="102"/>
      <c r="Z18" s="102"/>
      <c r="AA18" s="102"/>
      <c r="AB18" s="102"/>
      <c r="AC18" s="102"/>
      <c r="AD18" s="102"/>
      <c r="AE18" s="102"/>
      <c r="AF18" s="102"/>
      <c r="AJ18" s="97">
        <v>1.3086725952309086E-2</v>
      </c>
      <c r="AK18" s="97">
        <v>-2.1789260219858386E-2</v>
      </c>
      <c r="BD18" s="1">
        <v>38471</v>
      </c>
      <c r="BL18" s="31" t="s">
        <v>90</v>
      </c>
      <c r="BM18">
        <f>(BM3 - AVERAGE(Factors!$AB$40:$AB$124)) / BM5</f>
        <v>0.2449854000892317</v>
      </c>
      <c r="BN18">
        <f>(BN3 - AVERAGE(Factors!$AB$40:$AB$124)) / BN5</f>
        <v>0.24398336511646843</v>
      </c>
      <c r="BO18" s="18">
        <f>(BO3 - AVERAGE(Factors!$AB$40:$AB$124)) / BO5</f>
        <v>0.15968370846598159</v>
      </c>
    </row>
    <row r="19" spans="1:67" x14ac:dyDescent="0.2">
      <c r="A19" s="1">
        <v>38503</v>
      </c>
      <c r="B19" s="97">
        <v>7.8770382336241784E-3</v>
      </c>
      <c r="C19" s="97">
        <v>7.7838827838828006E-2</v>
      </c>
      <c r="D19" s="97">
        <v>-1.1698171676479574E-2</v>
      </c>
      <c r="E19" s="97">
        <v>3.4500029695099244E-3</v>
      </c>
      <c r="F19" s="97">
        <v>5.6782242644120018E-3</v>
      </c>
      <c r="H19" s="98">
        <v>7.8770382336241784E-3</v>
      </c>
      <c r="I19" s="99">
        <v>7.7838827838828006E-2</v>
      </c>
      <c r="J19" s="99">
        <v>-1.1698171676479574E-2</v>
      </c>
      <c r="K19" s="99">
        <v>3.4500029695099244E-3</v>
      </c>
      <c r="L19" s="100">
        <v>5.6782242644120018E-3</v>
      </c>
      <c r="U19" s="94" t="s">
        <v>251</v>
      </c>
      <c r="V19" s="106" cm="1">
        <f t="array" ref="V19">SQRT(MMULT(MMULT(H46:L46,P13:T17),TRANSPOSE(H46:L46)))</f>
        <v>1.007346110282052E-2</v>
      </c>
      <c r="X19" s="1">
        <v>38503</v>
      </c>
      <c r="Y19" s="102"/>
      <c r="Z19" s="102"/>
      <c r="AA19" s="102"/>
      <c r="AB19" s="102"/>
      <c r="AC19" s="102"/>
      <c r="AD19" s="102"/>
      <c r="AE19" s="102"/>
      <c r="AF19" s="102"/>
      <c r="AJ19" s="97">
        <v>-1.3397377359409934E-2</v>
      </c>
      <c r="AK19" s="97">
        <v>1.7767001235027724E-2</v>
      </c>
      <c r="BD19" s="1">
        <v>38503</v>
      </c>
      <c r="BL19" s="31" t="s">
        <v>91</v>
      </c>
      <c r="BM19">
        <f>BM18 *SQRT(12)</f>
        <v>0.84865432013427644</v>
      </c>
      <c r="BN19">
        <f t="shared" ref="BN19:BO19" si="6">BN18 *SQRT(12)</f>
        <v>0.84518316916670266</v>
      </c>
      <c r="BO19" s="18">
        <f t="shared" si="6"/>
        <v>0.55316059240819315</v>
      </c>
    </row>
    <row r="20" spans="1:67" x14ac:dyDescent="0.2">
      <c r="A20" s="1">
        <v>38533</v>
      </c>
      <c r="B20" s="97">
        <v>3.6260632220390665E-3</v>
      </c>
      <c r="C20" s="97">
        <v>-1.7417162276975429E-2</v>
      </c>
      <c r="D20" s="97">
        <v>-4.1377842976965118E-3</v>
      </c>
      <c r="E20" s="97">
        <v>1.0550001702261502E-2</v>
      </c>
      <c r="F20" s="97">
        <v>3.1158728781699452E-3</v>
      </c>
      <c r="H20" s="98">
        <v>3.6260632220390665E-3</v>
      </c>
      <c r="I20" s="99">
        <v>-1.7417162276975429E-2</v>
      </c>
      <c r="J20" s="99">
        <v>-4.1377842976965118E-3</v>
      </c>
      <c r="K20" s="99">
        <v>1.0550001702261502E-2</v>
      </c>
      <c r="L20" s="100">
        <v>3.1158728781699452E-3</v>
      </c>
      <c r="O20" t="s">
        <v>252</v>
      </c>
      <c r="X20" s="1">
        <v>38533</v>
      </c>
      <c r="Y20" s="102"/>
      <c r="Z20" s="102"/>
      <c r="AA20" s="102"/>
      <c r="AB20" s="102"/>
      <c r="AC20" s="102"/>
      <c r="AD20" s="102"/>
      <c r="AE20" s="102"/>
      <c r="AF20" s="102"/>
      <c r="AJ20" s="97">
        <v>-4.4845892626027561E-3</v>
      </c>
      <c r="AK20" s="97">
        <v>8.6531828857665527E-3</v>
      </c>
      <c r="BD20" s="1">
        <v>38533</v>
      </c>
      <c r="BL20" s="33" t="s">
        <v>92</v>
      </c>
      <c r="BM20" s="154">
        <f>MIN(BF39:BF122)</f>
        <v>-8.0552644608989254E-2</v>
      </c>
      <c r="BN20" s="20">
        <f>MIN(BH39:BH122)</f>
        <v>-8.0598590557834915E-2</v>
      </c>
      <c r="BO20" s="21">
        <f>MIN(BJ39:BJ122)</f>
        <v>-0.12385349016385516</v>
      </c>
    </row>
    <row r="21" spans="1:67" x14ac:dyDescent="0.2">
      <c r="A21" s="1">
        <v>38562</v>
      </c>
      <c r="B21" s="97">
        <v>-5.0122935591238038E-3</v>
      </c>
      <c r="C21" s="97">
        <v>5.8509871739443664E-2</v>
      </c>
      <c r="D21" s="97">
        <v>6.2487700931636914E-2</v>
      </c>
      <c r="E21" s="97">
        <v>7.4099945559380487E-3</v>
      </c>
      <c r="F21" s="97">
        <v>-1.6957947461352818E-2</v>
      </c>
      <c r="H21" s="98">
        <v>-5.0122935591238038E-3</v>
      </c>
      <c r="I21" s="99">
        <v>5.8509871739443664E-2</v>
      </c>
      <c r="J21" s="99">
        <v>6.2487700931636914E-2</v>
      </c>
      <c r="K21" s="99">
        <v>7.4099945559380487E-3</v>
      </c>
      <c r="L21" s="100">
        <v>-1.6957947461352818E-2</v>
      </c>
      <c r="X21" s="1">
        <v>38562</v>
      </c>
      <c r="Y21" s="102"/>
      <c r="Z21" s="102"/>
      <c r="AA21" s="102"/>
      <c r="AB21" s="102"/>
      <c r="AC21" s="102"/>
      <c r="AD21" s="102"/>
      <c r="AE21" s="102"/>
      <c r="AF21" s="102"/>
      <c r="AJ21" s="97">
        <v>-8.006846642818255E-3</v>
      </c>
      <c r="AK21" s="97">
        <v>3.4931641732260044E-2</v>
      </c>
      <c r="BD21" s="1">
        <v>38562</v>
      </c>
      <c r="BL21" s="31" t="s">
        <v>327</v>
      </c>
      <c r="BM21" s="145" cm="1">
        <f t="array" ref="BM21">STDEV(Y39:Y122-Project_Page_3!G40:G123)*SQRT(12)</f>
        <v>5.8023639875666853E-2</v>
      </c>
      <c r="BN21" s="145" cm="1">
        <f t="array" ref="BN21">STDEV(Z39:Z122-Project_Page_3!G40:G123)*SQRT(12)</f>
        <v>6.3100189718892682E-2</v>
      </c>
      <c r="BO21" s="145" cm="1">
        <f t="array" ref="BO21">STDEV(AA39:AA122-Project_Page_3!G40:G123)*SQRT(12)</f>
        <v>6.6137114406617806E-2</v>
      </c>
    </row>
    <row r="22" spans="1:67" x14ac:dyDescent="0.2">
      <c r="A22" s="1">
        <v>38595</v>
      </c>
      <c r="B22" s="97">
        <v>8.8594016924239405E-3</v>
      </c>
      <c r="C22" s="97">
        <v>-2.3144996596323741E-3</v>
      </c>
      <c r="D22" s="97">
        <v>2.1669762347001909E-2</v>
      </c>
      <c r="E22" s="97">
        <v>7.2499982455480616E-3</v>
      </c>
      <c r="F22" s="97">
        <v>2.2609639154851147E-2</v>
      </c>
      <c r="H22" s="98">
        <v>8.8594016924239405E-3</v>
      </c>
      <c r="I22" s="99">
        <v>-2.3144996596323741E-3</v>
      </c>
      <c r="J22" s="99">
        <v>2.1669762347001909E-2</v>
      </c>
      <c r="K22" s="99">
        <v>7.2499982455480616E-3</v>
      </c>
      <c r="L22" s="100">
        <v>2.2609639154851147E-2</v>
      </c>
      <c r="O22" s="94" t="s">
        <v>253</v>
      </c>
      <c r="P22" s="107">
        <f>1/(1/SQRT(P13)+1/SQRT(Q14)+1/SQRT(R15)+1/SQRT(S16)+1/SQRT(T17))</f>
        <v>3.0043197523534223E-3</v>
      </c>
      <c r="X22" s="1">
        <v>38595</v>
      </c>
      <c r="Y22" s="102"/>
      <c r="Z22" s="102"/>
      <c r="AA22" s="102"/>
      <c r="AB22" s="102"/>
      <c r="AC22" s="102"/>
      <c r="AD22" s="102"/>
      <c r="AE22" s="102"/>
      <c r="AF22" s="102"/>
      <c r="AJ22" s="97">
        <v>1.6459134151590282E-2</v>
      </c>
      <c r="AK22" s="97">
        <v>7.5351762647715148E-3</v>
      </c>
      <c r="BD22" s="1">
        <v>38595</v>
      </c>
      <c r="BL22" t="s">
        <v>317</v>
      </c>
      <c r="BM22" s="156" cm="1">
        <f t="array" ref="BM22">SQRT(SUMPRODUCT((Y39:Y122&lt;0)*Y39:Y122^2)/60)*SQRT(12)</f>
        <v>3.1193342686401268E-2</v>
      </c>
      <c r="BN22" s="156" cm="1">
        <f t="array" ref="BN22">SQRT(SUMPRODUCT((Z39:Z122&lt;0)*Z39:Z122^2)/60)*SQRT(12)</f>
        <v>2.9182001851358851E-2</v>
      </c>
      <c r="BO22" s="156" cm="1">
        <f t="array" ref="BO22">SQRT(SUMPRODUCT((AA39:AA122&lt;0)*AA39:AA122^2)/60)*SQRT(12)</f>
        <v>3.9879455219298053E-2</v>
      </c>
    </row>
    <row r="23" spans="1:67" x14ac:dyDescent="0.2">
      <c r="A23" s="1">
        <v>38625</v>
      </c>
      <c r="B23" s="97">
        <v>-5.2610852957392096E-3</v>
      </c>
      <c r="C23" s="97">
        <v>2.8657205240174566E-3</v>
      </c>
      <c r="D23" s="97">
        <v>1.8200841154411895E-2</v>
      </c>
      <c r="E23" s="97">
        <v>2.1080005550678793E-2</v>
      </c>
      <c r="F23" s="97">
        <v>-3.3695137863297697E-3</v>
      </c>
      <c r="H23" s="98">
        <v>-5.2610852957392096E-3</v>
      </c>
      <c r="I23" s="99">
        <v>2.8657205240174566E-3</v>
      </c>
      <c r="J23" s="99">
        <v>1.8200841154411895E-2</v>
      </c>
      <c r="K23" s="99">
        <v>2.1080005550678793E-2</v>
      </c>
      <c r="L23" s="100">
        <v>-3.3695137863297697E-3</v>
      </c>
      <c r="X23" s="1">
        <v>38625</v>
      </c>
      <c r="Y23" s="102"/>
      <c r="Z23" s="102"/>
      <c r="AA23" s="102"/>
      <c r="AB23" s="102"/>
      <c r="AC23" s="102"/>
      <c r="AD23" s="102"/>
      <c r="AE23" s="102"/>
      <c r="AF23" s="102"/>
      <c r="AJ23" s="97">
        <v>-1.592027546558461E-2</v>
      </c>
      <c r="AK23" s="97">
        <v>2.5973664260334095E-2</v>
      </c>
      <c r="BD23" s="1">
        <v>38625</v>
      </c>
      <c r="BL23" t="s">
        <v>318</v>
      </c>
      <c r="BM23" s="157">
        <f>BM4/BM22</f>
        <v>1.4700057903813268</v>
      </c>
      <c r="BN23" s="157">
        <f>BN4/BN22</f>
        <v>1.4554672601492102</v>
      </c>
      <c r="BO23" s="157">
        <f>BO4/BO22</f>
        <v>0.86655898685291688</v>
      </c>
    </row>
    <row r="24" spans="1:67" x14ac:dyDescent="0.2">
      <c r="A24" s="1">
        <v>38656</v>
      </c>
      <c r="B24" s="97">
        <v>-6.967427277477789E-3</v>
      </c>
      <c r="C24" s="97">
        <v>-2.1907742550006826E-2</v>
      </c>
      <c r="D24" s="97">
        <v>4.7735804905840951E-2</v>
      </c>
      <c r="E24" s="97">
        <v>-6.3400048991615332E-3</v>
      </c>
      <c r="F24" s="97">
        <v>-1.2013005697185886E-2</v>
      </c>
      <c r="H24" s="98">
        <v>-6.967427277477789E-3</v>
      </c>
      <c r="I24" s="99">
        <v>-2.1907742550006826E-2</v>
      </c>
      <c r="J24" s="99">
        <v>4.7735804905840951E-2</v>
      </c>
      <c r="K24" s="99">
        <v>-6.3400048991615332E-3</v>
      </c>
      <c r="L24" s="100">
        <v>-1.2013005697185886E-2</v>
      </c>
      <c r="O24" s="108" t="s">
        <v>254</v>
      </c>
      <c r="P24" s="109">
        <f>SUM(V25:V29)</f>
        <v>5.7506199077628217E-7</v>
      </c>
      <c r="V24" s="2" t="s">
        <v>255</v>
      </c>
      <c r="X24" s="1">
        <v>38656</v>
      </c>
      <c r="Y24" s="102"/>
      <c r="Z24" s="102"/>
      <c r="AA24" s="102"/>
      <c r="AB24" s="102"/>
      <c r="AC24" s="102"/>
      <c r="AD24" s="102"/>
      <c r="AE24" s="102"/>
      <c r="AF24" s="102"/>
      <c r="AJ24" s="97">
        <v>-1.4886017188058376E-2</v>
      </c>
      <c r="AK24" s="97">
        <v>-2.4261103619902302E-2</v>
      </c>
      <c r="BD24" s="1">
        <v>38656</v>
      </c>
      <c r="BL24" t="s">
        <v>319</v>
      </c>
      <c r="BM24" cm="1">
        <f t="array" ref="BM24">SUMPRODUCT((Y39:Y122&gt;(1.0602^(1/12)-1))*((Y39:Y122-(1.0602^(1/12)-1))))/SUMPRODUCT((Y39:Y122&lt;(1.0602^(1/12)-1))*((1.0602^(1/12)-1)-Y39:Y122))</f>
        <v>0.80251971836218639</v>
      </c>
      <c r="BN24" cm="1">
        <f t="array" ref="BN24">SUMPRODUCT((Z39:Z122&gt;(1.0602^(1/12)-1))*((Z39:Z122-(1.0602^(1/12)-1))))/SUMPRODUCT((Z39:Z122&lt;(1.0602^(1/12)-1))*((1.0602^(1/12)-1)-Z39:Z122))</f>
        <v>0.73032821015652361</v>
      </c>
      <c r="BO24" cm="1">
        <f t="array" ref="BO24">SUMPRODUCT((AA39:AA122&gt;(1.0602^(1/12)-1))*((AA39:AA122-(1.0602^(1/12)-1))))/SUMPRODUCT((AA39:AA122&lt;(1.0602^(1/12)-1))*((1.0602^(1/12)-1)-AA39:AA122))</f>
        <v>0.62923254639270532</v>
      </c>
    </row>
    <row r="25" spans="1:67" x14ac:dyDescent="0.2">
      <c r="A25" s="1">
        <v>38686</v>
      </c>
      <c r="B25" s="97">
        <v>3.2530178118670428E-3</v>
      </c>
      <c r="C25" s="97">
        <v>6.3995548135781899E-2</v>
      </c>
      <c r="D25" s="97">
        <v>9.2947379664604757E-2</v>
      </c>
      <c r="E25" s="97">
        <v>1.4620007114644507E-2</v>
      </c>
      <c r="F25" s="97">
        <v>1.4634572539424795E-3</v>
      </c>
      <c r="H25" s="98">
        <v>3.2530178118670428E-3</v>
      </c>
      <c r="I25" s="99">
        <v>6.3995548135781899E-2</v>
      </c>
      <c r="J25" s="99">
        <v>9.2947379664604757E-2</v>
      </c>
      <c r="K25" s="99">
        <v>1.4620007114644507E-2</v>
      </c>
      <c r="L25" s="100">
        <v>1.4634572539424795E-3</v>
      </c>
      <c r="O25" t="s">
        <v>0</v>
      </c>
      <c r="P25" s="110">
        <f t="shared" ref="P25:T29" si="7">P$11*P13*$N13</f>
        <v>9.4866537105461526E-6</v>
      </c>
      <c r="Q25" s="111">
        <f t="shared" si="7"/>
        <v>6.3641878391591886E-7</v>
      </c>
      <c r="R25" s="111">
        <f t="shared" si="7"/>
        <v>-6.4018713431241513E-7</v>
      </c>
      <c r="S25" s="111">
        <f t="shared" si="7"/>
        <v>8.0586738880307305E-7</v>
      </c>
      <c r="T25" s="112">
        <f t="shared" si="7"/>
        <v>7.5277221490737932E-6</v>
      </c>
      <c r="U25" s="113">
        <f>SUM(P25:T25)/SUM($P$25:$T$29)</f>
        <v>0.20000021975320065</v>
      </c>
      <c r="V25" s="114">
        <f>ABS(U25-20%)</f>
        <v>2.1975320063649662E-7</v>
      </c>
      <c r="X25" s="1">
        <v>38686</v>
      </c>
      <c r="Y25" s="102"/>
      <c r="Z25" s="102"/>
      <c r="AA25" s="102"/>
      <c r="AB25" s="102"/>
      <c r="AC25" s="102"/>
      <c r="AD25" s="102"/>
      <c r="AE25" s="102"/>
      <c r="AF25" s="102"/>
      <c r="AJ25" s="97">
        <v>-7.0979041242693608E-3</v>
      </c>
      <c r="AK25" s="97">
        <v>3.3319511341782349E-2</v>
      </c>
      <c r="BD25" s="1">
        <v>38686</v>
      </c>
      <c r="BL25" t="s">
        <v>320</v>
      </c>
      <c r="BM25" cm="1">
        <f t="array" ref="BM25">SQRT(SUMPRODUCT(BF39:BF122^2)/60)</f>
        <v>2.4245594677140925E-2</v>
      </c>
      <c r="BN25" cm="1">
        <f t="array" ref="BN25">SQRT(SUMPRODUCT(BH39:BH122^2)/60)</f>
        <v>2.2687264011330428E-2</v>
      </c>
      <c r="BO25" cm="1">
        <f t="array" ref="BO25">SQRT(SUMPRODUCT(BJ39:BJ122^2)/60)</f>
        <v>3.7854275945062361E-2</v>
      </c>
    </row>
    <row r="26" spans="1:67" x14ac:dyDescent="0.2">
      <c r="A26" s="1">
        <v>38716</v>
      </c>
      <c r="B26" s="97">
        <v>9.7830406103471823E-3</v>
      </c>
      <c r="C26" s="97">
        <v>-2.9288702928870425E-2</v>
      </c>
      <c r="D26" s="97">
        <v>7.3452978543822933E-2</v>
      </c>
      <c r="E26" s="97">
        <v>1.2749997693833448E-2</v>
      </c>
      <c r="F26" s="97">
        <v>7.7500781551034237E-3</v>
      </c>
      <c r="H26" s="98">
        <v>9.7830406103471823E-3</v>
      </c>
      <c r="I26" s="99">
        <v>-2.9288702928870425E-2</v>
      </c>
      <c r="J26" s="99">
        <v>7.3452978543822933E-2</v>
      </c>
      <c r="K26" s="99">
        <v>1.2749997693833448E-2</v>
      </c>
      <c r="L26" s="100">
        <v>7.7500781551034237E-3</v>
      </c>
      <c r="O26" t="s">
        <v>1</v>
      </c>
      <c r="P26" s="115">
        <f t="shared" si="7"/>
        <v>6.3641878391591886E-7</v>
      </c>
      <c r="Q26" s="76">
        <f t="shared" si="7"/>
        <v>1.2022776495938684E-5</v>
      </c>
      <c r="R26" s="76">
        <f t="shared" si="7"/>
        <v>1.84286020100874E-6</v>
      </c>
      <c r="S26" s="76">
        <f t="shared" si="7"/>
        <v>3.5130515107276322E-6</v>
      </c>
      <c r="T26" s="116">
        <f t="shared" si="7"/>
        <v>-1.9865139978169406E-7</v>
      </c>
      <c r="U26" s="113">
        <f>SUM(P26:T26)/SUM($P$25:$T$29)</f>
        <v>0.20000000302976276</v>
      </c>
      <c r="V26" s="114">
        <f t="shared" ref="V26:V29" si="8">ABS(U26-20%)</f>
        <v>3.0297627462427812E-9</v>
      </c>
      <c r="X26" s="1">
        <v>38716</v>
      </c>
      <c r="Y26" s="102"/>
      <c r="Z26" s="102"/>
      <c r="AA26" s="102"/>
      <c r="AB26" s="102"/>
      <c r="AC26" s="102"/>
      <c r="AD26" s="102"/>
      <c r="AE26" s="102"/>
      <c r="AF26" s="102"/>
      <c r="AJ26" s="97">
        <v>9.8715136837612683E-3</v>
      </c>
      <c r="AK26" s="97">
        <v>2.2154619452262603E-2</v>
      </c>
      <c r="BD26" s="1">
        <v>38716</v>
      </c>
      <c r="BL26" t="s">
        <v>321</v>
      </c>
      <c r="BM26" cm="1">
        <f t="array" ref="BM26">(BM4-((GEOMEAN(1+Factors!AB4:AB123)^12)-1))/BM25</f>
        <v>1.2354237689237537</v>
      </c>
      <c r="BN26" cm="1">
        <f t="array" ref="BN26">(BN4-((GEOMEAN(1+Factors!AB4:AB123)^12)-1))/BN25</f>
        <v>1.1712579292270702</v>
      </c>
      <c r="BO26" cm="1">
        <f t="array" ref="BO26">(BO4-((GEOMEAN(1+Factors!AB4:AB123)^12)-1))/BO25</f>
        <v>0.49286611434941613</v>
      </c>
    </row>
    <row r="27" spans="1:67" x14ac:dyDescent="0.2">
      <c r="A27" s="1">
        <v>38748</v>
      </c>
      <c r="B27" s="97">
        <v>3.2189263424655667E-3</v>
      </c>
      <c r="C27" s="97">
        <v>3.2058189655172598E-2</v>
      </c>
      <c r="D27" s="97">
        <v>0.11698566078338057</v>
      </c>
      <c r="E27" s="97">
        <v>2.4009993160515331E-2</v>
      </c>
      <c r="F27" s="97">
        <v>1.0316492681061717E-3</v>
      </c>
      <c r="H27" s="98">
        <v>3.2189263424655667E-3</v>
      </c>
      <c r="I27" s="99">
        <v>3.2058189655172598E-2</v>
      </c>
      <c r="J27" s="99">
        <v>0.11698566078338057</v>
      </c>
      <c r="K27" s="99">
        <v>2.4009993160515331E-2</v>
      </c>
      <c r="L27" s="100">
        <v>1.0316492681061717E-3</v>
      </c>
      <c r="O27" t="s">
        <v>158</v>
      </c>
      <c r="P27" s="115">
        <f t="shared" si="7"/>
        <v>-6.4018713431241513E-7</v>
      </c>
      <c r="Q27" s="76">
        <f t="shared" si="7"/>
        <v>1.84286020100874E-6</v>
      </c>
      <c r="R27" s="76">
        <f t="shared" si="7"/>
        <v>1.1022977753681678E-5</v>
      </c>
      <c r="S27" s="76">
        <f t="shared" si="7"/>
        <v>4.9299122818814428E-6</v>
      </c>
      <c r="T27" s="116">
        <f t="shared" si="7"/>
        <v>6.6087956227915207E-7</v>
      </c>
      <c r="U27" s="113">
        <f>SUM(P27:T27)/SUM($P$25:$T$29)</f>
        <v>0.19999985791368383</v>
      </c>
      <c r="V27" s="114">
        <f t="shared" si="8"/>
        <v>1.4208631618495282E-7</v>
      </c>
      <c r="X27" s="1">
        <v>38748</v>
      </c>
      <c r="Y27" s="102"/>
      <c r="Z27" s="102"/>
      <c r="AA27" s="102"/>
      <c r="AB27" s="102"/>
      <c r="AC27" s="102"/>
      <c r="AD27" s="102"/>
      <c r="AE27" s="102"/>
      <c r="AF27" s="102"/>
      <c r="AJ27" s="97">
        <v>1.2614297684363729E-2</v>
      </c>
      <c r="AK27" s="97">
        <v>4.465328921492584E-2</v>
      </c>
      <c r="BD27" s="1">
        <v>38748</v>
      </c>
    </row>
    <row r="28" spans="1:67" x14ac:dyDescent="0.2">
      <c r="A28" s="1">
        <v>38776</v>
      </c>
      <c r="B28" s="97">
        <v>4.6599199811721004E-3</v>
      </c>
      <c r="C28" s="97">
        <v>-9.1359958235448513E-3</v>
      </c>
      <c r="D28" s="97">
        <v>-1.78204909711982E-2</v>
      </c>
      <c r="E28" s="97">
        <v>-4.7199913832056684E-3</v>
      </c>
      <c r="F28" s="97">
        <v>-2.9115858052984889E-3</v>
      </c>
      <c r="H28" s="98">
        <v>4.6599199811721004E-3</v>
      </c>
      <c r="I28" s="99">
        <v>-9.1359958235448513E-3</v>
      </c>
      <c r="J28" s="99">
        <v>-1.78204909711982E-2</v>
      </c>
      <c r="K28" s="99">
        <v>-4.7199913832056684E-3</v>
      </c>
      <c r="L28" s="100">
        <v>-2.9115858052984889E-3</v>
      </c>
      <c r="O28" t="s">
        <v>3</v>
      </c>
      <c r="P28" s="115">
        <f t="shared" si="7"/>
        <v>8.0586738880307305E-7</v>
      </c>
      <c r="Q28" s="76">
        <f t="shared" si="7"/>
        <v>3.5130515107276322E-6</v>
      </c>
      <c r="R28" s="76">
        <f t="shared" si="7"/>
        <v>4.9299122818814436E-6</v>
      </c>
      <c r="S28" s="76">
        <f t="shared" si="7"/>
        <v>7.4078329420431799E-6</v>
      </c>
      <c r="T28" s="116">
        <f t="shared" si="7"/>
        <v>1.1597969663578813E-6</v>
      </c>
      <c r="U28" s="113">
        <f>SUM(P28:T28)/SUM($P$25:$T$29)</f>
        <v>0.20000006474803197</v>
      </c>
      <c r="V28" s="114">
        <f t="shared" si="8"/>
        <v>6.4748031963768327E-8</v>
      </c>
      <c r="X28" s="1">
        <v>38776</v>
      </c>
      <c r="Y28" s="102"/>
      <c r="Z28" s="102"/>
      <c r="AA28" s="102"/>
      <c r="AB28" s="102"/>
      <c r="AC28" s="102"/>
      <c r="AD28" s="102"/>
      <c r="AE28" s="102"/>
      <c r="AF28" s="102"/>
      <c r="AJ28" s="97">
        <v>-3.5465658484864493E-3</v>
      </c>
      <c r="AK28" s="97">
        <v>-1.488387708936556E-3</v>
      </c>
      <c r="BD28" s="1">
        <v>38776</v>
      </c>
    </row>
    <row r="29" spans="1:67" x14ac:dyDescent="0.2">
      <c r="A29" s="1">
        <v>38807</v>
      </c>
      <c r="B29" s="97">
        <v>-8.480134932533856E-3</v>
      </c>
      <c r="C29" s="97">
        <v>1.8177028451000998E-2</v>
      </c>
      <c r="D29" s="97">
        <v>7.6038083167360826E-2</v>
      </c>
      <c r="E29" s="97">
        <v>1.1469992218373193E-2</v>
      </c>
      <c r="F29" s="97">
        <v>-1.6747137735630857E-2</v>
      </c>
      <c r="H29" s="98">
        <v>-8.480134932533856E-3</v>
      </c>
      <c r="I29" s="99">
        <v>1.8177028451000998E-2</v>
      </c>
      <c r="J29" s="99">
        <v>7.6038083167360826E-2</v>
      </c>
      <c r="K29" s="99">
        <v>1.1469992218373193E-2</v>
      </c>
      <c r="L29" s="100">
        <v>-1.6747137735630857E-2</v>
      </c>
      <c r="O29" t="s">
        <v>4</v>
      </c>
      <c r="P29" s="117">
        <f t="shared" si="7"/>
        <v>7.5277221490737924E-6</v>
      </c>
      <c r="Q29" s="118">
        <f t="shared" si="7"/>
        <v>-1.9865139978169408E-7</v>
      </c>
      <c r="R29" s="118">
        <f t="shared" si="7"/>
        <v>6.6087956227915207E-7</v>
      </c>
      <c r="S29" s="118">
        <f t="shared" si="7"/>
        <v>1.1597969663578811E-6</v>
      </c>
      <c r="T29" s="119">
        <f t="shared" si="7"/>
        <v>8.6666950874388359E-6</v>
      </c>
      <c r="U29" s="113">
        <f>SUM(P29:T29)/SUM($P$25:$T$29)</f>
        <v>0.19999985455532077</v>
      </c>
      <c r="V29" s="114">
        <f t="shared" si="8"/>
        <v>1.4544467924482163E-7</v>
      </c>
      <c r="X29" s="1">
        <v>38807</v>
      </c>
      <c r="Y29" s="102"/>
      <c r="Z29" s="102"/>
      <c r="AA29" s="102"/>
      <c r="AB29" s="102"/>
      <c r="AC29" s="102"/>
      <c r="AD29" s="102"/>
      <c r="AE29" s="102"/>
      <c r="AF29" s="102"/>
      <c r="AJ29" s="97">
        <v>-9.9131723640223379E-3</v>
      </c>
      <c r="AK29" s="97">
        <v>2.1988605112132742E-2</v>
      </c>
      <c r="BD29" s="1">
        <v>38807</v>
      </c>
    </row>
    <row r="30" spans="1:67" x14ac:dyDescent="0.2">
      <c r="A30" s="1">
        <v>38835</v>
      </c>
      <c r="B30" s="97">
        <v>5.5127659909448568E-5</v>
      </c>
      <c r="C30" s="97">
        <v>-1.1384217335058122E-2</v>
      </c>
      <c r="D30" s="97">
        <v>0.22182414762569147</v>
      </c>
      <c r="E30" s="97">
        <v>2.7640000711400159E-2</v>
      </c>
      <c r="F30" s="97">
        <v>2.5581651780792747E-3</v>
      </c>
      <c r="H30" s="98">
        <v>5.5127659909448568E-5</v>
      </c>
      <c r="I30" s="99">
        <v>-1.1384217335058122E-2</v>
      </c>
      <c r="J30" s="99">
        <v>0.22182414762569147</v>
      </c>
      <c r="K30" s="99">
        <v>2.7640000711400159E-2</v>
      </c>
      <c r="L30" s="100">
        <v>2.5581651780792747E-3</v>
      </c>
      <c r="O30" s="2" t="s">
        <v>256</v>
      </c>
      <c r="P30" s="103">
        <f>SUM(H45:L45)</f>
        <v>0.99999998349614438</v>
      </c>
      <c r="X30" s="1">
        <v>38835</v>
      </c>
      <c r="Y30" s="102"/>
      <c r="Z30" s="102"/>
      <c r="AA30" s="102"/>
      <c r="AB30" s="102"/>
      <c r="AC30" s="102"/>
      <c r="AD30" s="102"/>
      <c r="AE30" s="102"/>
      <c r="AF30" s="102"/>
      <c r="AJ30" s="97">
        <v>1.8928887317047449E-2</v>
      </c>
      <c r="AK30" s="97">
        <v>3.0360819054311428E-2</v>
      </c>
      <c r="BD30" s="1">
        <v>38835</v>
      </c>
    </row>
    <row r="31" spans="1:67" x14ac:dyDescent="0.2">
      <c r="A31" s="1">
        <v>38868</v>
      </c>
      <c r="B31" s="97">
        <v>-1.897861952198987E-3</v>
      </c>
      <c r="C31" s="97">
        <v>-7.0923841926197384E-2</v>
      </c>
      <c r="D31" s="97">
        <v>8.8305502955184467E-2</v>
      </c>
      <c r="E31" s="97">
        <v>-1.3640000732359936E-2</v>
      </c>
      <c r="F31" s="97">
        <v>2.2510136893894028E-3</v>
      </c>
      <c r="H31" s="98">
        <v>-1.897861952198987E-3</v>
      </c>
      <c r="I31" s="99">
        <v>-7.0923841926197384E-2</v>
      </c>
      <c r="J31" s="99">
        <v>8.8305502955184467E-2</v>
      </c>
      <c r="K31" s="99">
        <v>-1.3640000732359936E-2</v>
      </c>
      <c r="L31" s="100">
        <v>2.2510136893894028E-3</v>
      </c>
      <c r="X31" s="1">
        <v>38868</v>
      </c>
      <c r="Y31" s="102"/>
      <c r="Z31" s="102"/>
      <c r="AA31" s="102"/>
      <c r="AB31" s="102"/>
      <c r="AC31" s="102"/>
      <c r="AD31" s="102"/>
      <c r="AE31" s="102"/>
      <c r="AF31" s="102"/>
      <c r="AJ31" s="97">
        <v>1.2897983485114839E-2</v>
      </c>
      <c r="AK31" s="97">
        <v>-3.4158993176808483E-2</v>
      </c>
      <c r="BD31" s="1">
        <v>38868</v>
      </c>
    </row>
    <row r="32" spans="1:67" x14ac:dyDescent="0.2">
      <c r="A32" s="1">
        <v>38898</v>
      </c>
      <c r="B32" s="97">
        <v>1.9330303604114807E-3</v>
      </c>
      <c r="C32" s="97">
        <v>-1.6478873239436642E-2</v>
      </c>
      <c r="D32" s="97">
        <v>-5.1785045792712148E-2</v>
      </c>
      <c r="E32" s="97">
        <v>-4.839994333079245E-3</v>
      </c>
      <c r="F32" s="97">
        <v>4.1114931597046045E-3</v>
      </c>
      <c r="H32" s="98">
        <v>1.9330303604114807E-3</v>
      </c>
      <c r="I32" s="99">
        <v>-1.6478873239436642E-2</v>
      </c>
      <c r="J32" s="99">
        <v>-5.1785045792712148E-2</v>
      </c>
      <c r="K32" s="99">
        <v>-4.839994333079245E-3</v>
      </c>
      <c r="L32" s="100">
        <v>4.1114931597046045E-3</v>
      </c>
      <c r="O32" s="108" t="s">
        <v>257</v>
      </c>
      <c r="P32" s="76" cm="1">
        <f t="array" ref="P32">(MMULT(H46:L46,V13:V17)/V19)</f>
        <v>1.6717643801786166</v>
      </c>
      <c r="X32" s="1">
        <v>38898</v>
      </c>
      <c r="Y32" s="102"/>
      <c r="Z32" s="102"/>
      <c r="AA32" s="102"/>
      <c r="AB32" s="102"/>
      <c r="AC32" s="102"/>
      <c r="AD32" s="102"/>
      <c r="AE32" s="102"/>
      <c r="AF32" s="102"/>
      <c r="AJ32" s="97">
        <v>-7.9451695573354852E-3</v>
      </c>
      <c r="AK32" s="97">
        <v>-2.9319239237168837E-4</v>
      </c>
      <c r="BD32" s="1">
        <v>38898</v>
      </c>
    </row>
    <row r="33" spans="1:62" x14ac:dyDescent="0.2">
      <c r="A33" s="1">
        <v>38929</v>
      </c>
      <c r="B33" s="97">
        <v>1.4324075313609796E-2</v>
      </c>
      <c r="C33" s="97">
        <v>-3.7806100529858222E-2</v>
      </c>
      <c r="D33" s="97">
        <v>6.4177382359074109E-2</v>
      </c>
      <c r="E33" s="97">
        <v>-2.5999997582957235E-3</v>
      </c>
      <c r="F33" s="97">
        <v>1.4702882289511221E-2</v>
      </c>
      <c r="H33" s="98">
        <v>1.4324075313609796E-2</v>
      </c>
      <c r="I33" s="99">
        <v>-3.7806100529858222E-2</v>
      </c>
      <c r="J33" s="99">
        <v>6.4177382359074109E-2</v>
      </c>
      <c r="K33" s="99">
        <v>-2.5999997582957235E-3</v>
      </c>
      <c r="L33" s="100">
        <v>1.4702882289511221E-2</v>
      </c>
      <c r="O33" s="2" t="s">
        <v>258</v>
      </c>
      <c r="P33" s="103">
        <f>SUM(H46:L46)</f>
        <v>0.99999990067654743</v>
      </c>
      <c r="X33" s="1">
        <v>38929</v>
      </c>
      <c r="Y33" s="102"/>
      <c r="Z33" s="102"/>
      <c r="AA33" s="102"/>
      <c r="AB33" s="102"/>
      <c r="AC33" s="102"/>
      <c r="AD33" s="102"/>
      <c r="AE33" s="102"/>
      <c r="AF33" s="102"/>
      <c r="AJ33" s="97">
        <v>9.9619177322134433E-3</v>
      </c>
      <c r="AK33" s="97">
        <v>6.2408414299601755E-3</v>
      </c>
      <c r="BD33" s="1">
        <v>38929</v>
      </c>
    </row>
    <row r="34" spans="1:62" x14ac:dyDescent="0.2">
      <c r="A34" s="1">
        <v>38960</v>
      </c>
      <c r="B34" s="97">
        <v>1.4533258803800964E-2</v>
      </c>
      <c r="C34" s="97">
        <v>8.3792230986753813E-2</v>
      </c>
      <c r="D34" s="97">
        <v>1.4740384263686179E-2</v>
      </c>
      <c r="E34" s="97">
        <v>2.3199960805679876E-3</v>
      </c>
      <c r="F34" s="97">
        <v>1.6141308250161579E-2</v>
      </c>
      <c r="H34" s="98">
        <v>1.4533258803800964E-2</v>
      </c>
      <c r="I34" s="99">
        <v>8.3792230986753813E-2</v>
      </c>
      <c r="J34" s="99">
        <v>1.4740384263686179E-2</v>
      </c>
      <c r="K34" s="99">
        <v>2.3199960805679876E-3</v>
      </c>
      <c r="L34" s="100">
        <v>1.6141308250161579E-2</v>
      </c>
      <c r="X34" s="1">
        <v>38960</v>
      </c>
      <c r="Y34" s="102"/>
      <c r="Z34" s="102"/>
      <c r="AA34" s="102"/>
      <c r="AB34" s="102"/>
      <c r="AC34" s="102"/>
      <c r="AD34" s="102"/>
      <c r="AE34" s="102"/>
      <c r="AF34" s="102"/>
      <c r="AJ34" s="97">
        <v>1.1555066104359746E-2</v>
      </c>
      <c r="AK34" s="97">
        <v>2.5957133148268863E-2</v>
      </c>
      <c r="BD34" s="1">
        <v>38960</v>
      </c>
    </row>
    <row r="35" spans="1:62" x14ac:dyDescent="0.2">
      <c r="A35" s="1">
        <v>38989</v>
      </c>
      <c r="B35" s="97">
        <v>6.9941842669116738E-3</v>
      </c>
      <c r="C35" s="97">
        <v>4.0098873935731971E-2</v>
      </c>
      <c r="D35" s="97">
        <v>1.2227085478887734E-2</v>
      </c>
      <c r="E35" s="97">
        <v>-7.6000033023650992E-3</v>
      </c>
      <c r="F35" s="97">
        <v>3.1444763210333182E-3</v>
      </c>
      <c r="H35" s="98">
        <v>6.9941842669116738E-3</v>
      </c>
      <c r="I35" s="99">
        <v>4.0098873935731971E-2</v>
      </c>
      <c r="J35" s="99">
        <v>1.2227085478887734E-2</v>
      </c>
      <c r="K35" s="99">
        <v>-7.6000033023650992E-3</v>
      </c>
      <c r="L35" s="100">
        <v>3.1444763210333182E-3</v>
      </c>
      <c r="X35" s="1">
        <v>38989</v>
      </c>
      <c r="Y35" s="102"/>
      <c r="Z35" s="102"/>
      <c r="AA35" s="102"/>
      <c r="AB35" s="102"/>
      <c r="AC35" s="102"/>
      <c r="AD35" s="102"/>
      <c r="AE35" s="102"/>
      <c r="AF35" s="102"/>
      <c r="AJ35" s="97">
        <v>-7.4683065693026407E-5</v>
      </c>
      <c r="AK35" s="97">
        <v>1.1923676605370748E-2</v>
      </c>
      <c r="BD35" s="1">
        <v>38989</v>
      </c>
    </row>
    <row r="36" spans="1:62" x14ac:dyDescent="0.2">
      <c r="A36" s="1">
        <v>39021</v>
      </c>
      <c r="B36" s="97">
        <v>7.249570649117798E-3</v>
      </c>
      <c r="C36" s="97">
        <v>4.1193556905201989E-2</v>
      </c>
      <c r="D36" s="97">
        <v>7.9672083612065681E-2</v>
      </c>
      <c r="E36" s="97">
        <v>1.1370004912351961E-2</v>
      </c>
      <c r="F36" s="97">
        <v>-2.1977557532595338E-3</v>
      </c>
      <c r="H36" s="98">
        <v>7.249570649117798E-3</v>
      </c>
      <c r="I36" s="99">
        <v>4.1193556905201989E-2</v>
      </c>
      <c r="J36" s="99">
        <v>7.9672083612065681E-2</v>
      </c>
      <c r="K36" s="99">
        <v>1.1370004912351961E-2</v>
      </c>
      <c r="L36" s="100">
        <v>-2.1977557532595338E-3</v>
      </c>
      <c r="X36" s="1">
        <v>39021</v>
      </c>
      <c r="Y36" s="102"/>
      <c r="Z36" s="102"/>
      <c r="AA36" s="102"/>
      <c r="AB36" s="102"/>
      <c r="AC36" s="102"/>
      <c r="AD36" s="102"/>
      <c r="AE36" s="102"/>
      <c r="AF36" s="102"/>
      <c r="AJ36" s="97">
        <v>9.6735856267800013E-3</v>
      </c>
      <c r="AK36" s="97">
        <v>3.6702742471125926E-2</v>
      </c>
      <c r="BD36" s="1">
        <v>39021</v>
      </c>
    </row>
    <row r="37" spans="1:62" x14ac:dyDescent="0.2">
      <c r="A37" s="1">
        <v>39051</v>
      </c>
      <c r="B37" s="97">
        <v>1.1467543833177496E-2</v>
      </c>
      <c r="C37" s="97">
        <v>3.2462591935074947E-2</v>
      </c>
      <c r="D37" s="97">
        <v>6.8673552083529099E-3</v>
      </c>
      <c r="E37" s="97">
        <v>2.3570003354294711E-2</v>
      </c>
      <c r="F37" s="97">
        <v>1.1267128364783829E-2</v>
      </c>
      <c r="H37" s="98">
        <v>1.1467543833177496E-2</v>
      </c>
      <c r="I37" s="99">
        <v>3.2462591935074947E-2</v>
      </c>
      <c r="J37" s="99">
        <v>6.8673552083529099E-3</v>
      </c>
      <c r="K37" s="99">
        <v>2.3570003354294711E-2</v>
      </c>
      <c r="L37" s="100">
        <v>1.1267128364783829E-2</v>
      </c>
      <c r="X37" s="1">
        <v>39051</v>
      </c>
      <c r="Y37" s="102"/>
      <c r="Z37" s="102">
        <f>CORREL(Y39:Y122,Z39:Z122)</f>
        <v>0.98494599828879326</v>
      </c>
      <c r="AA37" s="102">
        <f>CORREL(Y39:Y122,AA39:AA122)</f>
        <v>0.86019215450847564</v>
      </c>
      <c r="AB37" s="102">
        <f>CORREL(Y39:Y122,AB39:AB122)</f>
        <v>0.75202382027780457</v>
      </c>
      <c r="AC37" s="102"/>
      <c r="AD37" s="102"/>
      <c r="AE37" s="102"/>
      <c r="AF37" s="102"/>
      <c r="AJ37" s="97">
        <v>2.435446899414595E-2</v>
      </c>
      <c r="AK37" s="97">
        <v>2.4488136683699979E-2</v>
      </c>
      <c r="BD37" s="1">
        <v>39051</v>
      </c>
    </row>
    <row r="38" spans="1:62" x14ac:dyDescent="0.2">
      <c r="A38" s="1">
        <v>39080</v>
      </c>
      <c r="B38" s="97">
        <v>-2.7523346361548739E-3</v>
      </c>
      <c r="C38" s="97">
        <v>-1.3387374109555483E-2</v>
      </c>
      <c r="D38" s="97">
        <v>-2.554359397922723E-2</v>
      </c>
      <c r="E38" s="97">
        <v>1.2699995671763054E-2</v>
      </c>
      <c r="F38" s="97">
        <v>-2.2653179473217655E-2</v>
      </c>
      <c r="H38" s="120">
        <v>-2.7523346361548739E-3</v>
      </c>
      <c r="I38" s="121">
        <v>-1.3387374109555483E-2</v>
      </c>
      <c r="J38" s="121">
        <v>-2.554359397922723E-2</v>
      </c>
      <c r="K38" s="121">
        <v>1.2699995671763054E-2</v>
      </c>
      <c r="L38" s="122">
        <v>-2.2653179473217655E-2</v>
      </c>
      <c r="X38" s="1">
        <v>39080</v>
      </c>
      <c r="Y38" s="102"/>
      <c r="Z38" s="102"/>
      <c r="AA38" s="102"/>
      <c r="AB38" s="102"/>
      <c r="AC38" s="102">
        <v>100</v>
      </c>
      <c r="AD38" s="102">
        <v>100</v>
      </c>
      <c r="AE38" s="102">
        <v>100</v>
      </c>
      <c r="AF38" s="102">
        <v>100</v>
      </c>
      <c r="AJ38" s="97">
        <v>-1.3256312785288049E-2</v>
      </c>
      <c r="AK38" s="97">
        <v>2.0331026971068811E-2</v>
      </c>
      <c r="BD38" s="1">
        <v>39080</v>
      </c>
    </row>
    <row r="39" spans="1:62" x14ac:dyDescent="0.2">
      <c r="A39" s="1">
        <v>39113</v>
      </c>
      <c r="B39" s="97">
        <v>6.4323592547421704E-4</v>
      </c>
      <c r="C39" s="97">
        <v>1.5809784638366686E-2</v>
      </c>
      <c r="D39" s="97">
        <v>-4.1957403894638423E-2</v>
      </c>
      <c r="E39" s="97">
        <v>3.7180278920005971E-3</v>
      </c>
      <c r="F39" s="97">
        <v>2.6428193882945816E-3</v>
      </c>
      <c r="H39" s="120">
        <v>6.4323592547421704E-4</v>
      </c>
      <c r="I39" s="121">
        <v>1.5809784638366686E-2</v>
      </c>
      <c r="J39" s="121">
        <v>-4.1957403894638423E-2</v>
      </c>
      <c r="K39" s="121">
        <v>3.7180278920005971E-3</v>
      </c>
      <c r="L39" s="122">
        <v>2.6428193882945816E-3</v>
      </c>
      <c r="X39" s="1">
        <v>39113</v>
      </c>
      <c r="Y39" s="97">
        <f>SUMPRODUCT(B39:F39, $H$44:$L$44)</f>
        <v>7.165871065763444E-4</v>
      </c>
      <c r="Z39" s="97">
        <v>5.7580694004594419E-4</v>
      </c>
      <c r="AA39" s="97">
        <v>-6.6916118010115115E-4</v>
      </c>
      <c r="AB39" s="97">
        <f t="shared" ref="AB39:AB70" si="9">0.6*AK39+0.4*AJ39</f>
        <v>3.151748530767229E-3</v>
      </c>
      <c r="AC39" s="102">
        <f>AC38*(1+Y39)</f>
        <v>100.07165871065764</v>
      </c>
      <c r="AD39" s="102">
        <f t="shared" ref="AD39:AF54" si="10">AD38*(1+Z39)</f>
        <v>100.05758069400459</v>
      </c>
      <c r="AE39" s="102">
        <f t="shared" si="10"/>
        <v>99.933083881989887</v>
      </c>
      <c r="AF39" s="102">
        <f t="shared" si="10"/>
        <v>100.31517485307673</v>
      </c>
      <c r="AJ39" s="97">
        <v>-9.8284604926325292E-3</v>
      </c>
      <c r="AK39" s="97">
        <v>1.1805221213033734E-2</v>
      </c>
      <c r="BD39" s="1">
        <v>39113</v>
      </c>
      <c r="BE39" s="39">
        <f>1+Y39</f>
        <v>1.0007165871065764</v>
      </c>
      <c r="BF39" s="39">
        <f>BE39/MAX($BE$39:BE39) - 1</f>
        <v>0</v>
      </c>
      <c r="BG39" s="39">
        <f>1+Z39</f>
        <v>1.0005758069400459</v>
      </c>
      <c r="BH39" s="39">
        <f>BG39/MAX($BG$39:BG39) - 1</f>
        <v>0</v>
      </c>
      <c r="BI39" s="39">
        <f>1+AA39</f>
        <v>0.99933083881989881</v>
      </c>
      <c r="BJ39" s="39">
        <f>BI39/MAX($BI$39:BI39) - 1</f>
        <v>0</v>
      </c>
    </row>
    <row r="40" spans="1:62" x14ac:dyDescent="0.2">
      <c r="A40" s="1">
        <v>39141</v>
      </c>
      <c r="B40" s="97">
        <v>1.23332212131404E-2</v>
      </c>
      <c r="C40" s="97">
        <v>-3.0759803921568518E-2</v>
      </c>
      <c r="D40" s="97">
        <v>5.6456706332895568E-2</v>
      </c>
      <c r="E40" s="97">
        <v>2.2336360135390976E-3</v>
      </c>
      <c r="F40" s="97">
        <v>2.0865984669307114E-2</v>
      </c>
      <c r="X40" s="1">
        <v>39141</v>
      </c>
      <c r="Y40" s="97">
        <f t="shared" ref="Y40:Y103" si="11">SUMPRODUCT(B40:F40, $H$44:$L$44)</f>
        <v>1.0922625441234256E-2</v>
      </c>
      <c r="Z40" s="97">
        <v>1.0780984195828045E-2</v>
      </c>
      <c r="AA40" s="97">
        <v>1.1760688479127722E-2</v>
      </c>
      <c r="AB40" s="97">
        <f t="shared" si="9"/>
        <v>5.1092256652614191E-3</v>
      </c>
      <c r="AC40" s="102">
        <f t="shared" ref="AC40:AF55" si="12">AC39*(1+Y40)</f>
        <v>101.16470395603719</v>
      </c>
      <c r="AD40" s="102">
        <f t="shared" si="10"/>
        <v>101.13629989013943</v>
      </c>
      <c r="AE40" s="102">
        <f t="shared" si="10"/>
        <v>101.10836575028451</v>
      </c>
      <c r="AF40" s="102">
        <f t="shared" si="10"/>
        <v>100.82770771905125</v>
      </c>
      <c r="AJ40" s="97">
        <v>2.0578465702402404E-2</v>
      </c>
      <c r="AK40" s="97">
        <v>-5.2036010261659049E-3</v>
      </c>
      <c r="BD40" s="1">
        <v>39141</v>
      </c>
      <c r="BE40" s="39">
        <f>BE39*(1+Y40)</f>
        <v>1.0116470395603718</v>
      </c>
      <c r="BF40" s="39">
        <f>BE40/MAX($BE$39:BE40) - 1</f>
        <v>0</v>
      </c>
      <c r="BG40" s="39">
        <f>BG39*(1+Z40)</f>
        <v>1.0113629989013944</v>
      </c>
      <c r="BH40" s="39">
        <f>BG40/MAX($BG$39:BG40) - 1</f>
        <v>0</v>
      </c>
      <c r="BI40" s="39">
        <f>BI39*(1+AA40)</f>
        <v>1.011083657502845</v>
      </c>
      <c r="BJ40" s="39">
        <f>BI40/MAX($BI$39:BI40) - 1</f>
        <v>0</v>
      </c>
    </row>
    <row r="41" spans="1:62" x14ac:dyDescent="0.2">
      <c r="A41" s="1">
        <v>39171</v>
      </c>
      <c r="B41" s="97">
        <v>2.6359508251192487E-3</v>
      </c>
      <c r="C41" s="97">
        <v>5.6897205715009669E-3</v>
      </c>
      <c r="D41" s="97">
        <v>5.7268659761530838E-2</v>
      </c>
      <c r="E41" s="97">
        <v>-8.9686062517790877E-4</v>
      </c>
      <c r="F41" s="97">
        <v>4.8289963084695575E-3</v>
      </c>
      <c r="X41" s="1">
        <v>39171</v>
      </c>
      <c r="Y41" s="97">
        <f t="shared" si="11"/>
        <v>5.2870971348768806E-3</v>
      </c>
      <c r="Z41" s="97">
        <v>5.6222941615997057E-3</v>
      </c>
      <c r="AA41" s="97">
        <v>7.4759980783964336E-3</v>
      </c>
      <c r="AB41" s="97">
        <f t="shared" si="9"/>
        <v>1.1928727704493668E-2</v>
      </c>
      <c r="AC41" s="102">
        <f t="shared" si="12"/>
        <v>101.69957157247381</v>
      </c>
      <c r="AD41" s="102">
        <f t="shared" si="10"/>
        <v>101.70491791853756</v>
      </c>
      <c r="AE41" s="102">
        <f t="shared" si="10"/>
        <v>101.86425169834344</v>
      </c>
      <c r="AF41" s="102">
        <f t="shared" si="10"/>
        <v>102.03045398950009</v>
      </c>
      <c r="AJ41" s="97">
        <v>2.3638204866058832E-3</v>
      </c>
      <c r="AK41" s="97">
        <v>1.830533251641886E-2</v>
      </c>
      <c r="BD41" s="1">
        <v>39171</v>
      </c>
      <c r="BE41" s="39">
        <f t="shared" ref="BE41:BE104" si="13">BE40*(1+Y41)</f>
        <v>1.016995715724738</v>
      </c>
      <c r="BF41" s="39">
        <f>BE41/MAX($BE$39:BE41) - 1</f>
        <v>0</v>
      </c>
      <c r="BG41" s="39">
        <f t="shared" ref="BG41:BG104" si="14">BG40*(1+Z41)</f>
        <v>1.0170491791853757</v>
      </c>
      <c r="BH41" s="39">
        <f>BG41/MAX($BG$39:BG41) - 1</f>
        <v>0</v>
      </c>
      <c r="BI41" s="39">
        <f t="shared" ref="BI41:BI104" si="15">BI40*(1+AA41)</f>
        <v>1.0186425169834343</v>
      </c>
      <c r="BJ41" s="39">
        <f>BI41/MAX($BI$39:BI41) - 1</f>
        <v>0</v>
      </c>
    </row>
    <row r="42" spans="1:62" x14ac:dyDescent="0.2">
      <c r="A42" s="1">
        <v>39202</v>
      </c>
      <c r="B42" s="97">
        <v>4.9340167314715355E-3</v>
      </c>
      <c r="C42" s="97">
        <v>5.4060849886849338E-2</v>
      </c>
      <c r="D42" s="97">
        <v>9.0326301098141659E-2</v>
      </c>
      <c r="E42" s="97">
        <v>1.6273215586270595E-2</v>
      </c>
      <c r="F42" s="97">
        <v>7.9101067413001047E-3</v>
      </c>
      <c r="H42" s="123" t="s">
        <v>259</v>
      </c>
      <c r="X42" s="1">
        <v>39202</v>
      </c>
      <c r="Y42" s="97">
        <f t="shared" si="11"/>
        <v>1.6227978154006138E-2</v>
      </c>
      <c r="Z42" s="97">
        <v>1.6906675837387117E-2</v>
      </c>
      <c r="AA42" s="97">
        <v>1.8628545070722525E-2</v>
      </c>
      <c r="AB42" s="97">
        <f t="shared" si="9"/>
        <v>3.0988672124070724E-2</v>
      </c>
      <c r="AC42" s="102">
        <f t="shared" si="12"/>
        <v>103.34994999822371</v>
      </c>
      <c r="AD42" s="102">
        <f t="shared" si="10"/>
        <v>103.42440999685434</v>
      </c>
      <c r="AE42" s="102">
        <f t="shared" si="10"/>
        <v>103.76183450220144</v>
      </c>
      <c r="AF42" s="102">
        <f t="shared" si="10"/>
        <v>105.19224227485078</v>
      </c>
      <c r="AJ42" s="97">
        <v>1.1302712511944701E-2</v>
      </c>
      <c r="AK42" s="97">
        <v>4.411264519882141E-2</v>
      </c>
      <c r="BD42" s="1">
        <v>39202</v>
      </c>
      <c r="BE42" s="39">
        <f t="shared" si="13"/>
        <v>1.0334994999822369</v>
      </c>
      <c r="BF42" s="39">
        <f>BE42/MAX($BE$39:BE42) - 1</f>
        <v>0</v>
      </c>
      <c r="BG42" s="39">
        <f t="shared" si="14"/>
        <v>1.0342440999685434</v>
      </c>
      <c r="BH42" s="39">
        <f>BG42/MAX($BG$39:BG42) - 1</f>
        <v>0</v>
      </c>
      <c r="BI42" s="39">
        <f t="shared" si="15"/>
        <v>1.0376183450220144</v>
      </c>
      <c r="BJ42" s="39">
        <f>BI42/MAX($BI$39:BI42) - 1</f>
        <v>0</v>
      </c>
    </row>
    <row r="43" spans="1:62" x14ac:dyDescent="0.2">
      <c r="A43" s="1">
        <v>39233</v>
      </c>
      <c r="B43" s="97">
        <v>-5.7451891369024732E-3</v>
      </c>
      <c r="C43" s="97">
        <v>3.9718511450381744E-2</v>
      </c>
      <c r="D43" s="97">
        <v>-2.9418604411864502E-2</v>
      </c>
      <c r="E43" s="97">
        <v>1.8107338955327679E-2</v>
      </c>
      <c r="F43" s="97">
        <v>-1.449714742441377E-2</v>
      </c>
      <c r="H43" s="93" t="s">
        <v>0</v>
      </c>
      <c r="I43" s="94" t="s">
        <v>1</v>
      </c>
      <c r="J43" s="94" t="s">
        <v>158</v>
      </c>
      <c r="K43" s="94" t="s">
        <v>3</v>
      </c>
      <c r="L43" s="95" t="s">
        <v>4</v>
      </c>
      <c r="X43" s="1">
        <v>39233</v>
      </c>
      <c r="Y43" s="97">
        <f t="shared" si="11"/>
        <v>1.5434679046373795E-4</v>
      </c>
      <c r="Z43" s="97">
        <v>-7.9752148681321239E-4</v>
      </c>
      <c r="AA43" s="97">
        <v>-1.7404754141244006E-3</v>
      </c>
      <c r="AB43" s="97">
        <f t="shared" si="9"/>
        <v>1.0568264320690843E-2</v>
      </c>
      <c r="AC43" s="102">
        <f t="shared" si="12"/>
        <v>103.36590173130051</v>
      </c>
      <c r="AD43" s="102">
        <f t="shared" si="10"/>
        <v>103.34192680762087</v>
      </c>
      <c r="AE43" s="102">
        <f t="shared" si="10"/>
        <v>103.58123958032591</v>
      </c>
      <c r="AF43" s="102">
        <f t="shared" si="10"/>
        <v>106.30394169569755</v>
      </c>
      <c r="AJ43" s="97">
        <v>-1.5592660392496294E-2</v>
      </c>
      <c r="AK43" s="97">
        <v>2.8008880796148938E-2</v>
      </c>
      <c r="BD43" s="1">
        <v>39233</v>
      </c>
      <c r="BE43" s="39">
        <f t="shared" si="13"/>
        <v>1.0336590173130049</v>
      </c>
      <c r="BF43" s="39">
        <f>BE43/MAX($BE$39:BE43) - 1</f>
        <v>0</v>
      </c>
      <c r="BG43" s="39">
        <f t="shared" si="14"/>
        <v>1.0334192680762087</v>
      </c>
      <c r="BH43" s="39">
        <f>BG43/MAX($BG$39:BG43) - 1</f>
        <v>-7.975214868132241E-4</v>
      </c>
      <c r="BI43" s="39">
        <f t="shared" si="15"/>
        <v>1.0358123958032592</v>
      </c>
      <c r="BJ43" s="39">
        <f>BI43/MAX($BI$39:BI43) - 1</f>
        <v>-1.740475414124365E-3</v>
      </c>
    </row>
    <row r="44" spans="1:62" x14ac:dyDescent="0.2">
      <c r="A44" s="1">
        <v>39262</v>
      </c>
      <c r="B44" s="97">
        <v>-4.2011232476893978E-3</v>
      </c>
      <c r="C44" s="97">
        <v>6.5389468853962462E-3</v>
      </c>
      <c r="D44" s="97">
        <v>-4.967749596074833E-2</v>
      </c>
      <c r="E44" s="97">
        <v>1.5065018810388242E-2</v>
      </c>
      <c r="F44" s="97">
        <v>-1.6290516542215583E-3</v>
      </c>
      <c r="H44" s="113">
        <v>0.4190708302769508</v>
      </c>
      <c r="I44" s="113">
        <v>7.1781111433816172E-2</v>
      </c>
      <c r="J44" s="113">
        <v>5.1402841919813307E-2</v>
      </c>
      <c r="K44" s="113">
        <v>0.2410450126659224</v>
      </c>
      <c r="L44" s="113">
        <v>0.21670020370349746</v>
      </c>
      <c r="M44" s="125" t="s">
        <v>260</v>
      </c>
      <c r="X44" s="1">
        <v>39262</v>
      </c>
      <c r="Y44" s="97">
        <f t="shared" si="11"/>
        <v>-5.6642797965801117E-4</v>
      </c>
      <c r="Z44" s="97">
        <v>-5.4599858302630867E-4</v>
      </c>
      <c r="AA44" s="97">
        <v>-1.0368455987867476E-3</v>
      </c>
      <c r="AB44" s="97">
        <f t="shared" si="9"/>
        <v>-6.4019548439710576E-3</v>
      </c>
      <c r="AC44" s="102">
        <f t="shared" si="12"/>
        <v>103.30735239241733</v>
      </c>
      <c r="AD44" s="102">
        <f t="shared" si="10"/>
        <v>103.28550226201669</v>
      </c>
      <c r="AE44" s="102">
        <f t="shared" si="10"/>
        <v>103.47384182795018</v>
      </c>
      <c r="AF44" s="102">
        <f t="shared" si="10"/>
        <v>105.62338866122555</v>
      </c>
      <c r="AJ44" s="97">
        <v>-4.4349055764421053E-3</v>
      </c>
      <c r="AK44" s="97">
        <v>-7.7133210223236937E-3</v>
      </c>
      <c r="BD44" s="1">
        <v>39262</v>
      </c>
      <c r="BE44" s="39">
        <f t="shared" si="13"/>
        <v>1.0330735239241731</v>
      </c>
      <c r="BF44" s="39">
        <f>BE44/MAX($BE$39:BE44) - 1</f>
        <v>-5.6642797965800185E-4</v>
      </c>
      <c r="BG44" s="39">
        <f t="shared" si="14"/>
        <v>1.0328550226201669</v>
      </c>
      <c r="BH44" s="39">
        <f>BG44/MAX($BG$39:BG44) - 1</f>
        <v>-1.3430846242378225E-3</v>
      </c>
      <c r="BI44" s="39">
        <f t="shared" si="15"/>
        <v>1.0347384182795019</v>
      </c>
      <c r="BJ44" s="39">
        <f>BI44/MAX($BI$39:BI44) - 1</f>
        <v>-2.7755164086381567E-3</v>
      </c>
    </row>
    <row r="45" spans="1:62" x14ac:dyDescent="0.2">
      <c r="A45" s="1">
        <v>39294</v>
      </c>
      <c r="B45" s="97">
        <v>6.7723598898659088E-3</v>
      </c>
      <c r="C45" s="97">
        <v>-4.5589240939137854E-3</v>
      </c>
      <c r="D45" s="97">
        <v>1.5794534943651461E-2</v>
      </c>
      <c r="E45" s="97">
        <v>7.9307758838031983E-3</v>
      </c>
      <c r="F45" s="97">
        <v>2.2829931019993754E-2</v>
      </c>
      <c r="H45" s="98">
        <v>0.42963316947316271</v>
      </c>
      <c r="I45" s="99">
        <v>8.284502096763359E-2</v>
      </c>
      <c r="J45" s="99">
        <v>5.6805507336271578E-2</v>
      </c>
      <c r="K45" s="99">
        <v>0.21837231940790192</v>
      </c>
      <c r="L45" s="100">
        <v>0.21234396631117461</v>
      </c>
      <c r="M45" s="125" t="s">
        <v>261</v>
      </c>
      <c r="X45" s="1">
        <v>39294</v>
      </c>
      <c r="Y45" s="97">
        <f t="shared" si="11"/>
        <v>1.0181662502413751E-2</v>
      </c>
      <c r="Z45" s="97">
        <v>1.0661678657594041E-2</v>
      </c>
      <c r="AA45" s="97">
        <v>1.2245005856564184E-2</v>
      </c>
      <c r="AB45" s="97">
        <f t="shared" si="9"/>
        <v>-5.1644948044831992E-3</v>
      </c>
      <c r="AC45" s="102">
        <f t="shared" si="12"/>
        <v>104.35919298849485</v>
      </c>
      <c r="AD45" s="102">
        <f t="shared" si="10"/>
        <v>104.3866990971225</v>
      </c>
      <c r="AE45" s="102">
        <f t="shared" si="10"/>
        <v>104.74087962713463</v>
      </c>
      <c r="AF45" s="102">
        <f t="shared" si="10"/>
        <v>105.07789721925273</v>
      </c>
      <c r="AJ45" s="97">
        <v>2.0308132647347099E-2</v>
      </c>
      <c r="AK45" s="97">
        <v>-2.2146246439036732E-2</v>
      </c>
      <c r="BD45" s="1">
        <v>39294</v>
      </c>
      <c r="BE45" s="39">
        <f t="shared" si="13"/>
        <v>1.0435919298849483</v>
      </c>
      <c r="BF45" s="39">
        <f>BE45/MAX($BE$39:BE45) - 1</f>
        <v>0</v>
      </c>
      <c r="BG45" s="39">
        <f t="shared" si="14"/>
        <v>1.043866990971225</v>
      </c>
      <c r="BH45" s="39">
        <f>BG45/MAX($BG$39:BG45) - 1</f>
        <v>0</v>
      </c>
      <c r="BI45" s="39">
        <f t="shared" si="15"/>
        <v>1.0474087962713463</v>
      </c>
      <c r="BJ45" s="39">
        <f>BI45/MAX($BI$39:BI45) - 1</f>
        <v>0</v>
      </c>
    </row>
    <row r="46" spans="1:62" x14ac:dyDescent="0.2">
      <c r="A46" s="1">
        <v>39325</v>
      </c>
      <c r="B46" s="97">
        <v>1.1770068297273228E-2</v>
      </c>
      <c r="C46" s="97">
        <v>2.8394779024501826E-2</v>
      </c>
      <c r="D46" s="97">
        <v>-7.4911261839076482E-2</v>
      </c>
      <c r="E46" s="97">
        <v>-2.1109484891792651E-2</v>
      </c>
      <c r="F46" s="97">
        <v>1.0194789634041967E-2</v>
      </c>
      <c r="H46" s="120">
        <v>0.56914985958169262</v>
      </c>
      <c r="I46" s="121">
        <v>0.11267690732804687</v>
      </c>
      <c r="J46" s="121">
        <v>8.3708885569015942E-2</v>
      </c>
      <c r="K46" s="121">
        <v>7.0595056486516025E-2</v>
      </c>
      <c r="L46" s="122">
        <v>0.16386919171127601</v>
      </c>
      <c r="M46" s="125" t="s">
        <v>243</v>
      </c>
      <c r="X46" s="1">
        <v>39325</v>
      </c>
      <c r="Y46" s="97">
        <f t="shared" si="11"/>
        <v>2.4092627802121003E-4</v>
      </c>
      <c r="Z46" s="97">
        <v>3.0897164018281204E-4</v>
      </c>
      <c r="AA46" s="97">
        <v>-2.4231557921043255E-4</v>
      </c>
      <c r="AB46" s="97">
        <f t="shared" si="9"/>
        <v>4.4698344579712666E-3</v>
      </c>
      <c r="AC46" s="102">
        <f t="shared" si="12"/>
        <v>104.38433586043887</v>
      </c>
      <c r="AD46" s="102">
        <f t="shared" si="10"/>
        <v>104.4189516267558</v>
      </c>
      <c r="AE46" s="102">
        <f t="shared" si="10"/>
        <v>104.71549928022078</v>
      </c>
      <c r="AF46" s="102">
        <f t="shared" si="10"/>
        <v>105.5475780250145</v>
      </c>
      <c r="AJ46" s="97">
        <v>1.2312677681552975E-2</v>
      </c>
      <c r="AK46" s="97">
        <v>-7.5872769108320526E-4</v>
      </c>
      <c r="BD46" s="1">
        <v>39325</v>
      </c>
      <c r="BE46" s="39">
        <f t="shared" si="13"/>
        <v>1.0438433586043885</v>
      </c>
      <c r="BF46" s="39">
        <f>BE46/MAX($BE$39:BE46) - 1</f>
        <v>0</v>
      </c>
      <c r="BG46" s="39">
        <f t="shared" si="14"/>
        <v>1.0441895162675581</v>
      </c>
      <c r="BH46" s="39">
        <f>BG46/MAX($BG$39:BG46) - 1</f>
        <v>0</v>
      </c>
      <c r="BI46" s="39">
        <f t="shared" si="15"/>
        <v>1.0471549928022077</v>
      </c>
      <c r="BJ46" s="39">
        <f>BI46/MAX($BI$39:BI46) - 1</f>
        <v>-2.4231557921050584E-4</v>
      </c>
    </row>
    <row r="47" spans="1:62" x14ac:dyDescent="0.2">
      <c r="A47" s="1">
        <v>39353</v>
      </c>
      <c r="B47" s="97">
        <v>7.6803464512003039E-3</v>
      </c>
      <c r="C47" s="97">
        <v>3.7853484747272459E-2</v>
      </c>
      <c r="D47" s="97">
        <v>2.8791429527954548E-2</v>
      </c>
      <c r="E47" s="97">
        <v>3.2292342383925199E-2</v>
      </c>
      <c r="F47" s="97">
        <v>1.0064794230873364E-2</v>
      </c>
      <c r="X47" s="1">
        <v>39353</v>
      </c>
      <c r="Y47" s="97">
        <f t="shared" si="11"/>
        <v>1.7380686710601858E-2</v>
      </c>
      <c r="Z47" s="97">
        <v>1.7166519325942306E-2</v>
      </c>
      <c r="AA47" s="97">
        <v>1.7433099316510946E-2</v>
      </c>
      <c r="AB47" s="97">
        <f t="shared" si="9"/>
        <v>3.7510744838577234E-2</v>
      </c>
      <c r="AC47" s="102">
        <f t="shared" si="12"/>
        <v>106.1986072995234</v>
      </c>
      <c r="AD47" s="102">
        <f t="shared" si="10"/>
        <v>106.21146157785114</v>
      </c>
      <c r="AE47" s="102">
        <f t="shared" si="10"/>
        <v>106.54101497915092</v>
      </c>
      <c r="AF47" s="102">
        <f t="shared" si="10"/>
        <v>109.50674629264064</v>
      </c>
      <c r="AJ47" s="97">
        <v>2.2443580979919941E-2</v>
      </c>
      <c r="AK47" s="97">
        <v>4.7555520744348767E-2</v>
      </c>
      <c r="BD47" s="1">
        <v>39353</v>
      </c>
      <c r="BE47" s="39">
        <f t="shared" si="13"/>
        <v>1.0619860729952337</v>
      </c>
      <c r="BF47" s="39">
        <f>BE47/MAX($BE$39:BE47) - 1</f>
        <v>0</v>
      </c>
      <c r="BG47" s="39">
        <f t="shared" si="14"/>
        <v>1.0621146157785115</v>
      </c>
      <c r="BH47" s="39">
        <f>BG47/MAX($BG$39:BG47) - 1</f>
        <v>0</v>
      </c>
      <c r="BI47" s="39">
        <f t="shared" si="15"/>
        <v>1.0654101497915089</v>
      </c>
      <c r="BJ47" s="39">
        <f>BI47/MAX($BI$39:BI47) - 1</f>
        <v>0</v>
      </c>
    </row>
    <row r="48" spans="1:62" x14ac:dyDescent="0.2">
      <c r="A48" s="1">
        <v>39386</v>
      </c>
      <c r="B48" s="97">
        <v>1.0102321154303651E-2</v>
      </c>
      <c r="C48" s="97">
        <v>7.1336623042265623E-2</v>
      </c>
      <c r="D48" s="97">
        <v>-1.8156305317648891E-2</v>
      </c>
      <c r="E48" s="97">
        <v>3.2576309155573968E-2</v>
      </c>
      <c r="F48" s="97">
        <v>1.4191868696696641E-2</v>
      </c>
      <c r="H48" s="123" t="s">
        <v>164</v>
      </c>
      <c r="X48" s="1">
        <v>39386</v>
      </c>
      <c r="Y48" s="97">
        <f t="shared" si="11"/>
        <v>1.9348662200198253E-2</v>
      </c>
      <c r="Z48" s="97">
        <v>1.9160557287533322E-2</v>
      </c>
      <c r="AA48" s="97">
        <v>1.9483743986520492E-2</v>
      </c>
      <c r="AB48" s="97">
        <f t="shared" si="9"/>
        <v>2.4922697265648486E-2</v>
      </c>
      <c r="AC48" s="102">
        <f t="shared" si="12"/>
        <v>108.25340827829338</v>
      </c>
      <c r="AD48" s="102">
        <f t="shared" si="10"/>
        <v>108.2465323720062</v>
      </c>
      <c r="AE48" s="102">
        <f t="shared" si="10"/>
        <v>108.61683283906873</v>
      </c>
      <c r="AF48" s="102">
        <f t="shared" si="10"/>
        <v>112.23594977903829</v>
      </c>
      <c r="AJ48" s="97">
        <v>1.6299287191395395E-2</v>
      </c>
      <c r="AK48" s="97">
        <v>3.0671637315150546E-2</v>
      </c>
      <c r="BD48" s="1">
        <v>39386</v>
      </c>
      <c r="BE48" s="39">
        <f t="shared" si="13"/>
        <v>1.0825340827829335</v>
      </c>
      <c r="BF48" s="39">
        <f>BE48/MAX($BE$39:BE48) - 1</f>
        <v>0</v>
      </c>
      <c r="BG48" s="39">
        <f t="shared" si="14"/>
        <v>1.0824653237200621</v>
      </c>
      <c r="BH48" s="39">
        <f>BG48/MAX($BG$39:BG48) - 1</f>
        <v>0</v>
      </c>
      <c r="BI48" s="39">
        <f t="shared" si="15"/>
        <v>1.0861683283906871</v>
      </c>
      <c r="BJ48" s="39">
        <f>BI48/MAX($BI$39:BI48) - 1</f>
        <v>0</v>
      </c>
    </row>
    <row r="49" spans="1:62" x14ac:dyDescent="0.2">
      <c r="A49" s="1">
        <v>39416</v>
      </c>
      <c r="B49" s="97">
        <v>1.7432646592709933E-2</v>
      </c>
      <c r="C49" s="97">
        <v>-8.0204265545208764E-2</v>
      </c>
      <c r="D49" s="97">
        <v>-7.5402067574619314E-2</v>
      </c>
      <c r="E49" s="97">
        <v>-8.9239256490659669E-3</v>
      </c>
      <c r="F49" s="97">
        <v>4.4004393161488187E-2</v>
      </c>
      <c r="H49" s="93" t="s">
        <v>241</v>
      </c>
      <c r="I49" s="94" t="s">
        <v>242</v>
      </c>
      <c r="J49" s="94" t="s">
        <v>243</v>
      </c>
      <c r="X49" s="1">
        <v>39416</v>
      </c>
      <c r="Y49" s="97">
        <f t="shared" si="11"/>
        <v>5.0571749898327828E-3</v>
      </c>
      <c r="Z49" s="97">
        <v>6.1106392623424353E-3</v>
      </c>
      <c r="AA49" s="97">
        <v>5.2601739707227781E-3</v>
      </c>
      <c r="AB49" s="97">
        <f t="shared" si="9"/>
        <v>-1.6881348039848088E-2</v>
      </c>
      <c r="AC49" s="102">
        <f t="shared" si="12"/>
        <v>108.80086470720251</v>
      </c>
      <c r="AD49" s="102">
        <f t="shared" si="10"/>
        <v>108.90798788273101</v>
      </c>
      <c r="AE49" s="102">
        <f t="shared" si="10"/>
        <v>109.18817627595115</v>
      </c>
      <c r="AF49" s="102">
        <f t="shared" si="10"/>
        <v>110.34125564823543</v>
      </c>
      <c r="AJ49" s="97">
        <v>1.9110524799121453E-2</v>
      </c>
      <c r="AK49" s="97">
        <v>-4.0875929932494448E-2</v>
      </c>
      <c r="BD49" s="1">
        <v>39416</v>
      </c>
      <c r="BE49" s="39">
        <f t="shared" si="13"/>
        <v>1.0880086470720249</v>
      </c>
      <c r="BF49" s="39">
        <f>BE49/MAX($BE$39:BE49) - 1</f>
        <v>0</v>
      </c>
      <c r="BG49" s="39">
        <f t="shared" si="14"/>
        <v>1.0890798788273102</v>
      </c>
      <c r="BH49" s="39">
        <f>BG49/MAX($BG$39:BG49) - 1</f>
        <v>0</v>
      </c>
      <c r="BI49" s="39">
        <f t="shared" si="15"/>
        <v>1.0918817627595112</v>
      </c>
      <c r="BJ49" s="39">
        <f>BI49/MAX($BI$39:BI49) - 1</f>
        <v>0</v>
      </c>
    </row>
    <row r="50" spans="1:62" x14ac:dyDescent="0.2">
      <c r="A50" s="1">
        <v>39447</v>
      </c>
      <c r="B50" s="97">
        <v>2.8346103112457666E-3</v>
      </c>
      <c r="C50" s="97">
        <v>1.5131722185935059E-2</v>
      </c>
      <c r="D50" s="97">
        <v>-4.563643389568528E-2</v>
      </c>
      <c r="E50" s="97">
        <v>9.8463949227847181E-3</v>
      </c>
      <c r="F50" s="97">
        <v>-2.008935644348564E-3</v>
      </c>
      <c r="H50" s="126">
        <f>SUMPRODUCT(H39:L39,H44:L44)</f>
        <v>7.165871065763444E-4</v>
      </c>
      <c r="I50" s="127">
        <f>SUMPRODUCT(H39:L39,H45:L45)</f>
        <v>5.7580694004594419E-4</v>
      </c>
      <c r="J50" s="128">
        <f>SUMPRODUCT(H39:L39,H46:L46)</f>
        <v>-6.6916118010115224E-4</v>
      </c>
      <c r="X50" s="1">
        <v>39447</v>
      </c>
      <c r="Y50" s="97">
        <f t="shared" si="11"/>
        <v>1.8663195612543678E-3</v>
      </c>
      <c r="Z50" s="97">
        <v>1.3704748913735171E-3</v>
      </c>
      <c r="AA50" s="97">
        <v>-1.2829125579147803E-3</v>
      </c>
      <c r="AB50" s="97">
        <f t="shared" si="9"/>
        <v>-8.9331932787651835E-3</v>
      </c>
      <c r="AC50" s="102">
        <f t="shared" si="12"/>
        <v>109.00392188928694</v>
      </c>
      <c r="AD50" s="102">
        <f t="shared" si="10"/>
        <v>109.05724354559429</v>
      </c>
      <c r="AE50" s="102">
        <f t="shared" si="10"/>
        <v>109.04809739343092</v>
      </c>
      <c r="AF50" s="102">
        <f t="shared" si="10"/>
        <v>109.3555558849081</v>
      </c>
      <c r="AJ50" s="97">
        <v>-2.9812829750922587E-3</v>
      </c>
      <c r="AK50" s="97">
        <v>-1.29011334812138E-2</v>
      </c>
      <c r="BD50" s="1">
        <v>39447</v>
      </c>
      <c r="BE50" s="39">
        <f t="shared" si="13"/>
        <v>1.0900392188928691</v>
      </c>
      <c r="BF50" s="39">
        <f>BE50/MAX($BE$39:BE50) - 1</f>
        <v>0</v>
      </c>
      <c r="BG50" s="39">
        <f t="shared" si="14"/>
        <v>1.090572435455943</v>
      </c>
      <c r="BH50" s="39">
        <f>BG50/MAX($BG$39:BG50) - 1</f>
        <v>0</v>
      </c>
      <c r="BI50" s="39">
        <f t="shared" si="15"/>
        <v>1.0904809739343089</v>
      </c>
      <c r="BJ50" s="39">
        <f>BI50/MAX($BI$39:BI50) - 1</f>
        <v>-1.2829125579147949E-3</v>
      </c>
    </row>
    <row r="51" spans="1:62" x14ac:dyDescent="0.2">
      <c r="A51" s="1">
        <v>39478</v>
      </c>
      <c r="B51" s="97">
        <v>1.8456845404679401E-2</v>
      </c>
      <c r="C51" s="97">
        <v>-0.12504021447721181</v>
      </c>
      <c r="D51" s="97">
        <v>9.2744481175928595E-2</v>
      </c>
      <c r="E51" s="97">
        <v>1.0826494312505597E-2</v>
      </c>
      <c r="F51" s="97">
        <v>4.5834973774114385E-2</v>
      </c>
      <c r="X51" s="1">
        <v>39478</v>
      </c>
      <c r="Y51" s="97">
        <f t="shared" si="11"/>
        <v>1.6068650476037165E-2</v>
      </c>
      <c r="Z51" s="97">
        <v>1.6699408135829992E-2</v>
      </c>
      <c r="AA51" s="97">
        <v>1.9937983375471532E-2</v>
      </c>
      <c r="AB51" s="97">
        <f t="shared" si="9"/>
        <v>-3.4740247965787625E-2</v>
      </c>
      <c r="AC51" s="102">
        <f t="shared" si="12"/>
        <v>110.75546781064315</v>
      </c>
      <c r="AD51" s="102">
        <f t="shared" si="10"/>
        <v>110.87843496573079</v>
      </c>
      <c r="AE51" s="102">
        <f t="shared" si="10"/>
        <v>111.22229654638795</v>
      </c>
      <c r="AF51" s="102">
        <f t="shared" si="10"/>
        <v>105.55651675702984</v>
      </c>
      <c r="AJ51" s="97">
        <v>2.7778826626435604E-2</v>
      </c>
      <c r="AK51" s="97">
        <v>-7.6419631027269785E-2</v>
      </c>
      <c r="BD51" s="1">
        <v>39478</v>
      </c>
      <c r="BE51" s="39">
        <f t="shared" si="13"/>
        <v>1.1075546781064314</v>
      </c>
      <c r="BF51" s="39">
        <f>BE51/MAX($BE$39:BE51) - 1</f>
        <v>0</v>
      </c>
      <c r="BG51" s="39">
        <f t="shared" si="14"/>
        <v>1.108784349657308</v>
      </c>
      <c r="BH51" s="39">
        <f>BG51/MAX($BG$39:BG51) - 1</f>
        <v>0</v>
      </c>
      <c r="BI51" s="39">
        <f t="shared" si="15"/>
        <v>1.1122229654638791</v>
      </c>
      <c r="BJ51" s="39">
        <f>BI51/MAX($BI$39:BI51) - 1</f>
        <v>0</v>
      </c>
    </row>
    <row r="52" spans="1:62" x14ac:dyDescent="0.2">
      <c r="A52" s="1">
        <v>39507</v>
      </c>
      <c r="B52" s="97">
        <v>1.6487366555373306E-4</v>
      </c>
      <c r="C52" s="97">
        <v>-4.0446133104547144E-2</v>
      </c>
      <c r="D52" s="97">
        <v>0.14480769746448785</v>
      </c>
      <c r="E52" s="97">
        <v>4.2192467737109718E-2</v>
      </c>
      <c r="F52" s="97">
        <v>1.8889347646573018E-2</v>
      </c>
      <c r="X52" s="1">
        <v>39507</v>
      </c>
      <c r="Y52" s="97">
        <f t="shared" si="11"/>
        <v>1.8872961940945853E-2</v>
      </c>
      <c r="Z52" s="97">
        <v>1.7854436597568493E-2</v>
      </c>
      <c r="AA52" s="97">
        <v>2.1181146542863745E-2</v>
      </c>
      <c r="AB52" s="97">
        <f t="shared" si="9"/>
        <v>3.2182937102243742E-3</v>
      </c>
      <c r="AC52" s="102">
        <f t="shared" si="12"/>
        <v>112.84575153938506</v>
      </c>
      <c r="AD52" s="102">
        <f t="shared" si="10"/>
        <v>112.85810695286406</v>
      </c>
      <c r="AE52" s="102">
        <f t="shared" si="10"/>
        <v>113.57811230837085</v>
      </c>
      <c r="AF52" s="102">
        <f t="shared" si="10"/>
        <v>105.89622863098218</v>
      </c>
      <c r="AJ52" s="97">
        <v>1.67274975589633E-2</v>
      </c>
      <c r="AK52" s="97">
        <v>-5.7878421889349108E-3</v>
      </c>
      <c r="BD52" s="1">
        <v>39507</v>
      </c>
      <c r="BE52" s="39">
        <f t="shared" si="13"/>
        <v>1.1284575153938505</v>
      </c>
      <c r="BF52" s="39">
        <f>BE52/MAX($BE$39:BE52) - 1</f>
        <v>0</v>
      </c>
      <c r="BG52" s="39">
        <f t="shared" si="14"/>
        <v>1.1285810695286407</v>
      </c>
      <c r="BH52" s="39">
        <f>BG52/MAX($BG$39:BG52) - 1</f>
        <v>0</v>
      </c>
      <c r="BI52" s="39">
        <f t="shared" si="15"/>
        <v>1.135781123083708</v>
      </c>
      <c r="BJ52" s="39">
        <f>BI52/MAX($BI$39:BI52) - 1</f>
        <v>0</v>
      </c>
    </row>
    <row r="53" spans="1:62" x14ac:dyDescent="0.2">
      <c r="A53" s="1">
        <v>39538</v>
      </c>
      <c r="B53" s="97">
        <v>5.6185177553402799E-3</v>
      </c>
      <c r="C53" s="97">
        <v>9.4520372972282107E-3</v>
      </c>
      <c r="D53" s="97">
        <v>-4.6352863515858767E-2</v>
      </c>
      <c r="E53" s="97">
        <v>-1.221171641582508E-2</v>
      </c>
      <c r="F53" s="97">
        <v>6.793518744748539E-3</v>
      </c>
      <c r="X53" s="1">
        <v>39538</v>
      </c>
      <c r="Y53" s="97">
        <f t="shared" si="11"/>
        <v>-8.2105071494587641E-4</v>
      </c>
      <c r="Z53" s="97">
        <v>8.5441055863116335E-5</v>
      </c>
      <c r="AA53" s="97">
        <v>1.5823618910504791E-3</v>
      </c>
      <c r="AB53" s="97">
        <f t="shared" si="9"/>
        <v>2.4088183356655093E-3</v>
      </c>
      <c r="AC53" s="102">
        <f t="shared" si="12"/>
        <v>112.75309945440505</v>
      </c>
      <c r="AD53" s="102">
        <f t="shared" si="10"/>
        <v>112.86774966868482</v>
      </c>
      <c r="AE53" s="102">
        <f t="shared" si="10"/>
        <v>113.75783398494507</v>
      </c>
      <c r="AF53" s="102">
        <f t="shared" si="10"/>
        <v>106.15131340818631</v>
      </c>
      <c r="AJ53" s="97">
        <v>2.039968566454764E-2</v>
      </c>
      <c r="AK53" s="97">
        <v>-9.58509321692258E-3</v>
      </c>
      <c r="BD53" s="1">
        <v>39538</v>
      </c>
      <c r="BE53" s="39">
        <f t="shared" si="13"/>
        <v>1.1275309945440504</v>
      </c>
      <c r="BF53" s="39">
        <f>BE53/MAX($BE$39:BE53) - 1</f>
        <v>-8.2105071494587012E-4</v>
      </c>
      <c r="BG53" s="39">
        <f t="shared" si="14"/>
        <v>1.1286774966868482</v>
      </c>
      <c r="BH53" s="39">
        <f>BG53/MAX($BG$39:BG53) - 1</f>
        <v>0</v>
      </c>
      <c r="BI53" s="39">
        <f t="shared" si="15"/>
        <v>1.1375783398494501</v>
      </c>
      <c r="BJ53" s="39">
        <f>BI53/MAX($BI$39:BI53) - 1</f>
        <v>0</v>
      </c>
    </row>
    <row r="54" spans="1:62" x14ac:dyDescent="0.2">
      <c r="A54" s="1">
        <v>39568</v>
      </c>
      <c r="B54" s="97">
        <v>9.5623189989635371E-4</v>
      </c>
      <c r="C54" s="97">
        <v>6.9214222447171903E-2</v>
      </c>
      <c r="D54" s="97">
        <v>-1.4643393837627583E-2</v>
      </c>
      <c r="E54" s="97">
        <v>-3.2812755284550299E-4</v>
      </c>
      <c r="F54" s="97">
        <v>-2.8683551646374372E-2</v>
      </c>
      <c r="X54" s="1">
        <v>39568</v>
      </c>
      <c r="Y54" s="97">
        <f t="shared" si="11"/>
        <v>-1.6785343429336795E-3</v>
      </c>
      <c r="Z54" s="97">
        <v>-2.1263869199601194E-4</v>
      </c>
      <c r="AA54" s="97">
        <v>-5.1781326812584891E-3</v>
      </c>
      <c r="AB54" s="97">
        <f t="shared" si="9"/>
        <v>2.3899787294829802E-2</v>
      </c>
      <c r="AC54" s="102">
        <f t="shared" si="12"/>
        <v>112.56383950469862</v>
      </c>
      <c r="AD54" s="102">
        <f t="shared" si="10"/>
        <v>112.84374961802673</v>
      </c>
      <c r="AE54" s="102">
        <f t="shared" si="10"/>
        <v>113.16878082703845</v>
      </c>
      <c r="AF54" s="102">
        <f t="shared" si="10"/>
        <v>108.68830721970879</v>
      </c>
      <c r="AJ54" s="97">
        <v>-1.9087691797609496E-2</v>
      </c>
      <c r="AK54" s="97">
        <v>5.255810668978933E-2</v>
      </c>
      <c r="BD54" s="1">
        <v>39568</v>
      </c>
      <c r="BE54" s="39">
        <f t="shared" si="13"/>
        <v>1.1256383950469862</v>
      </c>
      <c r="BF54" s="39">
        <f>BE54/MAX($BE$39:BE54) - 1</f>
        <v>-2.4982068960570647E-3</v>
      </c>
      <c r="BG54" s="39">
        <f t="shared" si="14"/>
        <v>1.1284374961802675</v>
      </c>
      <c r="BH54" s="39">
        <f>BG54/MAX($BG$39:BG54) - 1</f>
        <v>-2.1263869199594776E-4</v>
      </c>
      <c r="BI54" s="39">
        <f t="shared" si="15"/>
        <v>1.1316878082703841</v>
      </c>
      <c r="BJ54" s="39">
        <f>BI54/MAX($BI$39:BI54) - 1</f>
        <v>-5.1781326812583295E-3</v>
      </c>
    </row>
    <row r="55" spans="1:62" x14ac:dyDescent="0.2">
      <c r="A55" s="1">
        <v>39598</v>
      </c>
      <c r="B55" s="97">
        <v>-5.302017086551869E-3</v>
      </c>
      <c r="C55" s="97">
        <v>5.5621301775147902E-2</v>
      </c>
      <c r="D55" s="97">
        <v>-6.7939604204954152E-2</v>
      </c>
      <c r="E55" s="97">
        <v>1.20455535578603E-2</v>
      </c>
      <c r="F55" s="97">
        <v>5.3625511118151614E-3</v>
      </c>
      <c r="X55" s="1">
        <v>39598</v>
      </c>
      <c r="Y55" s="97">
        <f t="shared" si="11"/>
        <v>2.3439359513932412E-3</v>
      </c>
      <c r="Z55" s="97">
        <v>3.4885684729452976E-3</v>
      </c>
      <c r="AA55" s="97">
        <v>1.0626584320381537E-2</v>
      </c>
      <c r="AB55" s="97">
        <f t="shared" si="9"/>
        <v>4.7261078683851652E-3</v>
      </c>
      <c r="AC55" s="102">
        <f t="shared" si="12"/>
        <v>112.82768193494054</v>
      </c>
      <c r="AD55" s="102">
        <f t="shared" si="12"/>
        <v>113.23741276531312</v>
      </c>
      <c r="AE55" s="102">
        <f t="shared" si="12"/>
        <v>114.37137841893174</v>
      </c>
      <c r="AF55" s="102">
        <f t="shared" si="12"/>
        <v>109.20197988366131</v>
      </c>
      <c r="AJ55" s="97">
        <v>-1.1057650010709796E-2</v>
      </c>
      <c r="AK55" s="97">
        <v>1.524861312111514E-2</v>
      </c>
      <c r="BD55" s="1">
        <v>39598</v>
      </c>
      <c r="BE55" s="39">
        <f t="shared" si="13"/>
        <v>1.1282768193494055</v>
      </c>
      <c r="BF55" s="39">
        <f>BE55/MAX($BE$39:BE55) - 1</f>
        <v>-1.6012658162145588E-4</v>
      </c>
      <c r="BG55" s="39">
        <f t="shared" si="14"/>
        <v>1.1323741276531314</v>
      </c>
      <c r="BH55" s="39">
        <f>BG55/MAX($BG$39:BG55) - 1</f>
        <v>0</v>
      </c>
      <c r="BI55" s="39">
        <f t="shared" si="15"/>
        <v>1.143713784189317</v>
      </c>
      <c r="BJ55" s="39">
        <f>BI55/MAX($BI$39:BI55) - 1</f>
        <v>0</v>
      </c>
    </row>
    <row r="56" spans="1:62" x14ac:dyDescent="0.2">
      <c r="A56" s="1">
        <v>39629</v>
      </c>
      <c r="B56" s="97">
        <v>-5.6938622908531134E-4</v>
      </c>
      <c r="C56" s="97">
        <v>-9.2488789237668123E-2</v>
      </c>
      <c r="D56" s="97">
        <v>4.7934880916490785E-2</v>
      </c>
      <c r="E56" s="97">
        <v>1.1923114538996415E-2</v>
      </c>
      <c r="F56" s="97">
        <v>1.5995781332395875E-2</v>
      </c>
      <c r="X56" s="1">
        <v>39629</v>
      </c>
      <c r="Y56" s="97">
        <f t="shared" si="11"/>
        <v>1.9267242279730375E-3</v>
      </c>
      <c r="Z56" s="97">
        <v>-2.0944151215570228E-3</v>
      </c>
      <c r="AA56" s="97">
        <v>-7.3790790460054202E-3</v>
      </c>
      <c r="AB56" s="97">
        <f t="shared" si="9"/>
        <v>-4.751396372867258E-2</v>
      </c>
      <c r="AC56" s="102">
        <f t="shared" ref="AC56:AF71" si="16">AC55*(1+Y56)</f>
        <v>113.04506976331062</v>
      </c>
      <c r="AD56" s="102">
        <f t="shared" si="16"/>
        <v>113.00024661569145</v>
      </c>
      <c r="AE56" s="102">
        <f t="shared" si="16"/>
        <v>113.52742297697785</v>
      </c>
      <c r="AF56" s="102">
        <f t="shared" si="16"/>
        <v>104.0133609723698</v>
      </c>
      <c r="AJ56" s="97">
        <v>8.517583537215323E-4</v>
      </c>
      <c r="AK56" s="97">
        <v>-7.9757778450268657E-2</v>
      </c>
      <c r="BD56" s="1">
        <v>39629</v>
      </c>
      <c r="BE56" s="39">
        <f t="shared" si="13"/>
        <v>1.1304506976331063</v>
      </c>
      <c r="BF56" s="39">
        <f>BE56/MAX($BE$39:BE56) - 1</f>
        <v>0</v>
      </c>
      <c r="BG56" s="39">
        <f t="shared" si="14"/>
        <v>1.1300024661569148</v>
      </c>
      <c r="BH56" s="39">
        <f>BG56/MAX($BG$39:BG56) - 1</f>
        <v>-2.0944151215569473E-3</v>
      </c>
      <c r="BI56" s="39">
        <f t="shared" si="15"/>
        <v>1.135274229769778</v>
      </c>
      <c r="BJ56" s="39">
        <f>BI56/MAX($BI$39:BI56) - 1</f>
        <v>-7.3790790460054323E-3</v>
      </c>
    </row>
    <row r="57" spans="1:62" x14ac:dyDescent="0.2">
      <c r="A57" s="1">
        <v>39660</v>
      </c>
      <c r="B57" s="97">
        <v>-1.3933886112790228E-3</v>
      </c>
      <c r="C57" s="97">
        <v>-1.2476837554045717E-2</v>
      </c>
      <c r="D57" s="97">
        <v>-5.8785589665540705E-2</v>
      </c>
      <c r="E57" s="97">
        <v>-2.6237454050332176E-2</v>
      </c>
      <c r="F57" s="97">
        <v>-8.340293521059472E-3</v>
      </c>
      <c r="X57" s="1">
        <v>39660</v>
      </c>
      <c r="Y57" s="97">
        <f t="shared" si="11"/>
        <v>-1.2633026910620949E-2</v>
      </c>
      <c r="Z57" s="97">
        <v>-1.1906892225578862E-2</v>
      </c>
      <c r="AA57" s="97">
        <v>-1.44492823523697E-2</v>
      </c>
      <c r="AB57" s="97">
        <f t="shared" si="9"/>
        <v>-1.4109520714816946E-2</v>
      </c>
      <c r="AC57" s="102">
        <f t="shared" si="16"/>
        <v>111.6169683548777</v>
      </c>
      <c r="AD57" s="102">
        <f t="shared" si="16"/>
        <v>111.65476485777458</v>
      </c>
      <c r="AE57" s="102">
        <f t="shared" si="16"/>
        <v>111.88703318764658</v>
      </c>
      <c r="AF57" s="102">
        <f t="shared" si="16"/>
        <v>102.54578230111241</v>
      </c>
      <c r="AJ57" s="97">
        <v>1.3773233889398107E-3</v>
      </c>
      <c r="AK57" s="97">
        <v>-2.4434083450654787E-2</v>
      </c>
      <c r="BD57" s="1">
        <v>39660</v>
      </c>
      <c r="BE57" s="39">
        <f t="shared" si="13"/>
        <v>1.1161696835487771</v>
      </c>
      <c r="BF57" s="39">
        <f>BE57/MAX($BE$39:BE57) - 1</f>
        <v>-1.2633026910620959E-2</v>
      </c>
      <c r="BG57" s="39">
        <f t="shared" si="14"/>
        <v>1.1165476485777461</v>
      </c>
      <c r="BH57" s="39">
        <f>BG57/MAX($BG$39:BG57) - 1</f>
        <v>-1.3976369372007746E-2</v>
      </c>
      <c r="BI57" s="39">
        <f t="shared" si="15"/>
        <v>1.1188703318764655</v>
      </c>
      <c r="BJ57" s="39">
        <f>BI57/MAX($BI$39:BI57) - 1</f>
        <v>-2.1721739001739016E-2</v>
      </c>
    </row>
    <row r="58" spans="1:62" x14ac:dyDescent="0.2">
      <c r="A58" s="1">
        <v>39689</v>
      </c>
      <c r="B58" s="97">
        <v>1.2509880743719393E-2</v>
      </c>
      <c r="C58" s="97">
        <v>2.1391043282461997E-2</v>
      </c>
      <c r="D58" s="97">
        <v>-6.2854029964060754E-2</v>
      </c>
      <c r="E58" s="97">
        <v>-1.1787224054501944E-2</v>
      </c>
      <c r="F58" s="97">
        <v>1.2032101647194704E-2</v>
      </c>
      <c r="M58" s="39">
        <f>SUM(H44:L44)</f>
        <v>1</v>
      </c>
      <c r="X58" s="1">
        <v>39689</v>
      </c>
      <c r="Y58" s="97">
        <f t="shared" si="11"/>
        <v>3.3132305116290836E-3</v>
      </c>
      <c r="Z58" s="97">
        <v>5.1478983696486968E-3</v>
      </c>
      <c r="AA58" s="97">
        <v>7.0153837389596799E-3</v>
      </c>
      <c r="AB58" s="97">
        <f t="shared" si="9"/>
        <v>-1.5040691797753646E-2</v>
      </c>
      <c r="AC58" s="102">
        <f t="shared" si="16"/>
        <v>111.98678110004661</v>
      </c>
      <c r="AD58" s="102">
        <f t="shared" si="16"/>
        <v>112.22955223974942</v>
      </c>
      <c r="AE58" s="102">
        <f t="shared" si="16"/>
        <v>112.67196366087164</v>
      </c>
      <c r="AF58" s="102">
        <f t="shared" si="16"/>
        <v>101.00342279436184</v>
      </c>
      <c r="AJ58" s="97">
        <v>-1.6528350348578802E-2</v>
      </c>
      <c r="AK58" s="97">
        <v>-1.4048919430536877E-2</v>
      </c>
      <c r="BD58" s="1">
        <v>39689</v>
      </c>
      <c r="BE58" s="39">
        <f t="shared" si="13"/>
        <v>1.1198678110004663</v>
      </c>
      <c r="BF58" s="39">
        <f>BE58/MAX($BE$39:BE58) - 1</f>
        <v>-9.361652529206399E-3</v>
      </c>
      <c r="BG58" s="39">
        <f t="shared" si="14"/>
        <v>1.1222955223974946</v>
      </c>
      <c r="BH58" s="39">
        <f>BG58/MAX($BG$39:BG58) - 1</f>
        <v>-8.900419931462844E-3</v>
      </c>
      <c r="BI58" s="39">
        <f t="shared" si="15"/>
        <v>1.126719636608716</v>
      </c>
      <c r="BJ58" s="39">
        <f>BI58/MAX($BI$39:BI58) - 1</f>
        <v>-1.4858741597354008E-2</v>
      </c>
    </row>
    <row r="59" spans="1:62" x14ac:dyDescent="0.2">
      <c r="A59" s="1">
        <v>39721</v>
      </c>
      <c r="B59" s="97">
        <v>7.5218084925834372E-3</v>
      </c>
      <c r="C59" s="97">
        <v>-0.12725045927740353</v>
      </c>
      <c r="D59" s="97">
        <v>-0.1329293216233064</v>
      </c>
      <c r="E59" s="97">
        <v>-1.2144327791636989E-2</v>
      </c>
      <c r="F59" s="97">
        <v>-4.1338231622498833E-2</v>
      </c>
      <c r="X59" s="1">
        <v>39721</v>
      </c>
      <c r="Y59" s="97">
        <f t="shared" si="11"/>
        <v>-2.4700286632827376E-2</v>
      </c>
      <c r="Z59" s="97">
        <v>-2.8648360759091024E-2</v>
      </c>
      <c r="AA59" s="97">
        <v>-7.0885408327335822E-2</v>
      </c>
      <c r="AB59" s="97">
        <f t="shared" si="9"/>
        <v>-8.0772892694240858E-2</v>
      </c>
      <c r="AC59" s="102">
        <f t="shared" si="16"/>
        <v>109.22067550778776</v>
      </c>
      <c r="AD59" s="102">
        <f t="shared" si="16"/>
        <v>109.01435953935383</v>
      </c>
      <c r="AE59" s="102">
        <f t="shared" si="16"/>
        <v>104.68516550972801</v>
      </c>
      <c r="AF59" s="102">
        <f t="shared" si="16"/>
        <v>92.845084163241808</v>
      </c>
      <c r="AJ59" s="97">
        <v>-2.352781095671086E-2</v>
      </c>
      <c r="AK59" s="97">
        <v>-0.11893628051926086</v>
      </c>
      <c r="BD59" s="1">
        <v>39721</v>
      </c>
      <c r="BE59" s="39">
        <f t="shared" si="13"/>
        <v>1.0922067550778778</v>
      </c>
      <c r="BF59" s="39">
        <f>BE59/MAX($BE$39:BE59) - 1</f>
        <v>-3.3830703661205441E-2</v>
      </c>
      <c r="BG59" s="39">
        <f t="shared" si="14"/>
        <v>1.0901435953935386</v>
      </c>
      <c r="BH59" s="39">
        <f>BG59/MAX($BG$39:BG59) - 1</f>
        <v>-3.7293798249450005E-2</v>
      </c>
      <c r="BI59" s="39">
        <f t="shared" si="15"/>
        <v>1.0468516550972797</v>
      </c>
      <c r="BJ59" s="39">
        <f>BI59/MAX($BI$39:BI59) - 1</f>
        <v>-8.4690881959331055E-2</v>
      </c>
    </row>
    <row r="60" spans="1:62" x14ac:dyDescent="0.2">
      <c r="A60" s="1">
        <v>39752</v>
      </c>
      <c r="B60" s="97">
        <v>-1.2566284624662361E-2</v>
      </c>
      <c r="C60" s="97">
        <v>-0.17793993825428023</v>
      </c>
      <c r="D60" s="97">
        <v>-0.26884656103916593</v>
      </c>
      <c r="E60" s="97">
        <v>1.6317118143144516E-2</v>
      </c>
      <c r="F60" s="97">
        <v>-9.4290249770568213E-2</v>
      </c>
      <c r="X60" s="1">
        <v>39752</v>
      </c>
      <c r="Y60" s="97">
        <f t="shared" si="11"/>
        <v>-4.8357923528342443E-2</v>
      </c>
      <c r="Z60" s="97">
        <v>-4.4982355187533754E-2</v>
      </c>
      <c r="AA60" s="97">
        <v>-4.2786210071146656E-2</v>
      </c>
      <c r="AB60" s="97">
        <f t="shared" si="9"/>
        <v>-0.12850527861662525</v>
      </c>
      <c r="AC60" s="102">
        <f t="shared" si="16"/>
        <v>103.93899043386826</v>
      </c>
      <c r="AD60" s="102">
        <f t="shared" si="16"/>
        <v>104.11063689801311</v>
      </c>
      <c r="AE60" s="102">
        <f t="shared" si="16"/>
        <v>100.20608402689602</v>
      </c>
      <c r="AF60" s="102">
        <f t="shared" si="16"/>
        <v>80.914000754660407</v>
      </c>
      <c r="AJ60" s="97">
        <v>-3.686211424561181E-2</v>
      </c>
      <c r="AK60" s="97">
        <v>-0.18960072153063423</v>
      </c>
      <c r="BD60" s="1">
        <v>39752</v>
      </c>
      <c r="BE60" s="39">
        <f t="shared" si="13"/>
        <v>1.0393899043386827</v>
      </c>
      <c r="BF60" s="39">
        <f>BE60/MAX($BE$39:BE60) - 1</f>
        <v>-8.0552644608989254E-2</v>
      </c>
      <c r="BG60" s="39">
        <f t="shared" si="14"/>
        <v>1.0411063689801312</v>
      </c>
      <c r="BH60" s="39">
        <f>BG60/MAX($BG$39:BG60) - 1</f>
        <v>-8.0598590557834915E-2</v>
      </c>
      <c r="BI60" s="39">
        <f t="shared" si="15"/>
        <v>1.0020608402689599</v>
      </c>
      <c r="BJ60" s="39">
        <f>BI60/MAX($BI$39:BI60) - 1</f>
        <v>-0.12385349016385516</v>
      </c>
    </row>
    <row r="61" spans="1:62" x14ac:dyDescent="0.2">
      <c r="A61" s="1">
        <v>39780</v>
      </c>
      <c r="B61" s="97">
        <v>3.9284057100745118E-2</v>
      </c>
      <c r="C61" s="97">
        <v>-0.11283714578354387</v>
      </c>
      <c r="D61" s="97">
        <v>-0.10498954460966547</v>
      </c>
      <c r="E61" s="97">
        <v>7.3284540037825696E-3</v>
      </c>
      <c r="F61" s="97">
        <v>1.5157946625405705E-2</v>
      </c>
      <c r="X61" s="1">
        <v>39780</v>
      </c>
      <c r="Y61" s="97">
        <f t="shared" si="11"/>
        <v>8.0176831353058146E-3</v>
      </c>
      <c r="Z61" s="97">
        <v>1.4103947138562842E-2</v>
      </c>
      <c r="AA61" s="97">
        <v>2.1041096625391126E-2</v>
      </c>
      <c r="AB61" s="97">
        <f t="shared" si="9"/>
        <v>-2.727117468175997E-2</v>
      </c>
      <c r="AC61" s="102">
        <f t="shared" si="16"/>
        <v>104.77234032457059</v>
      </c>
      <c r="AD61" s="102">
        <f t="shared" si="16"/>
        <v>105.57900781738481</v>
      </c>
      <c r="AE61" s="102">
        <f t="shared" si="16"/>
        <v>102.31452992335799</v>
      </c>
      <c r="AF61" s="102">
        <f t="shared" si="16"/>
        <v>78.707380905880001</v>
      </c>
      <c r="AJ61" s="97">
        <v>2.8915086290507208E-2</v>
      </c>
      <c r="AK61" s="97">
        <v>-6.4728681996604753E-2</v>
      </c>
      <c r="BD61" s="1">
        <v>39780</v>
      </c>
      <c r="BE61" s="39">
        <f t="shared" si="13"/>
        <v>1.0477234032457061</v>
      </c>
      <c r="BF61" s="39">
        <f>BE61/MAX($BE$39:BE61) - 1</f>
        <v>-7.3180807053869201E-2</v>
      </c>
      <c r="BG61" s="39">
        <f t="shared" si="14"/>
        <v>1.0557900781738481</v>
      </c>
      <c r="BH61" s="39">
        <f>BG61/MAX($BG$39:BG61) - 1</f>
        <v>-6.7631401679942416E-2</v>
      </c>
      <c r="BI61" s="39">
        <f t="shared" si="15"/>
        <v>1.0231452992335797</v>
      </c>
      <c r="BJ61" s="39">
        <f>BI61/MAX($BI$39:BI61) - 1</f>
        <v>-0.10541840679239367</v>
      </c>
    </row>
    <row r="62" spans="1:62" x14ac:dyDescent="0.2">
      <c r="A62" s="1">
        <v>39813</v>
      </c>
      <c r="B62" s="97">
        <v>1.6696759791208438E-2</v>
      </c>
      <c r="C62" s="97">
        <v>1.7317683278814666E-2</v>
      </c>
      <c r="D62" s="97">
        <v>-9.9717688288931461E-2</v>
      </c>
      <c r="E62" s="97">
        <v>1.1127579298419121E-2</v>
      </c>
      <c r="F62" s="97">
        <v>6.1945291213682641E-2</v>
      </c>
      <c r="X62" s="1">
        <v>39813</v>
      </c>
      <c r="Y62" s="97">
        <f t="shared" si="11"/>
        <v>1.9220239691529487E-2</v>
      </c>
      <c r="Z62" s="97">
        <v>1.6642550834084991E-2</v>
      </c>
      <c r="AA62" s="97">
        <v>1.2885097157532895E-2</v>
      </c>
      <c r="AB62" s="97">
        <f t="shared" si="9"/>
        <v>4.4102478176194643E-2</v>
      </c>
      <c r="AC62" s="102">
        <f t="shared" si="16"/>
        <v>106.78608981865135</v>
      </c>
      <c r="AD62" s="102">
        <f t="shared" si="16"/>
        <v>107.33611182199789</v>
      </c>
      <c r="AE62" s="102">
        <f t="shared" si="16"/>
        <v>103.63286258204778</v>
      </c>
      <c r="AF62" s="102">
        <f t="shared" si="16"/>
        <v>82.178571454587015</v>
      </c>
      <c r="AJ62" s="97">
        <v>6.2130939937454999E-2</v>
      </c>
      <c r="AK62" s="97">
        <v>3.208350366868773E-2</v>
      </c>
      <c r="BD62" s="1">
        <v>39813</v>
      </c>
      <c r="BE62" s="39">
        <f t="shared" si="13"/>
        <v>1.0678608981865136</v>
      </c>
      <c r="BF62" s="39">
        <f>BE62/MAX($BE$39:BE62) - 1</f>
        <v>-5.536712001473465E-2</v>
      </c>
      <c r="BG62" s="39">
        <f t="shared" si="14"/>
        <v>1.0733611182199789</v>
      </c>
      <c r="BH62" s="39">
        <f>BG62/MAX($BG$39:BG62) - 1</f>
        <v>-5.2114409886296231E-2</v>
      </c>
      <c r="BI62" s="39">
        <f t="shared" si="15"/>
        <v>1.0363286258204774</v>
      </c>
      <c r="BJ62" s="39">
        <f>BI62/MAX($BI$39:BI62) - 1</f>
        <v>-9.3891636048573091E-2</v>
      </c>
    </row>
    <row r="63" spans="1:62" x14ac:dyDescent="0.2">
      <c r="A63" s="1">
        <v>39843</v>
      </c>
      <c r="B63" s="97">
        <v>1.8921781359786394E-3</v>
      </c>
      <c r="C63" s="97">
        <v>-3.0641195384906283E-2</v>
      </c>
      <c r="D63" s="97">
        <v>-5.6099645740649295E-2</v>
      </c>
      <c r="E63" s="97">
        <v>-9.9477657619539972E-4</v>
      </c>
      <c r="F63" s="97">
        <v>1.1437752840385729E-2</v>
      </c>
      <c r="X63" s="1">
        <v>39843</v>
      </c>
      <c r="Y63" s="97">
        <f t="shared" si="11"/>
        <v>-2.0514061816638922E-3</v>
      </c>
      <c r="Z63" s="97">
        <v>-2.2637368922185193E-3</v>
      </c>
      <c r="AA63" s="97">
        <v>-2.6918799895974989E-3</v>
      </c>
      <c r="AB63" s="97">
        <f t="shared" si="9"/>
        <v>-6.5643894435831962E-2</v>
      </c>
      <c r="AC63" s="102">
        <f t="shared" si="16"/>
        <v>106.56702817388165</v>
      </c>
      <c r="AD63" s="102">
        <f t="shared" si="16"/>
        <v>107.09313110579915</v>
      </c>
      <c r="AE63" s="102">
        <f t="shared" si="16"/>
        <v>103.35389535299845</v>
      </c>
      <c r="AF63" s="102">
        <f t="shared" si="16"/>
        <v>76.784049985134629</v>
      </c>
      <c r="AJ63" s="97">
        <v>-3.2701175380325243E-2</v>
      </c>
      <c r="AK63" s="97">
        <v>-8.7605707139503108E-2</v>
      </c>
      <c r="BD63" s="1">
        <v>39843</v>
      </c>
      <c r="BE63" s="39">
        <f t="shared" si="13"/>
        <v>1.0656702817388166</v>
      </c>
      <c r="BF63" s="39">
        <f>BE63/MAX($BE$39:BE63) - 1</f>
        <v>-5.7304945744139468E-2</v>
      </c>
      <c r="BG63" s="39">
        <f t="shared" si="14"/>
        <v>1.0709313110579914</v>
      </c>
      <c r="BH63" s="39">
        <f>BG63/MAX($BG$39:BG63) - 1</f>
        <v>-5.4260173466239014E-2</v>
      </c>
      <c r="BI63" s="39">
        <f t="shared" si="15"/>
        <v>1.0335389535299842</v>
      </c>
      <c r="BJ63" s="39">
        <f>BI63/MAX($BI$39:BI63) - 1</f>
        <v>-9.6330771021900907E-2</v>
      </c>
    </row>
    <row r="64" spans="1:62" x14ac:dyDescent="0.2">
      <c r="A64" s="1">
        <v>39871</v>
      </c>
      <c r="B64" s="97">
        <v>5.7624999194281212E-3</v>
      </c>
      <c r="C64" s="97">
        <v>-4.1365853658536511E-2</v>
      </c>
      <c r="D64" s="97">
        <v>-1.4510700277666766E-3</v>
      </c>
      <c r="E64" s="97">
        <v>-1.2248652649369252E-3</v>
      </c>
      <c r="F64" s="97">
        <v>-3.5237533121523001E-2</v>
      </c>
      <c r="X64" s="1">
        <v>39871</v>
      </c>
      <c r="Y64" s="97">
        <f t="shared" si="11"/>
        <v>-8.5602087173081483E-3</v>
      </c>
      <c r="Z64" s="97">
        <v>-4.6030223183476911E-3</v>
      </c>
      <c r="AA64" s="97">
        <v>2.9538455792678365E-4</v>
      </c>
      <c r="AB64" s="97">
        <f t="shared" si="9"/>
        <v>-7.0351416931401192E-2</v>
      </c>
      <c r="AC64" s="102">
        <f t="shared" si="16"/>
        <v>105.65479217032997</v>
      </c>
      <c r="AD64" s="102">
        <f t="shared" si="16"/>
        <v>106.60017903317743</v>
      </c>
      <c r="AE64" s="102">
        <f t="shared" si="16"/>
        <v>103.38442449768731</v>
      </c>
      <c r="AF64" s="102">
        <f t="shared" si="16"/>
        <v>71.382183270948872</v>
      </c>
      <c r="AJ64" s="97">
        <v>-2.2339857219173309E-2</v>
      </c>
      <c r="AK64" s="97">
        <v>-0.10235912340621978</v>
      </c>
      <c r="BD64" s="1">
        <v>39871</v>
      </c>
      <c r="BE64" s="39">
        <f t="shared" si="13"/>
        <v>1.0565479217032998</v>
      </c>
      <c r="BF64" s="39">
        <f>BE64/MAX($BE$39:BE64) - 1</f>
        <v>-6.5374612165343682E-2</v>
      </c>
      <c r="BG64" s="39">
        <f t="shared" si="14"/>
        <v>1.0660017903317742</v>
      </c>
      <c r="BH64" s="39">
        <f>BG64/MAX($BG$39:BG64) - 1</f>
        <v>-5.8613434995124059E-2</v>
      </c>
      <c r="BI64" s="39">
        <f t="shared" si="15"/>
        <v>1.0338442449768728</v>
      </c>
      <c r="BJ64" s="39">
        <f>BI64/MAX($BI$39:BI64) - 1</f>
        <v>-9.6063841086187152E-2</v>
      </c>
    </row>
    <row r="65" spans="1:62" x14ac:dyDescent="0.2">
      <c r="A65" s="1">
        <v>39903</v>
      </c>
      <c r="B65" s="97">
        <v>1.4176306597878829E-2</v>
      </c>
      <c r="C65" s="97">
        <v>0.1213108080602483</v>
      </c>
      <c r="D65" s="97">
        <v>0.11037056056641181</v>
      </c>
      <c r="E65" s="97">
        <v>-6.1455318507339651E-3</v>
      </c>
      <c r="F65" s="97">
        <v>7.2092417832736677E-2</v>
      </c>
      <c r="X65" s="1">
        <v>39903</v>
      </c>
      <c r="Y65" s="97">
        <f t="shared" si="11"/>
        <v>3.4463153512161809E-2</v>
      </c>
      <c r="Z65" s="97">
        <v>2.6058019550386044E-2</v>
      </c>
      <c r="AA65" s="97">
        <v>1.8620877945851658E-2</v>
      </c>
      <c r="AB65" s="97">
        <f t="shared" si="9"/>
        <v>5.4450738882733239E-2</v>
      </c>
      <c r="AC65" s="102">
        <f t="shared" si="16"/>
        <v>109.29598949219159</v>
      </c>
      <c r="AD65" s="102">
        <f t="shared" si="16"/>
        <v>109.37796858249862</v>
      </c>
      <c r="AE65" s="102">
        <f t="shared" si="16"/>
        <v>105.30953324776085</v>
      </c>
      <c r="AF65" s="102">
        <f t="shared" si="16"/>
        <v>75.26899589311472</v>
      </c>
      <c r="AJ65" s="97">
        <v>2.3013748583143867E-2</v>
      </c>
      <c r="AK65" s="97">
        <v>7.5408732415792823E-2</v>
      </c>
      <c r="BD65" s="1">
        <v>39903</v>
      </c>
      <c r="BE65" s="39">
        <f t="shared" si="13"/>
        <v>1.0929598949219161</v>
      </c>
      <c r="BF65" s="39">
        <f>BE65/MAX($BE$39:BE65) - 1</f>
        <v>-3.3164473948034123E-2</v>
      </c>
      <c r="BG65" s="39">
        <f t="shared" si="14"/>
        <v>1.0937796858249862</v>
      </c>
      <c r="BH65" s="39">
        <f>BG65/MAX($BG$39:BG65) - 1</f>
        <v>-3.4082765479756194E-2</v>
      </c>
      <c r="BI65" s="39">
        <f t="shared" si="15"/>
        <v>1.0530953324776082</v>
      </c>
      <c r="BJ65" s="39">
        <f>BI65/MAX($BI$39:BI65) - 1</f>
        <v>-7.9231756200211056E-2</v>
      </c>
    </row>
    <row r="66" spans="1:62" x14ac:dyDescent="0.2">
      <c r="A66" s="1">
        <v>39933</v>
      </c>
      <c r="B66" s="97">
        <v>2.8436558039015569E-3</v>
      </c>
      <c r="C66" s="97">
        <v>0.12071156289707741</v>
      </c>
      <c r="D66" s="97">
        <v>9.6127921279212769E-2</v>
      </c>
      <c r="E66" s="97">
        <v>-8.9184079217896617E-4</v>
      </c>
      <c r="F66" s="97">
        <v>-8.4260625155561097E-3</v>
      </c>
      <c r="X66" s="1">
        <v>39933</v>
      </c>
      <c r="Y66" s="97">
        <f t="shared" si="11"/>
        <v>1.2756848449437572E-2</v>
      </c>
      <c r="Z66" s="97">
        <v>1.1364961719301958E-2</v>
      </c>
      <c r="AA66" s="97">
        <v>1.1206419045531183E-2</v>
      </c>
      <c r="AB66" s="97">
        <f t="shared" si="9"/>
        <v>7.0905801134735436E-2</v>
      </c>
      <c r="AC66" s="102">
        <f t="shared" si="16"/>
        <v>110.69026186627481</v>
      </c>
      <c r="AD66" s="102">
        <f t="shared" si="16"/>
        <v>110.62104500837373</v>
      </c>
      <c r="AE66" s="102">
        <f t="shared" si="16"/>
        <v>106.48967600682457</v>
      </c>
      <c r="AF66" s="102">
        <f t="shared" si="16"/>
        <v>80.606004347523125</v>
      </c>
      <c r="AJ66" s="97">
        <v>8.9954877717373094E-3</v>
      </c>
      <c r="AK66" s="97">
        <v>0.11217934337673419</v>
      </c>
      <c r="BD66" s="1">
        <v>39933</v>
      </c>
      <c r="BE66" s="39">
        <f t="shared" si="13"/>
        <v>1.1069026186627482</v>
      </c>
      <c r="BF66" s="39">
        <f>BE66/MAX($BE$39:BE66) - 1</f>
        <v>-2.0830699666657071E-2</v>
      </c>
      <c r="BG66" s="39">
        <f t="shared" si="14"/>
        <v>1.1062104500837373</v>
      </c>
      <c r="BH66" s="39">
        <f>BG66/MAX($BG$39:BG66) - 1</f>
        <v>-2.3105153085419605E-2</v>
      </c>
      <c r="BI66" s="39">
        <f t="shared" si="15"/>
        <v>1.0648967600682453</v>
      </c>
      <c r="BJ66" s="39">
        <f>BI66/MAX($BI$39:BI66) - 1</f>
        <v>-6.8913241416372784E-2</v>
      </c>
    </row>
    <row r="67" spans="1:62" x14ac:dyDescent="0.2">
      <c r="A67" s="1">
        <v>39962</v>
      </c>
      <c r="B67" s="97">
        <v>2.9238107840727778E-3</v>
      </c>
      <c r="C67" s="97">
        <v>2.5591188856495029E-2</v>
      </c>
      <c r="D67" s="97">
        <v>5.6807368439951711E-2</v>
      </c>
      <c r="E67" s="97">
        <v>3.5352452713481419E-2</v>
      </c>
      <c r="F67" s="97">
        <v>6.9977164057573038E-3</v>
      </c>
      <c r="X67" s="1">
        <v>39962</v>
      </c>
      <c r="Y67" s="97">
        <f t="shared" si="11"/>
        <v>1.6020246954364881E-2</v>
      </c>
      <c r="Z67" s="97">
        <v>1.7343942454355069E-2</v>
      </c>
      <c r="AA67" s="97">
        <v>1.6210469157275066E-2</v>
      </c>
      <c r="AB67" s="97">
        <f t="shared" si="9"/>
        <v>6.8639694637546891E-2</v>
      </c>
      <c r="AC67" s="102">
        <f t="shared" si="16"/>
        <v>112.46354719681585</v>
      </c>
      <c r="AD67" s="102">
        <f t="shared" si="16"/>
        <v>112.53965004723959</v>
      </c>
      <c r="AE67" s="102">
        <f t="shared" si="16"/>
        <v>108.21592361530141</v>
      </c>
      <c r="AF67" s="102">
        <f t="shared" si="16"/>
        <v>86.138775871889891</v>
      </c>
      <c r="AJ67" s="97">
        <v>3.5689598600021855E-2</v>
      </c>
      <c r="AK67" s="97">
        <v>9.0606425329230245E-2</v>
      </c>
      <c r="BD67" s="1">
        <v>39962</v>
      </c>
      <c r="BE67" s="39">
        <f t="shared" si="13"/>
        <v>1.1246354719681586</v>
      </c>
      <c r="BF67" s="39">
        <f>BE67/MAX($BE$39:BE67) - 1</f>
        <v>-5.1441656651841638E-3</v>
      </c>
      <c r="BG67" s="39">
        <f t="shared" si="14"/>
        <v>1.1253965004723958</v>
      </c>
      <c r="BH67" s="39">
        <f>BG67/MAX($BG$39:BG67) - 1</f>
        <v>-6.161945076577191E-3</v>
      </c>
      <c r="BI67" s="39">
        <f t="shared" si="15"/>
        <v>1.0821592361530137</v>
      </c>
      <c r="BJ67" s="39">
        <f>BI67/MAX($BI$39:BI67) - 1</f>
        <v>-5.3819888233605728E-2</v>
      </c>
    </row>
    <row r="68" spans="1:62" x14ac:dyDescent="0.2">
      <c r="A68" s="1">
        <v>39994</v>
      </c>
      <c r="B68" s="97">
        <v>1.2503062936273235E-3</v>
      </c>
      <c r="C68" s="97">
        <v>4.0587492103600686E-2</v>
      </c>
      <c r="D68" s="97">
        <v>5.7130357961978406E-2</v>
      </c>
      <c r="E68" s="97">
        <v>-1.169011057235525E-2</v>
      </c>
      <c r="F68" s="97">
        <v>-3.9761189674250019E-3</v>
      </c>
      <c r="X68" s="1">
        <v>39994</v>
      </c>
      <c r="Y68" s="97">
        <f t="shared" si="11"/>
        <v>2.6945763080507743E-3</v>
      </c>
      <c r="Z68" s="97">
        <v>1.0977076775995785E-3</v>
      </c>
      <c r="AA68" s="97">
        <v>-4.4173740794100757E-5</v>
      </c>
      <c r="AB68" s="97">
        <f t="shared" si="9"/>
        <v>-1.052292421375389E-3</v>
      </c>
      <c r="AC68" s="102">
        <f t="shared" si="16"/>
        <v>112.76658880661175</v>
      </c>
      <c r="AD68" s="102">
        <f t="shared" si="16"/>
        <v>112.66318568513081</v>
      </c>
      <c r="AE68" s="102">
        <f t="shared" si="16"/>
        <v>108.21114331314183</v>
      </c>
      <c r="AF68" s="102">
        <f t="shared" si="16"/>
        <v>86.04813269085335</v>
      </c>
      <c r="AJ68" s="97">
        <v>4.137049056372577E-3</v>
      </c>
      <c r="AK68" s="97">
        <v>-4.5118534065407001E-3</v>
      </c>
      <c r="BD68" s="1">
        <v>39994</v>
      </c>
      <c r="BE68" s="39">
        <f t="shared" si="13"/>
        <v>1.1276658880661174</v>
      </c>
      <c r="BF68" s="39">
        <f>BE68/MAX($BE$39:BE68) - 1</f>
        <v>-2.4634507040595111E-3</v>
      </c>
      <c r="BG68" s="39">
        <f t="shared" si="14"/>
        <v>1.1266318568513081</v>
      </c>
      <c r="BH68" s="39">
        <f>BG68/MAX($BG$39:BG68) - 1</f>
        <v>-5.0710014133971137E-3</v>
      </c>
      <c r="BI68" s="39">
        <f t="shared" si="15"/>
        <v>1.0821114331314179</v>
      </c>
      <c r="BJ68" s="39">
        <f>BI68/MAX($BI$39:BI68) - 1</f>
        <v>-5.3861684548607514E-2</v>
      </c>
    </row>
    <row r="69" spans="1:62" x14ac:dyDescent="0.2">
      <c r="A69" s="1">
        <v>40025</v>
      </c>
      <c r="B69" s="97">
        <v>8.1827309236948143E-3</v>
      </c>
      <c r="C69" s="97">
        <v>9.1516163302473919E-2</v>
      </c>
      <c r="D69" s="97">
        <v>0.15322525562988387</v>
      </c>
      <c r="E69" s="97">
        <v>4.9194060562660624E-3</v>
      </c>
      <c r="F69" s="97">
        <v>9.2475034792587341E-3</v>
      </c>
      <c r="X69" s="1">
        <v>40025</v>
      </c>
      <c r="Y69" s="97">
        <f t="shared" si="11"/>
        <v>2.1064223534247407E-2</v>
      </c>
      <c r="Z69" s="97">
        <v>1.7761649887600435E-2</v>
      </c>
      <c r="AA69" s="97">
        <v>1.3996187301393796E-2</v>
      </c>
      <c r="AB69" s="97">
        <f t="shared" si="9"/>
        <v>5.9676319670073717E-2</v>
      </c>
      <c r="AC69" s="102">
        <f t="shared" si="16"/>
        <v>115.14192944042877</v>
      </c>
      <c r="AD69" s="102">
        <f t="shared" si="16"/>
        <v>114.66426974449183</v>
      </c>
      <c r="AE69" s="102">
        <f t="shared" si="16"/>
        <v>109.72568674305053</v>
      </c>
      <c r="AF69" s="102">
        <f t="shared" si="16"/>
        <v>91.183168564325641</v>
      </c>
      <c r="AJ69" s="97">
        <v>2.2144694975066992E-2</v>
      </c>
      <c r="AK69" s="97">
        <v>8.4697402800078203E-2</v>
      </c>
      <c r="BD69" s="1">
        <v>40025</v>
      </c>
      <c r="BE69" s="39">
        <f t="shared" si="13"/>
        <v>1.1514192944042876</v>
      </c>
      <c r="BF69" s="39">
        <f>BE69/MAX($BE$39:BE69) - 1</f>
        <v>0</v>
      </c>
      <c r="BG69" s="39">
        <f t="shared" si="14"/>
        <v>1.1466426974449182</v>
      </c>
      <c r="BH69" s="39">
        <f>BG69/MAX($BG$39:BG69) - 1</f>
        <v>0</v>
      </c>
      <c r="BI69" s="39">
        <f t="shared" si="15"/>
        <v>1.097256867430505</v>
      </c>
      <c r="BJ69" s="39">
        <f>BI69/MAX($BI$39:BI69) - 1</f>
        <v>-4.0619355472524488E-2</v>
      </c>
    </row>
    <row r="70" spans="1:62" x14ac:dyDescent="0.2">
      <c r="A70" s="1">
        <v>40056</v>
      </c>
      <c r="B70" s="97">
        <v>6.6785340835531226E-3</v>
      </c>
      <c r="C70" s="97">
        <v>2.502780867630694E-2</v>
      </c>
      <c r="D70" s="97">
        <v>4.8938794280777076E-2</v>
      </c>
      <c r="E70" s="97">
        <v>3.7467987639923095E-3</v>
      </c>
      <c r="F70" s="97">
        <v>4.7295621828562506E-3</v>
      </c>
      <c r="X70" s="1">
        <v>40056</v>
      </c>
      <c r="Y70" s="97">
        <f t="shared" si="11"/>
        <v>9.0389400971032843E-3</v>
      </c>
      <c r="Z70" s="97">
        <v>8.1474701083263934E-3</v>
      </c>
      <c r="AA70" s="97">
        <v>7.2115360248012437E-3</v>
      </c>
      <c r="AB70" s="97">
        <f t="shared" si="9"/>
        <v>3.177898895513933E-2</v>
      </c>
      <c r="AC70" s="102">
        <f t="shared" si="16"/>
        <v>116.1826904433057</v>
      </c>
      <c r="AD70" s="102">
        <f t="shared" si="16"/>
        <v>115.59849345472816</v>
      </c>
      <c r="AE70" s="102">
        <f t="shared" si="16"/>
        <v>110.51697748584409</v>
      </c>
      <c r="AF70" s="102">
        <f t="shared" si="16"/>
        <v>94.080877471025957</v>
      </c>
      <c r="AJ70" s="97">
        <v>1.7565764546371376E-2</v>
      </c>
      <c r="AK70" s="97">
        <v>4.1254471894317968E-2</v>
      </c>
      <c r="BD70" s="1">
        <v>40056</v>
      </c>
      <c r="BE70" s="39">
        <f t="shared" si="13"/>
        <v>1.1618269044330569</v>
      </c>
      <c r="BF70" s="39">
        <f>BE70/MAX($BE$39:BE70) - 1</f>
        <v>0</v>
      </c>
      <c r="BG70" s="39">
        <f t="shared" si="14"/>
        <v>1.1559849345472815</v>
      </c>
      <c r="BH70" s="39">
        <f>BG70/MAX($BG$39:BG70) - 1</f>
        <v>0</v>
      </c>
      <c r="BI70" s="39">
        <f t="shared" si="15"/>
        <v>1.1051697748584406</v>
      </c>
      <c r="BJ70" s="39">
        <f>BI70/MAX($BI$39:BI70) - 1</f>
        <v>-3.3700747393017649E-2</v>
      </c>
    </row>
    <row r="71" spans="1:62" x14ac:dyDescent="0.2">
      <c r="A71" s="1">
        <v>40086</v>
      </c>
      <c r="B71" s="97">
        <v>8.037740282062833E-3</v>
      </c>
      <c r="C71" s="97">
        <v>4.4899620184481792E-2</v>
      </c>
      <c r="D71" s="97">
        <v>-7.1144118321104788E-3</v>
      </c>
      <c r="E71" s="97">
        <v>1.7088998695201196E-2</v>
      </c>
      <c r="F71" s="97">
        <v>2.0502633559067007E-2</v>
      </c>
      <c r="X71" s="1">
        <v>40086</v>
      </c>
      <c r="Y71" s="97">
        <f t="shared" si="11"/>
        <v>1.4787768922235139E-2</v>
      </c>
      <c r="Z71" s="97">
        <v>1.371744932520085E-2</v>
      </c>
      <c r="AA71" s="97">
        <v>1.333910869620953E-2</v>
      </c>
      <c r="AB71" s="97">
        <f t="shared" ref="AB71:AB102" si="17">0.6*AK71+0.4*AJ71</f>
        <v>3.2463260487867053E-2</v>
      </c>
      <c r="AC71" s="102">
        <f t="shared" si="16"/>
        <v>117.90077322234488</v>
      </c>
      <c r="AD71" s="102">
        <f t="shared" si="16"/>
        <v>117.18420993076295</v>
      </c>
      <c r="AE71" s="102">
        <f t="shared" si="16"/>
        <v>111.99117546130431</v>
      </c>
      <c r="AF71" s="102">
        <f t="shared" si="16"/>
        <v>97.135049503294965</v>
      </c>
      <c r="AJ71" s="97">
        <v>2.1370567768512316E-2</v>
      </c>
      <c r="AK71" s="97">
        <v>3.9858388967436875E-2</v>
      </c>
      <c r="BD71" s="1">
        <v>40086</v>
      </c>
      <c r="BE71" s="39">
        <f t="shared" si="13"/>
        <v>1.1790077322234487</v>
      </c>
      <c r="BF71" s="39">
        <f>BE71/MAX($BE$39:BE71) - 1</f>
        <v>0</v>
      </c>
      <c r="BG71" s="39">
        <f t="shared" si="14"/>
        <v>1.1718420993076293</v>
      </c>
      <c r="BH71" s="39">
        <f>BG71/MAX($BG$39:BG71) - 1</f>
        <v>0</v>
      </c>
      <c r="BI71" s="39">
        <f t="shared" si="15"/>
        <v>1.1199117546130428</v>
      </c>
      <c r="BJ71" s="39">
        <f>BI71/MAX($BI$39:BI71) - 1</f>
        <v>-2.0811176629426997E-2</v>
      </c>
    </row>
    <row r="72" spans="1:62" x14ac:dyDescent="0.2">
      <c r="A72" s="1">
        <v>40116</v>
      </c>
      <c r="B72" s="97">
        <v>7.1456172525254935E-3</v>
      </c>
      <c r="C72" s="97">
        <v>-3.7647669739063749E-3</v>
      </c>
      <c r="D72" s="97">
        <v>3.8873073590756535E-2</v>
      </c>
      <c r="E72" s="97">
        <v>-5.1555780354856084E-3</v>
      </c>
      <c r="F72" s="97">
        <v>1.7955418183104976E-2</v>
      </c>
      <c r="X72" s="1">
        <v>40116</v>
      </c>
      <c r="Y72" s="97">
        <f t="shared" si="11"/>
        <v>7.3706834589003165E-3</v>
      </c>
      <c r="Z72" s="97">
        <v>4.9828522727993771E-3</v>
      </c>
      <c r="AA72" s="97">
        <v>2.793264943514495E-3</v>
      </c>
      <c r="AB72" s="97">
        <f t="shared" si="17"/>
        <v>-8.7953690841374704E-3</v>
      </c>
      <c r="AC72" s="102">
        <f t="shared" ref="AC72:AF87" si="18">AC71*(1+Y72)</f>
        <v>118.76978250132636</v>
      </c>
      <c r="AD72" s="102">
        <f t="shared" si="18"/>
        <v>117.76812153755266</v>
      </c>
      <c r="AE72" s="102">
        <f t="shared" si="18"/>
        <v>112.30399648570335</v>
      </c>
      <c r="AF72" s="102">
        <f t="shared" si="18"/>
        <v>96.280710891907518</v>
      </c>
      <c r="AJ72" s="97">
        <v>4.6982413831337944E-3</v>
      </c>
      <c r="AK72" s="97">
        <v>-1.779110939565165E-2</v>
      </c>
      <c r="BD72" s="1">
        <v>40116</v>
      </c>
      <c r="BE72" s="39">
        <f t="shared" si="13"/>
        <v>1.1876978250132635</v>
      </c>
      <c r="BF72" s="39">
        <f>BE72/MAX($BE$39:BE72) - 1</f>
        <v>0</v>
      </c>
      <c r="BG72" s="39">
        <f t="shared" si="14"/>
        <v>1.1776812153755265</v>
      </c>
      <c r="BH72" s="39">
        <f>BG72/MAX($BG$39:BG72) - 1</f>
        <v>0</v>
      </c>
      <c r="BI72" s="39">
        <f t="shared" si="15"/>
        <v>1.1230399648570333</v>
      </c>
      <c r="BJ72" s="39">
        <f>BI72/MAX($BI$39:BI72) - 1</f>
        <v>-1.8076042816024707E-2</v>
      </c>
    </row>
    <row r="73" spans="1:62" x14ac:dyDescent="0.2">
      <c r="A73" s="1">
        <v>40147</v>
      </c>
      <c r="B73" s="97">
        <v>1.2825665948039466E-2</v>
      </c>
      <c r="C73" s="97">
        <v>5.1472504560854837E-2</v>
      </c>
      <c r="D73" s="97">
        <v>4.6495078529715794E-2</v>
      </c>
      <c r="E73" s="97">
        <v>2.1699879795544774E-2</v>
      </c>
      <c r="F73" s="97">
        <v>2.5548312327973388E-2</v>
      </c>
      <c r="X73" s="1">
        <v>40147</v>
      </c>
      <c r="Y73" s="97">
        <f t="shared" si="11"/>
        <v>2.2226567520990826E-2</v>
      </c>
      <c r="Z73" s="97">
        <v>2.0319112445014952E-2</v>
      </c>
      <c r="AA73" s="97">
        <v>1.8467335620859254E-2</v>
      </c>
      <c r="AB73" s="97">
        <f t="shared" si="17"/>
        <v>3.4703141044268637E-2</v>
      </c>
      <c r="AC73" s="102">
        <f t="shared" si="18"/>
        <v>121.40962709154547</v>
      </c>
      <c r="AD73" s="102">
        <f t="shared" si="18"/>
        <v>120.16106524151239</v>
      </c>
      <c r="AE73" s="102">
        <f t="shared" si="18"/>
        <v>114.37795208036864</v>
      </c>
      <c r="AF73" s="102">
        <f t="shared" si="18"/>
        <v>99.621953981831837</v>
      </c>
      <c r="AJ73" s="97">
        <v>2.5463667198678763E-2</v>
      </c>
      <c r="AK73" s="97">
        <v>4.0862790274661887E-2</v>
      </c>
      <c r="BD73" s="1">
        <v>40147</v>
      </c>
      <c r="BE73" s="39">
        <f t="shared" si="13"/>
        <v>1.2140962709154546</v>
      </c>
      <c r="BF73" s="39">
        <f>BE73/MAX($BE$39:BE73) - 1</f>
        <v>0</v>
      </c>
      <c r="BG73" s="39">
        <f t="shared" si="14"/>
        <v>1.2016106524151238</v>
      </c>
      <c r="BH73" s="39">
        <f>BG73/MAX($BG$39:BG73) - 1</f>
        <v>0</v>
      </c>
      <c r="BI73" s="39">
        <f t="shared" si="15"/>
        <v>1.1437795208036863</v>
      </c>
      <c r="BJ73" s="39">
        <f>BI73/MAX($BI$39:BI73) - 1</f>
        <v>0</v>
      </c>
    </row>
    <row r="74" spans="1:62" x14ac:dyDescent="0.2">
      <c r="A74" s="1">
        <v>40178</v>
      </c>
      <c r="B74" s="97">
        <v>-1.4076292180772887E-2</v>
      </c>
      <c r="C74" s="97">
        <v>5.6016854628826218E-2</v>
      </c>
      <c r="D74" s="97">
        <v>7.5519158638387429E-2</v>
      </c>
      <c r="E74" s="97">
        <v>-1.3023219320867363E-2</v>
      </c>
      <c r="F74" s="97">
        <v>-2.1973737739004684E-2</v>
      </c>
      <c r="X74" s="1">
        <v>40178</v>
      </c>
      <c r="Y74" s="97">
        <f t="shared" si="11"/>
        <v>-5.8970075040465589E-3</v>
      </c>
      <c r="Z74" s="97">
        <v>-7.1905233254094588E-3</v>
      </c>
      <c r="AA74" s="97">
        <v>-8.3990033245299328E-3</v>
      </c>
      <c r="AB74" s="97">
        <f t="shared" si="17"/>
        <v>-4.2764747777728207E-3</v>
      </c>
      <c r="AC74" s="102">
        <f t="shared" si="18"/>
        <v>120.69367360952315</v>
      </c>
      <c r="AD74" s="102">
        <f t="shared" si="18"/>
        <v>119.29704429908725</v>
      </c>
      <c r="AE74" s="102">
        <f t="shared" si="18"/>
        <v>113.41729128059271</v>
      </c>
      <c r="AF74" s="102">
        <f t="shared" si="18"/>
        <v>99.195923208316088</v>
      </c>
      <c r="AJ74" s="97">
        <v>-3.7626846744221787E-2</v>
      </c>
      <c r="AK74" s="97">
        <v>1.7957106533193157E-2</v>
      </c>
      <c r="BD74" s="1">
        <v>40178</v>
      </c>
      <c r="BE74" s="39">
        <f t="shared" si="13"/>
        <v>1.2069367360952312</v>
      </c>
      <c r="BF74" s="39">
        <f>BE74/MAX($BE$39:BE74) - 1</f>
        <v>-5.8970075040465364E-3</v>
      </c>
      <c r="BG74" s="39">
        <f t="shared" si="14"/>
        <v>1.1929704429908723</v>
      </c>
      <c r="BH74" s="39">
        <f>BG74/MAX($BG$39:BG74) - 1</f>
        <v>-7.1905233254094814E-3</v>
      </c>
      <c r="BI74" s="39">
        <f t="shared" si="15"/>
        <v>1.1341729128059268</v>
      </c>
      <c r="BJ74" s="39">
        <f>BI74/MAX($BI$39:BI74) - 1</f>
        <v>-8.39900332453003E-3</v>
      </c>
    </row>
    <row r="75" spans="1:62" x14ac:dyDescent="0.2">
      <c r="A75" s="1">
        <v>40207</v>
      </c>
      <c r="B75" s="97">
        <v>1.3264864271469223E-2</v>
      </c>
      <c r="C75" s="97">
        <v>-8.4379767632906888E-2</v>
      </c>
      <c r="D75" s="97">
        <v>-8.7558666306193467E-2</v>
      </c>
      <c r="E75" s="97">
        <v>-1.9530570866210351E-2</v>
      </c>
      <c r="F75" s="97">
        <v>1.9399751581501423E-2</v>
      </c>
      <c r="X75" s="1">
        <v>40207</v>
      </c>
      <c r="Y75" s="97">
        <f t="shared" si="11"/>
        <v>-5.5025366846182472E-3</v>
      </c>
      <c r="Z75" s="97">
        <v>-6.1343684819736861E-3</v>
      </c>
      <c r="AA75" s="97">
        <v>-5.4078263435534029E-3</v>
      </c>
      <c r="AB75" s="97">
        <f t="shared" si="17"/>
        <v>-2.3146263714445191E-2</v>
      </c>
      <c r="AC75" s="102">
        <f t="shared" si="18"/>
        <v>120.02955224288542</v>
      </c>
      <c r="AD75" s="102">
        <f t="shared" si="18"/>
        <v>118.5652322705463</v>
      </c>
      <c r="AE75" s="102">
        <f t="shared" si="18"/>
        <v>112.80395026499104</v>
      </c>
      <c r="AF75" s="102">
        <f t="shared" si="18"/>
        <v>96.899908210338552</v>
      </c>
      <c r="AJ75" s="97">
        <v>4.1308822450192295E-3</v>
      </c>
      <c r="AK75" s="97">
        <v>-4.1331027687421473E-2</v>
      </c>
      <c r="BD75" s="1">
        <v>40207</v>
      </c>
      <c r="BE75" s="39">
        <f t="shared" si="13"/>
        <v>1.2002955224288538</v>
      </c>
      <c r="BF75" s="39">
        <f>BE75/MAX($BE$39:BE75) - 1</f>
        <v>-1.1367095688544215E-2</v>
      </c>
      <c r="BG75" s="39">
        <f t="shared" si="14"/>
        <v>1.1856523227054629</v>
      </c>
      <c r="BH75" s="39">
        <f>BG75/MAX($BG$39:BG75) - 1</f>
        <v>-1.3280782487726905E-2</v>
      </c>
      <c r="BI75" s="39">
        <f t="shared" si="15"/>
        <v>1.1280395026499102</v>
      </c>
      <c r="BJ75" s="39">
        <f>BI75/MAX($BI$39:BI75) - 1</f>
        <v>-1.376140931664549E-2</v>
      </c>
    </row>
    <row r="76" spans="1:62" x14ac:dyDescent="0.2">
      <c r="A76" s="1">
        <v>40235</v>
      </c>
      <c r="B76" s="97">
        <v>1.7755895559219415E-3</v>
      </c>
      <c r="C76" s="97">
        <v>4.1655985644706517E-2</v>
      </c>
      <c r="D76" s="97">
        <v>6.0623913572412258E-2</v>
      </c>
      <c r="E76" s="97">
        <v>1.5972913859152449E-3</v>
      </c>
      <c r="F76" s="97">
        <v>-1.2994961831195861E-2</v>
      </c>
      <c r="X76" s="1">
        <v>40235</v>
      </c>
      <c r="Y76" s="97">
        <f t="shared" si="11"/>
        <v>4.4194604292123385E-3</v>
      </c>
      <c r="Z76" s="97">
        <v>4.8603403182190096E-3</v>
      </c>
      <c r="AA76" s="97">
        <v>5.3768830982316171E-3</v>
      </c>
      <c r="AB76" s="97">
        <f t="shared" si="17"/>
        <v>8.7557719927108032E-3</v>
      </c>
      <c r="AC76" s="102">
        <f t="shared" si="18"/>
        <v>120.56001809935891</v>
      </c>
      <c r="AD76" s="102">
        <f t="shared" si="18"/>
        <v>119.14149964928984</v>
      </c>
      <c r="AE76" s="102">
        <f t="shared" si="18"/>
        <v>113.41048391858465</v>
      </c>
      <c r="AF76" s="102">
        <f t="shared" si="18"/>
        <v>97.748341712742871</v>
      </c>
      <c r="AJ76" s="97">
        <v>7.4427345710548209E-4</v>
      </c>
      <c r="AK76" s="97">
        <v>1.4096771016447684E-2</v>
      </c>
      <c r="BD76" s="1">
        <v>40235</v>
      </c>
      <c r="BE76" s="39">
        <f t="shared" si="13"/>
        <v>1.2056001809935888</v>
      </c>
      <c r="BF76" s="39">
        <f>BE76/MAX($BE$39:BE76) - 1</f>
        <v>-6.99787168892263E-3</v>
      </c>
      <c r="BG76" s="39">
        <f t="shared" si="14"/>
        <v>1.1914149964928984</v>
      </c>
      <c r="BH76" s="39">
        <f>BG76/MAX($BG$39:BG76) - 1</f>
        <v>-8.4849912920903492E-3</v>
      </c>
      <c r="BI76" s="39">
        <f t="shared" si="15"/>
        <v>1.1341048391858461</v>
      </c>
      <c r="BJ76" s="39">
        <f>BI76/MAX($BI$39:BI76) - 1</f>
        <v>-8.458519707576273E-3</v>
      </c>
    </row>
    <row r="77" spans="1:62" x14ac:dyDescent="0.2">
      <c r="A77" s="1">
        <v>40268</v>
      </c>
      <c r="B77" s="97">
        <v>3.3045536749654048E-4</v>
      </c>
      <c r="C77" s="97">
        <v>6.767564907099799E-2</v>
      </c>
      <c r="D77" s="97">
        <v>9.6605879972317954E-2</v>
      </c>
      <c r="E77" s="97">
        <v>1.5901781507143165E-2</v>
      </c>
      <c r="F77" s="97">
        <v>-4.3810289389067947E-3</v>
      </c>
      <c r="X77" s="1">
        <v>40268</v>
      </c>
      <c r="Y77" s="97">
        <f t="shared" si="11"/>
        <v>1.2845809550596948E-2</v>
      </c>
      <c r="Z77" s="97">
        <v>1.2150605823084883E-2</v>
      </c>
      <c r="AA77" s="97">
        <v>1.0927263821453558E-2</v>
      </c>
      <c r="AB77" s="97">
        <f t="shared" si="17"/>
        <v>3.413501429231873E-2</v>
      </c>
      <c r="AC77" s="102">
        <f t="shared" si="18"/>
        <v>122.10870913127981</v>
      </c>
      <c r="AD77" s="102">
        <f t="shared" si="18"/>
        <v>120.58914104869957</v>
      </c>
      <c r="AE77" s="102">
        <f t="shared" si="18"/>
        <v>114.64975019648173</v>
      </c>
      <c r="AF77" s="102">
        <f t="shared" si="18"/>
        <v>101.08498275415781</v>
      </c>
      <c r="AJ77" s="97">
        <v>-7.5581717406796312E-3</v>
      </c>
      <c r="AK77" s="97">
        <v>6.1930471647650975E-2</v>
      </c>
      <c r="BD77" s="1">
        <v>40268</v>
      </c>
      <c r="BE77" s="39">
        <f t="shared" si="13"/>
        <v>1.2210870913127978</v>
      </c>
      <c r="BF77" s="39">
        <f>BE77/MAX($BE$39:BE77) - 1</f>
        <v>0</v>
      </c>
      <c r="BG77" s="39">
        <f t="shared" si="14"/>
        <v>1.2058914104869958</v>
      </c>
      <c r="BH77" s="39">
        <f>BG77/MAX($BG$39:BG77) - 1</f>
        <v>0</v>
      </c>
      <c r="BI77" s="39">
        <f t="shared" si="15"/>
        <v>1.1464975019648169</v>
      </c>
      <c r="BJ77" s="39">
        <f>BI77/MAX($BI$39:BI77) - 1</f>
        <v>0</v>
      </c>
    </row>
    <row r="78" spans="1:62" x14ac:dyDescent="0.2">
      <c r="A78" s="1">
        <v>40298</v>
      </c>
      <c r="B78" s="97">
        <v>6.0243134805275655E-3</v>
      </c>
      <c r="C78" s="97">
        <v>1.7863316814567209E-2</v>
      </c>
      <c r="D78" s="97">
        <v>-3.2228402163962167E-2</v>
      </c>
      <c r="E78" s="97">
        <v>8.1760635077161581E-3</v>
      </c>
      <c r="F78" s="97">
        <v>2.8230015513532658E-2</v>
      </c>
      <c r="X78" s="1">
        <v>40298</v>
      </c>
      <c r="Y78" s="97">
        <f t="shared" si="11"/>
        <v>1.0238480769325257E-2</v>
      </c>
      <c r="Z78" s="97">
        <v>8.2285765716132078E-3</v>
      </c>
      <c r="AA78" s="97">
        <v>6.8912798932875552E-3</v>
      </c>
      <c r="AB78" s="97">
        <f t="shared" si="17"/>
        <v>1.4855798497501738E-4</v>
      </c>
      <c r="AC78" s="102">
        <f t="shared" si="18"/>
        <v>123.35891680148754</v>
      </c>
      <c r="AD78" s="102">
        <f t="shared" si="18"/>
        <v>121.58141802952387</v>
      </c>
      <c r="AE78" s="102">
        <f t="shared" si="18"/>
        <v>115.4398337147812</v>
      </c>
      <c r="AF78" s="102">
        <f t="shared" si="18"/>
        <v>101.09999973550698</v>
      </c>
      <c r="AJ78" s="97">
        <v>1.6093982852760647E-4</v>
      </c>
      <c r="AK78" s="97">
        <v>1.4030342260662465E-4</v>
      </c>
      <c r="BD78" s="1">
        <v>40298</v>
      </c>
      <c r="BE78" s="39">
        <f t="shared" si="13"/>
        <v>1.2335891680148752</v>
      </c>
      <c r="BF78" s="39">
        <f>BE78/MAX($BE$39:BE78) - 1</f>
        <v>0</v>
      </c>
      <c r="BG78" s="39">
        <f t="shared" si="14"/>
        <v>1.2158141802952387</v>
      </c>
      <c r="BH78" s="39">
        <f>BG78/MAX($BG$39:BG78) - 1</f>
        <v>0</v>
      </c>
      <c r="BI78" s="39">
        <f t="shared" si="15"/>
        <v>1.1543983371478115</v>
      </c>
      <c r="BJ78" s="39">
        <f>BI78/MAX($BI$39:BI78) - 1</f>
        <v>0</v>
      </c>
    </row>
    <row r="79" spans="1:62" x14ac:dyDescent="0.2">
      <c r="A79" s="1">
        <v>40329</v>
      </c>
      <c r="B79" s="97">
        <v>1.1200334338338447E-2</v>
      </c>
      <c r="C79" s="97">
        <v>-8.1521739130434701E-2</v>
      </c>
      <c r="D79" s="97">
        <v>-0.1131751190339898</v>
      </c>
      <c r="E79" s="97">
        <v>-1.5831179029406006E-2</v>
      </c>
      <c r="F79" s="97">
        <v>1.2731922912974092E-3</v>
      </c>
      <c r="X79" s="1">
        <v>40329</v>
      </c>
      <c r="Y79" s="97">
        <f t="shared" si="11"/>
        <v>-1.0515636103995307E-2</v>
      </c>
      <c r="Z79" s="97">
        <v>-8.0534193129000557E-3</v>
      </c>
      <c r="AA79" s="97">
        <v>-4.7043395057545772E-3</v>
      </c>
      <c r="AB79" s="97">
        <f t="shared" si="17"/>
        <v>-6.3725367231260543E-2</v>
      </c>
      <c r="AC79" s="102">
        <f t="shared" si="18"/>
        <v>122.06171932222006</v>
      </c>
      <c r="AD79" s="102">
        <f t="shared" si="18"/>
        <v>120.60227188947513</v>
      </c>
      <c r="AE79" s="102">
        <f t="shared" si="18"/>
        <v>114.89676554449902</v>
      </c>
      <c r="AF79" s="102">
        <f t="shared" si="18"/>
        <v>94.657365125281459</v>
      </c>
      <c r="AJ79" s="97">
        <v>-1.5631174258776026E-2</v>
      </c>
      <c r="AK79" s="97">
        <v>-9.5788162546250222E-2</v>
      </c>
      <c r="BD79" s="1">
        <v>40329</v>
      </c>
      <c r="BE79" s="39">
        <f t="shared" si="13"/>
        <v>1.2206171932222005</v>
      </c>
      <c r="BF79" s="39">
        <f>BE79/MAX($BE$39:BE79) - 1</f>
        <v>-1.0515636103995196E-2</v>
      </c>
      <c r="BG79" s="39">
        <f t="shared" si="14"/>
        <v>1.2060227188947512</v>
      </c>
      <c r="BH79" s="39">
        <f>BG79/MAX($BG$39:BG79) - 1</f>
        <v>-8.0534193129000453E-3</v>
      </c>
      <c r="BI79" s="39">
        <f t="shared" si="15"/>
        <v>1.1489676554449897</v>
      </c>
      <c r="BJ79" s="39">
        <f>BI79/MAX($BI$39:BI79) - 1</f>
        <v>-4.7043395057545512E-3</v>
      </c>
    </row>
    <row r="80" spans="1:62" x14ac:dyDescent="0.2">
      <c r="A80" s="1">
        <v>40359</v>
      </c>
      <c r="B80" s="97">
        <v>1.122388130199381E-2</v>
      </c>
      <c r="C80" s="97">
        <v>-6.2006903353057252E-2</v>
      </c>
      <c r="D80" s="97">
        <v>-5.6963880126232436E-2</v>
      </c>
      <c r="E80" s="97">
        <v>-1.1593779014537064E-3</v>
      </c>
      <c r="F80" s="97">
        <v>1.7432318128602464E-2</v>
      </c>
      <c r="X80" s="1">
        <v>40359</v>
      </c>
      <c r="Y80" s="97">
        <f t="shared" si="11"/>
        <v>8.2269612018872219E-4</v>
      </c>
      <c r="Z80" s="97">
        <v>1.6291323498772818E-3</v>
      </c>
      <c r="AA80" s="97">
        <v>2.0207231918161284E-3</v>
      </c>
      <c r="AB80" s="97">
        <f t="shared" si="17"/>
        <v>-1.4445127187971085E-2</v>
      </c>
      <c r="AC80" s="102">
        <f t="shared" si="18"/>
        <v>122.16213902513002</v>
      </c>
      <c r="AD80" s="102">
        <f t="shared" si="18"/>
        <v>120.79874895207898</v>
      </c>
      <c r="AE80" s="102">
        <f t="shared" si="18"/>
        <v>115.12894010329944</v>
      </c>
      <c r="AF80" s="102">
        <f t="shared" si="18"/>
        <v>93.290027446768548</v>
      </c>
      <c r="AJ80" s="97">
        <v>1.5316525078149956E-2</v>
      </c>
      <c r="AK80" s="97">
        <v>-3.4286228698718446E-2</v>
      </c>
      <c r="BD80" s="1">
        <v>40359</v>
      </c>
      <c r="BE80" s="39">
        <f t="shared" si="13"/>
        <v>1.2216213902513</v>
      </c>
      <c r="BF80" s="39">
        <f>BE80/MAX($BE$39:BE80) - 1</f>
        <v>-9.701591156830669E-3</v>
      </c>
      <c r="BG80" s="39">
        <f t="shared" si="14"/>
        <v>1.2079874895207898</v>
      </c>
      <c r="BH80" s="39">
        <f>BG80/MAX($BG$39:BG80) - 1</f>
        <v>-6.4374070489524593E-3</v>
      </c>
      <c r="BI80" s="39">
        <f t="shared" si="15"/>
        <v>1.1512894010329939</v>
      </c>
      <c r="BJ80" s="39">
        <f>BI80/MAX($BI$39:BI80) - 1</f>
        <v>-2.6931224818799171E-3</v>
      </c>
    </row>
    <row r="81" spans="1:62" x14ac:dyDescent="0.2">
      <c r="A81" s="1">
        <v>40389</v>
      </c>
      <c r="B81" s="97">
        <v>8.5770003269654005E-3</v>
      </c>
      <c r="C81" s="97">
        <v>7.1888553029307412E-2</v>
      </c>
      <c r="D81" s="97">
        <v>0.10671765875183525</v>
      </c>
      <c r="E81" s="97">
        <v>-6.2309587989517468E-4</v>
      </c>
      <c r="F81" s="97">
        <v>4.1237453958851145E-3</v>
      </c>
      <c r="X81" s="1">
        <v>40389</v>
      </c>
      <c r="Y81" s="97">
        <f t="shared" si="11"/>
        <v>1.4983624140041004E-2</v>
      </c>
      <c r="Z81" s="97">
        <v>1.2947449902361172E-2</v>
      </c>
      <c r="AA81" s="97">
        <v>1.1879889505252905E-2</v>
      </c>
      <c r="AB81" s="97">
        <f t="shared" si="17"/>
        <v>6.2235781345214077E-2</v>
      </c>
      <c r="AC81" s="102">
        <f t="shared" si="18"/>
        <v>123.99257060042599</v>
      </c>
      <c r="AD81" s="102">
        <f t="shared" si="18"/>
        <v>122.36278470240393</v>
      </c>
      <c r="AE81" s="102">
        <f t="shared" si="18"/>
        <v>116.49665919058353</v>
      </c>
      <c r="AF81" s="102">
        <f t="shared" si="18"/>
        <v>99.096005196634664</v>
      </c>
      <c r="AJ81" s="97">
        <v>3.3979924936982098E-2</v>
      </c>
      <c r="AK81" s="97">
        <v>8.1073018950702069E-2</v>
      </c>
      <c r="BD81" s="1">
        <v>40389</v>
      </c>
      <c r="BE81" s="39">
        <f t="shared" si="13"/>
        <v>1.2399257060042599</v>
      </c>
      <c r="BF81" s="39">
        <f>BE81/MAX($BE$39:BE81) - 1</f>
        <v>0</v>
      </c>
      <c r="BG81" s="39">
        <f t="shared" si="14"/>
        <v>1.2236278470240394</v>
      </c>
      <c r="BH81" s="39">
        <f>BG81/MAX($BG$39:BG81) - 1</f>
        <v>0</v>
      </c>
      <c r="BI81" s="39">
        <f t="shared" si="15"/>
        <v>1.1649665919058347</v>
      </c>
      <c r="BJ81" s="39">
        <f>BI81/MAX($BI$39:BI81) - 1</f>
        <v>0</v>
      </c>
    </row>
    <row r="82" spans="1:62" x14ac:dyDescent="0.2">
      <c r="A82" s="1">
        <v>40421</v>
      </c>
      <c r="B82" s="97">
        <v>1.5340886066421699E-3</v>
      </c>
      <c r="C82" s="97">
        <v>-7.0745463462481561E-2</v>
      </c>
      <c r="D82" s="97">
        <v>-1.4172234939479833E-2</v>
      </c>
      <c r="E82" s="97">
        <v>1.6890744761737464E-2</v>
      </c>
      <c r="F82" s="97">
        <v>1.4908432942208449E-2</v>
      </c>
      <c r="X82" s="1">
        <v>40421</v>
      </c>
      <c r="Y82" s="97">
        <f t="shared" si="11"/>
        <v>2.1383008781284212E-3</v>
      </c>
      <c r="Z82" s="97">
        <v>2.5900978150319924E-3</v>
      </c>
      <c r="AA82" s="97">
        <v>8.1225983913682564E-4</v>
      </c>
      <c r="AB82" s="97">
        <f t="shared" si="17"/>
        <v>-1.6834077635934697E-2</v>
      </c>
      <c r="AC82" s="102">
        <f t="shared" si="18"/>
        <v>124.25770402302228</v>
      </c>
      <c r="AD82" s="102">
        <f t="shared" si="18"/>
        <v>122.67971628370285</v>
      </c>
      <c r="AE82" s="102">
        <f t="shared" si="18"/>
        <v>116.59128474823765</v>
      </c>
      <c r="AF82" s="102">
        <f t="shared" si="18"/>
        <v>97.427815351743533</v>
      </c>
      <c r="AJ82" s="97">
        <v>1.3917460987834307E-2</v>
      </c>
      <c r="AK82" s="97">
        <v>-3.7335103385114032E-2</v>
      </c>
      <c r="BD82" s="1">
        <v>40421</v>
      </c>
      <c r="BE82" s="39">
        <f t="shared" si="13"/>
        <v>1.2425770402302228</v>
      </c>
      <c r="BF82" s="39">
        <f>BE82/MAX($BE$39:BE82) - 1</f>
        <v>0</v>
      </c>
      <c r="BG82" s="39">
        <f t="shared" si="14"/>
        <v>1.2267971628370287</v>
      </c>
      <c r="BH82" s="39">
        <f>BG82/MAX($BG$39:BG82) - 1</f>
        <v>0</v>
      </c>
      <c r="BI82" s="39">
        <f t="shared" si="15"/>
        <v>1.1659128474823761</v>
      </c>
      <c r="BJ82" s="39">
        <f>BI82/MAX($BI$39:BI82) - 1</f>
        <v>0</v>
      </c>
    </row>
    <row r="83" spans="1:62" x14ac:dyDescent="0.2">
      <c r="A83" s="1">
        <v>40451</v>
      </c>
      <c r="B83" s="97">
        <v>-3.8091164468283534E-3</v>
      </c>
      <c r="C83" s="97">
        <v>0.12138804591634766</v>
      </c>
      <c r="D83" s="97">
        <v>0.10307778351717722</v>
      </c>
      <c r="E83" s="97">
        <v>2.7352885379365866E-2</v>
      </c>
      <c r="F83" s="97">
        <v>1.8584649295782185E-2</v>
      </c>
      <c r="X83" s="1">
        <v>40451</v>
      </c>
      <c r="Y83" s="97">
        <f t="shared" si="11"/>
        <v>2.3036144161111625E-2</v>
      </c>
      <c r="Z83" s="97">
        <v>1.8289750097369634E-2</v>
      </c>
      <c r="AA83" s="97">
        <v>1.4298259264307361E-2</v>
      </c>
      <c r="AB83" s="97">
        <f t="shared" si="17"/>
        <v>6.5334493227227106E-2</v>
      </c>
      <c r="AC83" s="102">
        <f t="shared" si="18"/>
        <v>127.12012240602536</v>
      </c>
      <c r="AD83" s="102">
        <f t="shared" si="18"/>
        <v>124.92349763654796</v>
      </c>
      <c r="AE83" s="102">
        <f t="shared" si="18"/>
        <v>118.25833716552663</v>
      </c>
      <c r="AF83" s="102">
        <f t="shared" si="18"/>
        <v>103.79321229398555</v>
      </c>
      <c r="AJ83" s="97">
        <v>2.3467549167782931E-2</v>
      </c>
      <c r="AK83" s="97">
        <v>9.324578926685656E-2</v>
      </c>
      <c r="BD83" s="1">
        <v>40451</v>
      </c>
      <c r="BE83" s="39">
        <f t="shared" si="13"/>
        <v>1.2712012240602535</v>
      </c>
      <c r="BF83" s="39">
        <f>BE83/MAX($BE$39:BE83) - 1</f>
        <v>0</v>
      </c>
      <c r="BG83" s="39">
        <f t="shared" si="14"/>
        <v>1.24923497636548</v>
      </c>
      <c r="BH83" s="39">
        <f>BG83/MAX($BG$39:BG83) - 1</f>
        <v>0</v>
      </c>
      <c r="BI83" s="39">
        <f t="shared" si="15"/>
        <v>1.1825833716552658</v>
      </c>
      <c r="BJ83" s="39">
        <f>BI83/MAX($BI$39:BI83) - 1</f>
        <v>0</v>
      </c>
    </row>
    <row r="84" spans="1:62" x14ac:dyDescent="0.2">
      <c r="A84" s="1">
        <v>40480</v>
      </c>
      <c r="B84" s="97">
        <v>9.794194270860368E-3</v>
      </c>
      <c r="C84" s="97">
        <v>6.4595834804094698E-2</v>
      </c>
      <c r="D84" s="97">
        <v>1.7491751184392168E-2</v>
      </c>
      <c r="E84" s="97">
        <v>2.2308151768663853E-2</v>
      </c>
      <c r="F84" s="97">
        <v>2.2509931632182179E-2</v>
      </c>
      <c r="X84" s="1">
        <v>40480</v>
      </c>
      <c r="Y84" s="97">
        <f t="shared" si="11"/>
        <v>1.9895523157924908E-2</v>
      </c>
      <c r="Z84" s="97">
        <v>1.7716604371565543E-2</v>
      </c>
      <c r="AA84" s="97">
        <v>1.6576123367276638E-2</v>
      </c>
      <c r="AB84" s="97">
        <f t="shared" si="17"/>
        <v>2.7388280672468346E-2</v>
      </c>
      <c r="AC84" s="102">
        <f t="shared" si="18"/>
        <v>129.64924374519271</v>
      </c>
      <c r="AD84" s="102">
        <f t="shared" si="18"/>
        <v>127.13671782088689</v>
      </c>
      <c r="AE84" s="102">
        <f t="shared" si="18"/>
        <v>120.21860195159138</v>
      </c>
      <c r="AF84" s="102">
        <f t="shared" si="18"/>
        <v>106.63592992419032</v>
      </c>
      <c r="AJ84" s="97">
        <v>1.2557337629727217E-2</v>
      </c>
      <c r="AK84" s="97">
        <v>3.7275576034295765E-2</v>
      </c>
      <c r="BD84" s="1">
        <v>40480</v>
      </c>
      <c r="BE84" s="39">
        <f t="shared" si="13"/>
        <v>1.2964924374519269</v>
      </c>
      <c r="BF84" s="39">
        <f>BE84/MAX($BE$39:BE84) - 1</f>
        <v>0</v>
      </c>
      <c r="BG84" s="39">
        <f t="shared" si="14"/>
        <v>1.2713671782088691</v>
      </c>
      <c r="BH84" s="39">
        <f>BG84/MAX($BG$39:BG84) - 1</f>
        <v>0</v>
      </c>
      <c r="BI84" s="39">
        <f t="shared" si="15"/>
        <v>1.2021860195159133</v>
      </c>
      <c r="BJ84" s="39">
        <f>BI84/MAX($BI$39:BI84) - 1</f>
        <v>0</v>
      </c>
    </row>
    <row r="85" spans="1:62" x14ac:dyDescent="0.2">
      <c r="A85" s="1">
        <v>40512</v>
      </c>
      <c r="B85" s="97">
        <v>-1.7984888097221097E-3</v>
      </c>
      <c r="C85" s="97">
        <v>-1.6909814323607386E-2</v>
      </c>
      <c r="D85" s="97">
        <v>-1.8656866627788427E-2</v>
      </c>
      <c r="E85" s="97">
        <v>-9.1628478682193037E-3</v>
      </c>
      <c r="F85" s="97">
        <v>-1.4332176592334211E-2</v>
      </c>
      <c r="X85" s="1">
        <v>40512</v>
      </c>
      <c r="Y85" s="97">
        <f t="shared" si="11"/>
        <v>-8.2409597985334659E-3</v>
      </c>
      <c r="Z85" s="97">
        <v>-6.5399584409210447E-3</v>
      </c>
      <c r="AA85" s="97">
        <v>-4.9874860128636357E-3</v>
      </c>
      <c r="AB85" s="97">
        <f t="shared" si="17"/>
        <v>-2.8180424197954457E-2</v>
      </c>
      <c r="AC85" s="102">
        <f t="shared" si="18"/>
        <v>128.5808095395783</v>
      </c>
      <c r="AD85" s="102">
        <f t="shared" si="18"/>
        <v>126.30524897002319</v>
      </c>
      <c r="AE85" s="102">
        <f t="shared" si="18"/>
        <v>119.6190133558718</v>
      </c>
      <c r="AF85" s="102">
        <f t="shared" si="18"/>
        <v>103.6308841841833</v>
      </c>
      <c r="AJ85" s="97">
        <v>-3.8066778306476645E-2</v>
      </c>
      <c r="AK85" s="97">
        <v>-2.1589521458939664E-2</v>
      </c>
      <c r="BD85" s="1">
        <v>40512</v>
      </c>
      <c r="BE85" s="39">
        <f t="shared" si="13"/>
        <v>1.2858080953957829</v>
      </c>
      <c r="BF85" s="39">
        <f>BE85/MAX($BE$39:BE85) - 1</f>
        <v>-8.2409597985334537E-3</v>
      </c>
      <c r="BG85" s="39">
        <f t="shared" si="14"/>
        <v>1.263052489700232</v>
      </c>
      <c r="BH85" s="39">
        <f>BG85/MAX($BG$39:BG85) - 1</f>
        <v>-6.5399584409211453E-3</v>
      </c>
      <c r="BI85" s="39">
        <f t="shared" si="15"/>
        <v>1.1961901335587175</v>
      </c>
      <c r="BJ85" s="39">
        <f>BI85/MAX($BI$39:BI85) - 1</f>
        <v>-4.9874860128635845E-3</v>
      </c>
    </row>
    <row r="86" spans="1:62" x14ac:dyDescent="0.2">
      <c r="A86" s="1">
        <v>40543</v>
      </c>
      <c r="B86" s="97">
        <v>-5.4972887717157359E-3</v>
      </c>
      <c r="C86" s="97">
        <v>5.2501405283867264E-2</v>
      </c>
      <c r="D86" s="97">
        <v>0.12620483572381058</v>
      </c>
      <c r="E86" s="97">
        <v>3.3396032885429472E-2</v>
      </c>
      <c r="F86" s="97">
        <v>-1.9566361435638391E-2</v>
      </c>
      <c r="X86" s="1">
        <v>40543</v>
      </c>
      <c r="Y86" s="97">
        <f t="shared" si="11"/>
        <v>1.1762055734526003E-2</v>
      </c>
      <c r="Z86" s="97">
        <v>1.1998479402595021E-2</v>
      </c>
      <c r="AA86" s="97">
        <v>1.0728640066208077E-2</v>
      </c>
      <c r="AB86" s="97">
        <f t="shared" si="17"/>
        <v>4.9338662382459472E-2</v>
      </c>
      <c r="AC86" s="102">
        <f t="shared" si="18"/>
        <v>130.09318418777329</v>
      </c>
      <c r="AD86" s="102">
        <f t="shared" si="18"/>
        <v>127.82071989822965</v>
      </c>
      <c r="AE86" s="102">
        <f t="shared" si="18"/>
        <v>120.90236269524189</v>
      </c>
      <c r="AF86" s="102">
        <f t="shared" si="18"/>
        <v>108.74389339134248</v>
      </c>
      <c r="AJ86" s="97">
        <v>1.3058653730044556E-2</v>
      </c>
      <c r="AK86" s="97">
        <v>7.3525334817402754E-2</v>
      </c>
      <c r="BD86" s="1">
        <v>40543</v>
      </c>
      <c r="BE86" s="39">
        <f t="shared" si="13"/>
        <v>1.3009318418777327</v>
      </c>
      <c r="BF86" s="39">
        <f>BE86/MAX($BE$39:BE86) - 1</f>
        <v>0</v>
      </c>
      <c r="BG86" s="39">
        <f t="shared" si="14"/>
        <v>1.2782071989822967</v>
      </c>
      <c r="BH86" s="39">
        <f>BG86/MAX($BG$39:BG86) - 1</f>
        <v>0</v>
      </c>
      <c r="BI86" s="39">
        <f t="shared" si="15"/>
        <v>1.2090236269524184</v>
      </c>
      <c r="BJ86" s="39">
        <f>BI86/MAX($BI$39:BI86) - 1</f>
        <v>0</v>
      </c>
    </row>
    <row r="87" spans="1:62" x14ac:dyDescent="0.2">
      <c r="A87" s="1">
        <v>40574</v>
      </c>
      <c r="B87" s="97">
        <v>5.151446746194388E-4</v>
      </c>
      <c r="C87" s="97">
        <v>4.2191839350566029E-2</v>
      </c>
      <c r="D87" s="97">
        <v>1.6867305606979244E-2</v>
      </c>
      <c r="E87" s="97">
        <v>-7.2124827356772059E-3</v>
      </c>
      <c r="F87" s="97">
        <v>4.809395497632929E-3</v>
      </c>
      <c r="X87" s="1">
        <v>40574</v>
      </c>
      <c r="Y87" s="97">
        <f t="shared" si="11"/>
        <v>3.4151506639085831E-3</v>
      </c>
      <c r="Z87" s="97">
        <v>1.5859267339486788E-3</v>
      </c>
      <c r="AA87" s="97">
        <v>1.0973442347448161E-3</v>
      </c>
      <c r="AB87" s="97">
        <f t="shared" si="17"/>
        <v>1.4275177041883901E-2</v>
      </c>
      <c r="AC87" s="102">
        <f t="shared" si="18"/>
        <v>130.53747201212215</v>
      </c>
      <c r="AD87" s="102">
        <f t="shared" si="18"/>
        <v>128.02343419506883</v>
      </c>
      <c r="AE87" s="102">
        <f t="shared" si="18"/>
        <v>121.03503420591254</v>
      </c>
      <c r="AF87" s="102">
        <f t="shared" si="18"/>
        <v>110.29623172172764</v>
      </c>
      <c r="AJ87" s="97">
        <v>1.7997827962523694E-3</v>
      </c>
      <c r="AK87" s="97">
        <v>2.259210653897159E-2</v>
      </c>
      <c r="BD87" s="1">
        <v>40574</v>
      </c>
      <c r="BE87" s="39">
        <f t="shared" si="13"/>
        <v>1.3053747201212214</v>
      </c>
      <c r="BF87" s="39">
        <f>BE87/MAX($BE$39:BE87) - 1</f>
        <v>0</v>
      </c>
      <c r="BG87" s="39">
        <f t="shared" si="14"/>
        <v>1.2802343419506883</v>
      </c>
      <c r="BH87" s="39">
        <f>BG87/MAX($BG$39:BG87) - 1</f>
        <v>0</v>
      </c>
      <c r="BI87" s="39">
        <f t="shared" si="15"/>
        <v>1.2103503420591248</v>
      </c>
      <c r="BJ87" s="39">
        <f>BI87/MAX($BI$39:BI87) - 1</f>
        <v>0</v>
      </c>
    </row>
    <row r="88" spans="1:62" x14ac:dyDescent="0.2">
      <c r="A88" s="1">
        <v>40602</v>
      </c>
      <c r="B88" s="97">
        <v>2.5107604017218232E-3</v>
      </c>
      <c r="C88" s="97">
        <v>1.8960746130982864E-2</v>
      </c>
      <c r="D88" s="97">
        <v>2.4439452712319953E-2</v>
      </c>
      <c r="E88" s="97">
        <v>1.275295479218741E-2</v>
      </c>
      <c r="F88" s="97">
        <v>6.1165183388709465E-3</v>
      </c>
      <c r="X88" s="1">
        <v>40602</v>
      </c>
      <c r="Y88" s="97">
        <f t="shared" si="11"/>
        <v>8.0689541208508325E-3</v>
      </c>
      <c r="Z88" s="97">
        <v>7.2603345587099171E-3</v>
      </c>
      <c r="AA88" s="97">
        <v>6.56922739818079E-3</v>
      </c>
      <c r="AB88" s="97">
        <f t="shared" si="17"/>
        <v>2.3362449027126787E-2</v>
      </c>
      <c r="AC88" s="102">
        <f t="shared" ref="AC88:AF103" si="19">AC87*(1+Y88)</f>
        <v>131.59077288483979</v>
      </c>
      <c r="AD88" s="102">
        <f t="shared" si="19"/>
        <v>128.95292715868001</v>
      </c>
      <c r="AE88" s="102">
        <f t="shared" si="19"/>
        <v>121.83014086875777</v>
      </c>
      <c r="AF88" s="102">
        <f t="shared" si="19"/>
        <v>112.87302181321066</v>
      </c>
      <c r="AJ88" s="97">
        <v>5.8872994581078419E-3</v>
      </c>
      <c r="AK88" s="97">
        <v>3.5012548739806082E-2</v>
      </c>
      <c r="BD88" s="1">
        <v>40602</v>
      </c>
      <c r="BE88" s="39">
        <f t="shared" si="13"/>
        <v>1.3159077288483978</v>
      </c>
      <c r="BF88" s="39">
        <f>BE88/MAX($BE$39:BE88) - 1</f>
        <v>0</v>
      </c>
      <c r="BG88" s="39">
        <f t="shared" si="14"/>
        <v>1.2895292715868001</v>
      </c>
      <c r="BH88" s="39">
        <f>BG88/MAX($BG$39:BG88) - 1</f>
        <v>0</v>
      </c>
      <c r="BI88" s="39">
        <f t="shared" si="15"/>
        <v>1.2183014086875772</v>
      </c>
      <c r="BJ88" s="39">
        <f>BI88/MAX($BI$39:BI88) - 1</f>
        <v>0</v>
      </c>
    </row>
    <row r="89" spans="1:62" x14ac:dyDescent="0.2">
      <c r="A89" s="1">
        <v>40633</v>
      </c>
      <c r="B89" s="97">
        <v>2.7872352703559589E-3</v>
      </c>
      <c r="C89" s="97">
        <v>-2.6252263126131603E-2</v>
      </c>
      <c r="D89" s="97">
        <v>-3.7958295158312727E-2</v>
      </c>
      <c r="E89" s="97">
        <v>-1.0905528496127914E-2</v>
      </c>
      <c r="F89" s="97">
        <v>6.8598248939435447E-3</v>
      </c>
      <c r="X89" s="1">
        <v>40633</v>
      </c>
      <c r="Y89" s="97">
        <f t="shared" si="11"/>
        <v>-3.8097296740796484E-3</v>
      </c>
      <c r="Z89" s="97">
        <v>-3.6131800545115009E-3</v>
      </c>
      <c r="AA89" s="97">
        <v>-3.3245612239059209E-3</v>
      </c>
      <c r="AB89" s="97">
        <f t="shared" si="17"/>
        <v>-4.0331964057740647E-3</v>
      </c>
      <c r="AC89" s="102">
        <f t="shared" si="19"/>
        <v>131.08944761254534</v>
      </c>
      <c r="AD89" s="102">
        <f t="shared" si="19"/>
        <v>128.48699701429939</v>
      </c>
      <c r="AE89" s="102">
        <f t="shared" si="19"/>
        <v>121.4251091065225</v>
      </c>
      <c r="AF89" s="102">
        <f t="shared" si="19"/>
        <v>112.41778274732476</v>
      </c>
      <c r="AJ89" s="97">
        <v>4.7096391412388972E-3</v>
      </c>
      <c r="AK89" s="97">
        <v>-9.8617534371160387E-3</v>
      </c>
      <c r="BD89" s="1">
        <v>40633</v>
      </c>
      <c r="BE89" s="39">
        <f t="shared" si="13"/>
        <v>1.3108944761254533</v>
      </c>
      <c r="BF89" s="39">
        <f>BE89/MAX($BE$39:BE89) - 1</f>
        <v>-3.8097296740796649E-3</v>
      </c>
      <c r="BG89" s="39">
        <f t="shared" si="14"/>
        <v>1.284869970142994</v>
      </c>
      <c r="BH89" s="39">
        <f>BG89/MAX($BG$39:BG89) - 1</f>
        <v>-3.6131800545115E-3</v>
      </c>
      <c r="BI89" s="39">
        <f t="shared" si="15"/>
        <v>1.2142510910652244</v>
      </c>
      <c r="BJ89" s="39">
        <f>BI89/MAX($BI$39:BI89) - 1</f>
        <v>-3.3245612239060085E-3</v>
      </c>
    </row>
    <row r="90" spans="1:62" x14ac:dyDescent="0.2">
      <c r="A90" s="1">
        <v>40662</v>
      </c>
      <c r="B90" s="97">
        <v>1.0974086883462908E-2</v>
      </c>
      <c r="C90" s="97">
        <v>2.9335812416072748E-2</v>
      </c>
      <c r="D90" s="97">
        <v>-5.0468660364161311E-3</v>
      </c>
      <c r="E90" s="97">
        <v>2.3708352933925037E-2</v>
      </c>
      <c r="F90" s="97">
        <v>2.9504047248661847E-2</v>
      </c>
      <c r="X90" s="1">
        <v>40662</v>
      </c>
      <c r="Y90" s="97">
        <f t="shared" si="11"/>
        <v>1.8553566946872223E-2</v>
      </c>
      <c r="Z90" s="97">
        <v>1.6845913130189381E-2</v>
      </c>
      <c r="AA90" s="97">
        <v>1.4938689765793984E-2</v>
      </c>
      <c r="AB90" s="97">
        <f t="shared" si="17"/>
        <v>3.788763401890196E-2</v>
      </c>
      <c r="AC90" s="102">
        <f t="shared" si="19"/>
        <v>133.5216244548532</v>
      </c>
      <c r="AD90" s="102">
        <f t="shared" si="19"/>
        <v>130.65147780436118</v>
      </c>
      <c r="AE90" s="102">
        <f t="shared" si="19"/>
        <v>123.23904114124252</v>
      </c>
      <c r="AF90" s="102">
        <f t="shared" si="19"/>
        <v>116.67702655727184</v>
      </c>
      <c r="AJ90" s="97">
        <v>3.0995329723658704E-2</v>
      </c>
      <c r="AK90" s="97">
        <v>4.2482503549064132E-2</v>
      </c>
      <c r="BD90" s="1">
        <v>40662</v>
      </c>
      <c r="BE90" s="39">
        <f t="shared" si="13"/>
        <v>1.3352162445485318</v>
      </c>
      <c r="BF90" s="39">
        <f>BE90/MAX($BE$39:BE90) - 1</f>
        <v>0</v>
      </c>
      <c r="BG90" s="39">
        <f t="shared" si="14"/>
        <v>1.3065147780436119</v>
      </c>
      <c r="BH90" s="39">
        <f>BG90/MAX($BG$39:BG90) - 1</f>
        <v>0</v>
      </c>
      <c r="BI90" s="39">
        <f t="shared" si="15"/>
        <v>1.2323904114124247</v>
      </c>
      <c r="BJ90" s="39">
        <f>BI90/MAX($BI$39:BI90) - 1</f>
        <v>0</v>
      </c>
    </row>
    <row r="91" spans="1:62" x14ac:dyDescent="0.2">
      <c r="A91" s="1">
        <v>40694</v>
      </c>
      <c r="B91" s="97">
        <v>1.0741120218579203E-2</v>
      </c>
      <c r="C91" s="97">
        <v>-1.6859006522830011E-2</v>
      </c>
      <c r="D91" s="97">
        <v>-2.7437374135532155E-2</v>
      </c>
      <c r="E91" s="97">
        <v>-2.3014873962964644E-2</v>
      </c>
      <c r="F91" s="97">
        <v>6.9046765353686368E-3</v>
      </c>
      <c r="X91" s="1">
        <v>40694</v>
      </c>
      <c r="Y91" s="97">
        <f t="shared" si="11"/>
        <v>-2.170602837343976E-3</v>
      </c>
      <c r="Z91" s="97">
        <v>-2.0144032853707129E-3</v>
      </c>
      <c r="AA91" s="97">
        <v>-7.6132998008664101E-4</v>
      </c>
      <c r="AB91" s="97">
        <f t="shared" si="17"/>
        <v>-1.2761032035240372E-2</v>
      </c>
      <c r="AC91" s="102">
        <f t="shared" si="19"/>
        <v>133.23180203796471</v>
      </c>
      <c r="AD91" s="102">
        <f t="shared" si="19"/>
        <v>130.38829303823354</v>
      </c>
      <c r="AE91" s="102">
        <f t="shared" si="19"/>
        <v>123.14521556450457</v>
      </c>
      <c r="AF91" s="102">
        <f t="shared" si="19"/>
        <v>115.1881072835979</v>
      </c>
      <c r="AJ91" s="97">
        <v>-7.8462186459959948E-4</v>
      </c>
      <c r="AK91" s="97">
        <v>-2.074530548233422E-2</v>
      </c>
      <c r="BD91" s="1">
        <v>40694</v>
      </c>
      <c r="BE91" s="39">
        <f t="shared" si="13"/>
        <v>1.332318020379647</v>
      </c>
      <c r="BF91" s="39">
        <f>BE91/MAX($BE$39:BE91) - 1</f>
        <v>-2.1706028373440489E-3</v>
      </c>
      <c r="BG91" s="39">
        <f t="shared" si="14"/>
        <v>1.3038829303823354</v>
      </c>
      <c r="BH91" s="39">
        <f>BG91/MAX($BG$39:BG91) - 1</f>
        <v>-2.014403285370836E-3</v>
      </c>
      <c r="BI91" s="39">
        <f t="shared" si="15"/>
        <v>1.2314521556450451</v>
      </c>
      <c r="BJ91" s="39">
        <f>BI91/MAX($BI$39:BI91) - 1</f>
        <v>-7.6132998008660024E-4</v>
      </c>
    </row>
    <row r="92" spans="1:62" x14ac:dyDescent="0.2">
      <c r="A92" s="1">
        <v>40724</v>
      </c>
      <c r="B92" s="97">
        <v>9.3485839148033101E-4</v>
      </c>
      <c r="C92" s="97">
        <v>-2.6130448096356007E-2</v>
      </c>
      <c r="D92" s="97">
        <v>-4.4209618561340536E-3</v>
      </c>
      <c r="E92" s="97">
        <v>-1.7408496940163443E-2</v>
      </c>
      <c r="F92" s="97">
        <v>1.0535258268982384E-2</v>
      </c>
      <c r="X92" s="1">
        <v>40724</v>
      </c>
      <c r="Y92" s="97">
        <f t="shared" si="11"/>
        <v>-3.6243894802143566E-3</v>
      </c>
      <c r="Z92" s="97">
        <v>-4.4898626294003329E-3</v>
      </c>
      <c r="AA92" s="97">
        <v>-4.7971952727441976E-3</v>
      </c>
      <c r="AB92" s="97">
        <f t="shared" si="17"/>
        <v>-9.1884392927973121E-3</v>
      </c>
      <c r="AC92" s="102">
        <f t="shared" si="19"/>
        <v>132.74891809622832</v>
      </c>
      <c r="AD92" s="102">
        <f t="shared" si="19"/>
        <v>129.80286751400988</v>
      </c>
      <c r="AE92" s="102">
        <f t="shared" si="19"/>
        <v>122.55446391853745</v>
      </c>
      <c r="AF92" s="102">
        <f t="shared" si="19"/>
        <v>114.12970835257033</v>
      </c>
      <c r="AJ92" s="97">
        <v>7.5848138648137997E-4</v>
      </c>
      <c r="AK92" s="97">
        <v>-1.5819719745649774E-2</v>
      </c>
      <c r="BD92" s="1">
        <v>40724</v>
      </c>
      <c r="BE92" s="39">
        <f t="shared" si="13"/>
        <v>1.3274891809622829</v>
      </c>
      <c r="BF92" s="39">
        <f>BE92/MAX($BE$39:BE92) - 1</f>
        <v>-5.787125207469046E-3</v>
      </c>
      <c r="BG92" s="39">
        <f t="shared" si="14"/>
        <v>1.2980286751400987</v>
      </c>
      <c r="BH92" s="39">
        <f>BG92/MAX($BG$39:BG92) - 1</f>
        <v>-6.4952215207396691E-3</v>
      </c>
      <c r="BI92" s="39">
        <f t="shared" si="15"/>
        <v>1.2255446391853739</v>
      </c>
      <c r="BJ92" s="39">
        <f>BI92/MAX($BI$39:BI92) - 1</f>
        <v>-5.5548730042493943E-3</v>
      </c>
    </row>
    <row r="93" spans="1:62" x14ac:dyDescent="0.2">
      <c r="A93" s="1">
        <v>40753</v>
      </c>
      <c r="B93" s="97">
        <v>9.2948411381117424E-3</v>
      </c>
      <c r="C93" s="97">
        <v>1.5931244104391729E-2</v>
      </c>
      <c r="D93" s="97">
        <v>4.5302466364798066E-2</v>
      </c>
      <c r="E93" s="97">
        <v>1.6556570391669911E-2</v>
      </c>
      <c r="F93" s="97">
        <v>4.0664689980820512E-2</v>
      </c>
      <c r="X93" s="1">
        <v>40753</v>
      </c>
      <c r="Y93" s="97">
        <f t="shared" si="11"/>
        <v>2.0170360040652577E-2</v>
      </c>
      <c r="Z93" s="97">
        <v>1.6393161024590003E-2</v>
      </c>
      <c r="AA93" s="97">
        <v>1.2810822237197317E-2</v>
      </c>
      <c r="AB93" s="97">
        <f t="shared" si="17"/>
        <v>-2.622619047890273E-3</v>
      </c>
      <c r="AC93" s="102">
        <f t="shared" si="19"/>
        <v>135.42651156923637</v>
      </c>
      <c r="AD93" s="102">
        <f t="shared" si="19"/>
        <v>131.93074682262056</v>
      </c>
      <c r="AE93" s="102">
        <f t="shared" si="19"/>
        <v>124.12448737017286</v>
      </c>
      <c r="AF93" s="102">
        <f t="shared" si="19"/>
        <v>113.83038960551472</v>
      </c>
      <c r="AJ93" s="97">
        <v>2.0641793888848792E-2</v>
      </c>
      <c r="AK93" s="97">
        <v>-1.8132227672382983E-2</v>
      </c>
      <c r="BD93" s="1">
        <v>40753</v>
      </c>
      <c r="BE93" s="39">
        <f t="shared" si="13"/>
        <v>1.3542651156923633</v>
      </c>
      <c r="BF93" s="39">
        <f>BE93/MAX($BE$39:BE93) - 1</f>
        <v>0</v>
      </c>
      <c r="BG93" s="39">
        <f t="shared" si="14"/>
        <v>1.3193074682262056</v>
      </c>
      <c r="BH93" s="39">
        <f>BG93/MAX($BG$39:BG93) - 1</f>
        <v>0</v>
      </c>
      <c r="BI93" s="39">
        <f t="shared" si="15"/>
        <v>1.2412448737017281</v>
      </c>
      <c r="BJ93" s="39">
        <f>BI93/MAX($BI$39:BI93) - 1</f>
        <v>0</v>
      </c>
    </row>
    <row r="94" spans="1:62" x14ac:dyDescent="0.2">
      <c r="A94" s="1">
        <v>40786</v>
      </c>
      <c r="B94" s="97">
        <v>1.2453661119937731E-2</v>
      </c>
      <c r="C94" s="97">
        <v>-6.0455999174662267E-2</v>
      </c>
      <c r="D94" s="97">
        <v>-7.4837536604256516E-2</v>
      </c>
      <c r="E94" s="97">
        <v>-5.1121648646952345E-3</v>
      </c>
      <c r="F94" s="97">
        <v>1.1614351294218839E-2</v>
      </c>
      <c r="X94" s="1">
        <v>40786</v>
      </c>
      <c r="Y94" s="97">
        <f t="shared" si="11"/>
        <v>-1.6829243250354293E-3</v>
      </c>
      <c r="Z94" s="97">
        <v>8.4524396183757906E-4</v>
      </c>
      <c r="AA94" s="97">
        <v>2.6031905120508011E-3</v>
      </c>
      <c r="AB94" s="97">
        <f t="shared" si="17"/>
        <v>-3.7186830638670516E-2</v>
      </c>
      <c r="AC94" s="102">
        <f t="shared" si="19"/>
        <v>135.19859899866179</v>
      </c>
      <c r="AD94" s="102">
        <f t="shared" si="19"/>
        <v>132.04226048975312</v>
      </c>
      <c r="AE94" s="102">
        <f t="shared" si="19"/>
        <v>124.44760705800805</v>
      </c>
      <c r="AF94" s="102">
        <f t="shared" si="19"/>
        <v>109.59739818572056</v>
      </c>
      <c r="AJ94" s="97">
        <v>1.2718624953519386E-2</v>
      </c>
      <c r="AK94" s="97">
        <v>-7.0457134366797125E-2</v>
      </c>
      <c r="BD94" s="1">
        <v>40786</v>
      </c>
      <c r="BE94" s="39">
        <f t="shared" si="13"/>
        <v>1.3519859899866176</v>
      </c>
      <c r="BF94" s="39">
        <f>BE94/MAX($BE$39:BE94) - 1</f>
        <v>-1.6829243250355841E-3</v>
      </c>
      <c r="BG94" s="39">
        <f t="shared" si="14"/>
        <v>1.3204226048975312</v>
      </c>
      <c r="BH94" s="39">
        <f>BG94/MAX($BG$39:BG94) - 1</f>
        <v>0</v>
      </c>
      <c r="BI94" s="39">
        <f t="shared" si="15"/>
        <v>1.2444760705800799</v>
      </c>
      <c r="BJ94" s="39">
        <f>BI94/MAX($BI$39:BI94) - 1</f>
        <v>0</v>
      </c>
    </row>
    <row r="95" spans="1:62" x14ac:dyDescent="0.2">
      <c r="A95" s="1">
        <v>40816</v>
      </c>
      <c r="B95" s="97">
        <v>1.7068698759490353E-3</v>
      </c>
      <c r="C95" s="97">
        <v>-3.3929943999121415E-2</v>
      </c>
      <c r="D95" s="97">
        <v>-0.20058644038488704</v>
      </c>
      <c r="E95" s="97">
        <v>-1.2433538373822772E-2</v>
      </c>
      <c r="F95" s="97">
        <v>-8.3202631880940903E-4</v>
      </c>
      <c r="X95" s="1">
        <v>40816</v>
      </c>
      <c r="Y95" s="97">
        <f t="shared" si="11"/>
        <v>-1.5208285488990815E-2</v>
      </c>
      <c r="Z95" s="97">
        <v>-1.1929536494730492E-2</v>
      </c>
      <c r="AA95" s="97">
        <v>-1.2001021209874686E-2</v>
      </c>
      <c r="AB95" s="97">
        <f t="shared" si="17"/>
        <v>-6.1065227360400251E-2</v>
      </c>
      <c r="AC95" s="102">
        <f t="shared" si="19"/>
        <v>133.14246010737855</v>
      </c>
      <c r="AD95" s="102">
        <f t="shared" si="19"/>
        <v>130.46705752439391</v>
      </c>
      <c r="AE95" s="102">
        <f t="shared" si="19"/>
        <v>122.95410868618674</v>
      </c>
      <c r="AF95" s="102">
        <f t="shared" si="19"/>
        <v>102.90480814740123</v>
      </c>
      <c r="AJ95" s="97">
        <v>-2.3107205887413995E-2</v>
      </c>
      <c r="AK95" s="97">
        <v>-8.637057500905776E-2</v>
      </c>
      <c r="BD95" s="1">
        <v>40816</v>
      </c>
      <c r="BE95" s="39">
        <f t="shared" si="13"/>
        <v>1.3314246010737854</v>
      </c>
      <c r="BF95" s="39">
        <f>BE95/MAX($BE$39:BE95) - 1</f>
        <v>-1.6865615420434743E-2</v>
      </c>
      <c r="BG95" s="39">
        <f t="shared" si="14"/>
        <v>1.3046705752439389</v>
      </c>
      <c r="BH95" s="39">
        <f>BG95/MAX($BG$39:BG95) - 1</f>
        <v>-1.1929536494730497E-2</v>
      </c>
      <c r="BI95" s="39">
        <f t="shared" si="15"/>
        <v>1.2295410868618668</v>
      </c>
      <c r="BJ95" s="39">
        <f>BI95/MAX($BI$39:BI95) - 1</f>
        <v>-1.2001021209874785E-2</v>
      </c>
    </row>
    <row r="96" spans="1:62" x14ac:dyDescent="0.2">
      <c r="A96" s="1">
        <v>40847</v>
      </c>
      <c r="B96" s="97">
        <v>-2.7483248959736528E-5</v>
      </c>
      <c r="C96" s="97">
        <v>0.11513980450102301</v>
      </c>
      <c r="D96" s="97">
        <v>9.3217606117719676E-2</v>
      </c>
      <c r="E96" s="97">
        <v>-9.2411245091531535E-3</v>
      </c>
      <c r="F96" s="97">
        <v>1.1275208897651989E-2</v>
      </c>
      <c r="X96" s="1">
        <v>40847</v>
      </c>
      <c r="Y96" s="97">
        <f t="shared" si="11"/>
        <v>1.3260808671372529E-2</v>
      </c>
      <c r="Z96" s="97">
        <v>7.7433331986124466E-3</v>
      </c>
      <c r="AA96" s="97">
        <v>4.9142267192391828E-3</v>
      </c>
      <c r="AB96" s="97">
        <f t="shared" si="17"/>
        <v>6.7386506999136744E-2</v>
      </c>
      <c r="AC96" s="102">
        <f t="shared" si="19"/>
        <v>134.90803679689836</v>
      </c>
      <c r="AD96" s="102">
        <f t="shared" si="19"/>
        <v>131.47730742224783</v>
      </c>
      <c r="AE96" s="102">
        <f t="shared" si="19"/>
        <v>123.55833305233264</v>
      </c>
      <c r="AF96" s="102">
        <f t="shared" si="19"/>
        <v>109.83920372187092</v>
      </c>
      <c r="AJ96" s="97">
        <v>1.3311028609062525E-2</v>
      </c>
      <c r="AK96" s="97">
        <v>0.1034368259258529</v>
      </c>
      <c r="BD96" s="1">
        <v>40847</v>
      </c>
      <c r="BE96" s="39">
        <f t="shared" si="13"/>
        <v>1.3490803679689833</v>
      </c>
      <c r="BF96" s="39">
        <f>BE96/MAX($BE$39:BE96) - 1</f>
        <v>-3.8284584482775053E-3</v>
      </c>
      <c r="BG96" s="39">
        <f t="shared" si="14"/>
        <v>1.3147730742224781</v>
      </c>
      <c r="BH96" s="39">
        <f>BG96/MAX($BG$39:BG96) - 1</f>
        <v>-4.2785776721017132E-3</v>
      </c>
      <c r="BI96" s="39">
        <f t="shared" si="15"/>
        <v>1.2355833305233259</v>
      </c>
      <c r="BJ96" s="39">
        <f>BI96/MAX($BI$39:BI96) - 1</f>
        <v>-7.1457702297231807E-3</v>
      </c>
    </row>
    <row r="97" spans="1:62" x14ac:dyDescent="0.2">
      <c r="A97" s="1">
        <v>40877</v>
      </c>
      <c r="B97" s="97">
        <v>1.8194410852883092E-3</v>
      </c>
      <c r="C97" s="97">
        <v>-1.7225563143410394E-2</v>
      </c>
      <c r="D97" s="97">
        <v>-3.0156198018320812E-2</v>
      </c>
      <c r="E97" s="97">
        <v>-6.527056965234701E-3</v>
      </c>
      <c r="F97" s="97">
        <v>1.296199895887562E-2</v>
      </c>
      <c r="X97" s="1">
        <v>40877</v>
      </c>
      <c r="Y97" s="97">
        <f t="shared" si="11"/>
        <v>-7.8855637495726851E-4</v>
      </c>
      <c r="Z97" s="97">
        <v>-6.528864537149045E-4</v>
      </c>
      <c r="AA97" s="97">
        <v>-1.2110816656852159E-3</v>
      </c>
      <c r="AB97" s="97">
        <f t="shared" si="17"/>
        <v>-2.1629880521788315E-2</v>
      </c>
      <c r="AC97" s="102">
        <f t="shared" si="19"/>
        <v>134.80165420444919</v>
      </c>
      <c r="AD97" s="102">
        <f t="shared" si="19"/>
        <v>131.39146766926095</v>
      </c>
      <c r="AE97" s="102">
        <f t="shared" si="19"/>
        <v>123.40869382053035</v>
      </c>
      <c r="AF97" s="102">
        <f t="shared" si="19"/>
        <v>107.46339486875848</v>
      </c>
      <c r="AJ97" s="97">
        <v>-1.7451268054763491E-2</v>
      </c>
      <c r="AK97" s="97">
        <v>-2.4415622166471529E-2</v>
      </c>
      <c r="BD97" s="1">
        <v>40877</v>
      </c>
      <c r="BE97" s="39">
        <f t="shared" si="13"/>
        <v>1.3480165420444918</v>
      </c>
      <c r="BF97" s="39">
        <f>BE97/MAX($BE$39:BE97) - 1</f>
        <v>-4.6139958679189963E-3</v>
      </c>
      <c r="BG97" s="39">
        <f t="shared" si="14"/>
        <v>1.3139146766926093</v>
      </c>
      <c r="BH97" s="39">
        <f>BG97/MAX($BG$39:BG97) - 1</f>
        <v>-4.9286707004132513E-3</v>
      </c>
      <c r="BI97" s="39">
        <f t="shared" si="15"/>
        <v>1.2340869382053028</v>
      </c>
      <c r="BJ97" s="39">
        <f>BI97/MAX($BI$39:BI97) - 1</f>
        <v>-8.348197784096012E-3</v>
      </c>
    </row>
    <row r="98" spans="1:62" x14ac:dyDescent="0.2">
      <c r="A98" s="1">
        <v>40907</v>
      </c>
      <c r="B98" s="97">
        <v>7.0121533016926918E-3</v>
      </c>
      <c r="C98" s="97">
        <v>-8.8155984235637197E-3</v>
      </c>
      <c r="D98" s="97">
        <v>-4.251515088373814E-2</v>
      </c>
      <c r="E98" s="97">
        <v>-2.4774665427476084E-3</v>
      </c>
      <c r="F98" s="97">
        <v>2.0602759181309604E-3</v>
      </c>
      <c r="X98" s="1">
        <v>40907</v>
      </c>
      <c r="Y98" s="97">
        <f t="shared" si="11"/>
        <v>-3.0322869733392563E-5</v>
      </c>
      <c r="Z98" s="97">
        <v>1.8980380689110623E-3</v>
      </c>
      <c r="AA98" s="97">
        <v>2.8023069840240841E-3</v>
      </c>
      <c r="AB98" s="97">
        <f t="shared" si="17"/>
        <v>2.3639640179947911E-3</v>
      </c>
      <c r="AC98" s="102">
        <f t="shared" si="19"/>
        <v>134.79756663144892</v>
      </c>
      <c r="AD98" s="102">
        <f t="shared" si="19"/>
        <v>131.64085367682731</v>
      </c>
      <c r="AE98" s="102">
        <f t="shared" si="19"/>
        <v>123.75452286511292</v>
      </c>
      <c r="AF98" s="102">
        <f t="shared" si="19"/>
        <v>107.7174344674798</v>
      </c>
      <c r="AJ98" s="97">
        <v>6.7433421328839671E-3</v>
      </c>
      <c r="AK98" s="97">
        <v>-5.5562139193132687E-4</v>
      </c>
      <c r="BD98" s="1">
        <v>40907</v>
      </c>
      <c r="BE98" s="39">
        <f t="shared" si="13"/>
        <v>1.3479756663144891</v>
      </c>
      <c r="BF98" s="39">
        <f>BE98/MAX($BE$39:BE98) - 1</f>
        <v>-4.6441788280566776E-3</v>
      </c>
      <c r="BG98" s="39">
        <f t="shared" si="14"/>
        <v>1.316408536768273</v>
      </c>
      <c r="BH98" s="39">
        <f>BG98/MAX($BG$39:BG98) - 1</f>
        <v>-3.0399874361206614E-3</v>
      </c>
      <c r="BI98" s="39">
        <f t="shared" si="15"/>
        <v>1.2375452286511286</v>
      </c>
      <c r="BJ98" s="39">
        <f>BI98/MAX($BI$39:BI98) - 1</f>
        <v>-5.5692850130261151E-3</v>
      </c>
    </row>
    <row r="99" spans="1:62" x14ac:dyDescent="0.2">
      <c r="A99" s="1">
        <v>40939</v>
      </c>
      <c r="B99" s="97">
        <v>4.0755613431917581E-3</v>
      </c>
      <c r="C99" s="97">
        <v>7.6174531756827424E-2</v>
      </c>
      <c r="D99" s="97">
        <v>0.10917466712485657</v>
      </c>
      <c r="E99" s="97">
        <v>1.2674140364055342E-2</v>
      </c>
      <c r="F99" s="97">
        <v>2.545106997995239E-2</v>
      </c>
      <c r="X99" s="1">
        <v>40939</v>
      </c>
      <c r="Y99" s="97">
        <f t="shared" si="11"/>
        <v>2.1358019957969904E-2</v>
      </c>
      <c r="Z99" s="97">
        <v>1.5402627073454545E-2</v>
      </c>
      <c r="AA99" s="97">
        <v>1.1435839640875531E-2</v>
      </c>
      <c r="AB99" s="97">
        <f t="shared" si="17"/>
        <v>3.6804825328741894E-2</v>
      </c>
      <c r="AC99" s="102">
        <f t="shared" si="19"/>
        <v>137.67657574984918</v>
      </c>
      <c r="AD99" s="102">
        <f t="shared" si="19"/>
        <v>133.66846865364269</v>
      </c>
      <c r="AE99" s="102">
        <f t="shared" si="19"/>
        <v>125.16975974343141</v>
      </c>
      <c r="AF99" s="102">
        <f t="shared" si="19"/>
        <v>111.6819558279156</v>
      </c>
      <c r="AJ99" s="97">
        <v>1.6737375833606016E-2</v>
      </c>
      <c r="AK99" s="97">
        <v>5.0183124992165817E-2</v>
      </c>
      <c r="BD99" s="1">
        <v>40939</v>
      </c>
      <c r="BE99" s="39">
        <f t="shared" si="13"/>
        <v>1.3767657574984917</v>
      </c>
      <c r="BF99" s="39">
        <f>BE99/MAX($BE$39:BE99) - 1</f>
        <v>0</v>
      </c>
      <c r="BG99" s="39">
        <f t="shared" si="14"/>
        <v>1.3366846865364268</v>
      </c>
      <c r="BH99" s="39">
        <f>BG99/MAX($BG$39:BG99) - 1</f>
        <v>0</v>
      </c>
      <c r="BI99" s="39">
        <f t="shared" si="15"/>
        <v>1.2516975974343136</v>
      </c>
      <c r="BJ99" s="39">
        <f>BI99/MAX($BI$39:BI99) - 1</f>
        <v>0</v>
      </c>
    </row>
    <row r="100" spans="1:62" x14ac:dyDescent="0.2">
      <c r="A100" s="1">
        <v>40968</v>
      </c>
      <c r="B100" s="97">
        <v>9.225042191001176E-4</v>
      </c>
      <c r="C100" s="97">
        <v>7.3505104521147224E-2</v>
      </c>
      <c r="D100" s="97">
        <v>7.8517511604270229E-3</v>
      </c>
      <c r="E100" s="97">
        <v>7.894786998136949E-3</v>
      </c>
      <c r="F100" s="97">
        <v>-3.2189280242237439E-3</v>
      </c>
      <c r="X100" s="1">
        <v>40968</v>
      </c>
      <c r="Y100" s="97">
        <f t="shared" si="11"/>
        <v>7.2719317047166901E-3</v>
      </c>
      <c r="Z100" s="97">
        <v>5.0213175573405938E-3</v>
      </c>
      <c r="AA100" s="97">
        <v>4.6257341629184819E-3</v>
      </c>
      <c r="AB100" s="97">
        <f t="shared" si="17"/>
        <v>2.9037152902098826E-2</v>
      </c>
      <c r="AC100" s="102">
        <f t="shared" si="19"/>
        <v>138.67775040604135</v>
      </c>
      <c r="AD100" s="102">
        <f t="shared" si="19"/>
        <v>134.33966048215606</v>
      </c>
      <c r="AE100" s="102">
        <f t="shared" si="19"/>
        <v>125.74876177724092</v>
      </c>
      <c r="AF100" s="102">
        <f t="shared" si="19"/>
        <v>114.92488185569623</v>
      </c>
      <c r="AJ100" s="97">
        <v>-6.8014883567724116E-4</v>
      </c>
      <c r="AK100" s="97">
        <v>4.8848687393949541E-2</v>
      </c>
      <c r="BD100" s="1">
        <v>40968</v>
      </c>
      <c r="BE100" s="39">
        <f t="shared" si="13"/>
        <v>1.3867775040604133</v>
      </c>
      <c r="BF100" s="39">
        <f>BE100/MAX($BE$39:BE100) - 1</f>
        <v>0</v>
      </c>
      <c r="BG100" s="39">
        <f t="shared" si="14"/>
        <v>1.3433966048215604</v>
      </c>
      <c r="BH100" s="39">
        <f>BG100/MAX($BG$39:BG100) - 1</f>
        <v>0</v>
      </c>
      <c r="BI100" s="39">
        <f t="shared" si="15"/>
        <v>1.2574876177724086</v>
      </c>
      <c r="BJ100" s="39">
        <f>BI100/MAX($BI$39:BI100) - 1</f>
        <v>0</v>
      </c>
    </row>
    <row r="101" spans="1:62" x14ac:dyDescent="0.2">
      <c r="A101" s="1">
        <v>40998</v>
      </c>
      <c r="B101" s="97">
        <v>6.5057928663980746E-4</v>
      </c>
      <c r="C101" s="97">
        <v>5.053890046191456E-2</v>
      </c>
      <c r="D101" s="97">
        <v>-5.3876550097044507E-2</v>
      </c>
      <c r="E101" s="97">
        <v>-1.3185557759400779E-2</v>
      </c>
      <c r="F101" s="97">
        <v>-5.4597452118900769E-3</v>
      </c>
      <c r="X101" s="1">
        <v>40998</v>
      </c>
      <c r="Y101" s="97">
        <f t="shared" si="11"/>
        <v>-3.230471376918705E-3</v>
      </c>
      <c r="Z101" s="97">
        <v>-2.2895639327438727E-3</v>
      </c>
      <c r="AA101" s="97">
        <v>-8.1119325413371015E-4</v>
      </c>
      <c r="AB101" s="97">
        <f t="shared" si="17"/>
        <v>4.8335664545769309E-3</v>
      </c>
      <c r="AC101" s="102">
        <f t="shared" si="19"/>
        <v>138.22975590273916</v>
      </c>
      <c r="AD101" s="102">
        <f t="shared" si="19"/>
        <v>134.03208124077906</v>
      </c>
      <c r="AE101" s="102">
        <f t="shared" si="19"/>
        <v>125.64675522997155</v>
      </c>
      <c r="AF101" s="102">
        <f t="shared" si="19"/>
        <v>115.48037890943013</v>
      </c>
      <c r="AJ101" s="97">
        <v>-7.2007357393220062E-3</v>
      </c>
      <c r="AK101" s="97">
        <v>1.2856434583842891E-2</v>
      </c>
      <c r="BD101" s="1">
        <v>40998</v>
      </c>
      <c r="BE101" s="39">
        <f t="shared" si="13"/>
        <v>1.3822975590273914</v>
      </c>
      <c r="BF101" s="39">
        <f>BE101/MAX($BE$39:BE101) - 1</f>
        <v>-3.2304713769186755E-3</v>
      </c>
      <c r="BG101" s="39">
        <f t="shared" si="14"/>
        <v>1.3403208124077906</v>
      </c>
      <c r="BH101" s="39">
        <f>BG101/MAX($BG$39:BG101) - 1</f>
        <v>-2.2895639327437101E-3</v>
      </c>
      <c r="BI101" s="39">
        <f t="shared" si="15"/>
        <v>1.2564675522997149</v>
      </c>
      <c r="BJ101" s="39">
        <f>BI101/MAX($BI$39:BI101) - 1</f>
        <v>-8.1119325413381294E-4</v>
      </c>
    </row>
    <row r="102" spans="1:62" x14ac:dyDescent="0.2">
      <c r="A102" s="1">
        <v>41029</v>
      </c>
      <c r="B102" s="97">
        <v>6.4853091764145443E-3</v>
      </c>
      <c r="C102" s="97">
        <v>-1.8880938011897608E-2</v>
      </c>
      <c r="D102" s="97">
        <v>3.0949312899457571E-3</v>
      </c>
      <c r="E102" s="97">
        <v>-5.7933653187722811E-3</v>
      </c>
      <c r="F102" s="97">
        <v>2.0339931389994792E-2</v>
      </c>
      <c r="X102" s="1">
        <v>41029</v>
      </c>
      <c r="Y102" s="97">
        <f t="shared" si="11"/>
        <v>4.5328029084907928E-3</v>
      </c>
      <c r="Z102" s="97">
        <v>5.7168380003817711E-3</v>
      </c>
      <c r="AA102" s="97">
        <v>4.6507255026258538E-3</v>
      </c>
      <c r="AB102" s="97">
        <f t="shared" si="17"/>
        <v>-2.093418297440741E-3</v>
      </c>
      <c r="AC102" s="102">
        <f t="shared" si="19"/>
        <v>138.85632414233507</v>
      </c>
      <c r="AD102" s="102">
        <f t="shared" si="19"/>
        <v>134.79832093608661</v>
      </c>
      <c r="AE102" s="102">
        <f t="shared" si="19"/>
        <v>126.23110379884176</v>
      </c>
      <c r="AF102" s="102">
        <f t="shared" si="19"/>
        <v>115.23863017122575</v>
      </c>
      <c r="AJ102" s="97">
        <v>1.18003507858504E-2</v>
      </c>
      <c r="AK102" s="97">
        <v>-1.1355931019634835E-2</v>
      </c>
      <c r="BD102" s="1">
        <v>41029</v>
      </c>
      <c r="BE102" s="39">
        <f t="shared" si="13"/>
        <v>1.3885632414233504</v>
      </c>
      <c r="BF102" s="39">
        <f>BE102/MAX($BE$39:BE102) - 1</f>
        <v>0</v>
      </c>
      <c r="BG102" s="39">
        <f t="shared" si="14"/>
        <v>1.3479832093608661</v>
      </c>
      <c r="BH102" s="39">
        <f>BG102/MAX($BG$39:BG102) - 1</f>
        <v>0</v>
      </c>
      <c r="BI102" s="39">
        <f t="shared" si="15"/>
        <v>1.262311037988417</v>
      </c>
      <c r="BJ102" s="39">
        <f>BI102/MAX($BI$39:BI102) - 1</f>
        <v>0</v>
      </c>
    </row>
    <row r="103" spans="1:62" x14ac:dyDescent="0.2">
      <c r="A103" s="1">
        <v>41060</v>
      </c>
      <c r="B103" s="97">
        <v>3.1652383618276936E-3</v>
      </c>
      <c r="C103" s="97">
        <v>-7.7152899824253107E-2</v>
      </c>
      <c r="D103" s="97">
        <v>-9.6474373693121063E-2</v>
      </c>
      <c r="E103" s="97">
        <v>4.0365403664328614E-3</v>
      </c>
      <c r="F103" s="97">
        <v>1.8428705630643805E-2</v>
      </c>
      <c r="X103" s="1">
        <v>41060</v>
      </c>
      <c r="Y103" s="97">
        <f t="shared" si="11"/>
        <v>-4.2042266237660589E-3</v>
      </c>
      <c r="Z103" s="97">
        <v>-1.7461528526601937E-3</v>
      </c>
      <c r="AA103" s="97">
        <v>-3.9350229323544305E-3</v>
      </c>
      <c r="AB103" s="97">
        <f t="shared" ref="AB103:AB122" si="20">0.6*AK103+0.4*AJ103</f>
        <v>-5.5900729902095402E-2</v>
      </c>
      <c r="AC103" s="102">
        <f t="shared" si="19"/>
        <v>138.27254068749758</v>
      </c>
      <c r="AD103" s="102">
        <f t="shared" si="19"/>
        <v>134.56294246345027</v>
      </c>
      <c r="AE103" s="102">
        <f t="shared" si="19"/>
        <v>125.7343815106169</v>
      </c>
      <c r="AF103" s="102">
        <f t="shared" si="19"/>
        <v>108.7967066317366</v>
      </c>
      <c r="AJ103" s="97">
        <v>-1.0265945522908937E-2</v>
      </c>
      <c r="AK103" s="97">
        <v>-8.6323919488219714E-2</v>
      </c>
      <c r="BD103" s="1">
        <v>41060</v>
      </c>
      <c r="BE103" s="39">
        <f t="shared" si="13"/>
        <v>1.3827254068749755</v>
      </c>
      <c r="BF103" s="39">
        <f>BE103/MAX($BE$39:BE103) - 1</f>
        <v>-4.2042266237660719E-3</v>
      </c>
      <c r="BG103" s="39">
        <f t="shared" si="14"/>
        <v>1.3456294246345026</v>
      </c>
      <c r="BH103" s="39">
        <f>BG103/MAX($BG$39:BG103) - 1</f>
        <v>-1.746152852660221E-3</v>
      </c>
      <c r="BI103" s="39">
        <f t="shared" si="15"/>
        <v>1.2573438151061684</v>
      </c>
      <c r="BJ103" s="39">
        <f>BI103/MAX($BI$39:BI103) - 1</f>
        <v>-3.9350229323544816E-3</v>
      </c>
    </row>
    <row r="104" spans="1:62" x14ac:dyDescent="0.2">
      <c r="A104" s="1">
        <v>41089</v>
      </c>
      <c r="B104" s="97">
        <v>1.15907188392117E-3</v>
      </c>
      <c r="C104" s="97">
        <v>2.9708626928204307E-2</v>
      </c>
      <c r="D104" s="97">
        <v>3.8363418335760624E-3</v>
      </c>
      <c r="E104" s="97">
        <v>-1.4201680418060025E-2</v>
      </c>
      <c r="F104" s="97">
        <v>-3.5396042881291612E-3</v>
      </c>
      <c r="X104" s="1">
        <v>41089</v>
      </c>
      <c r="Y104" s="97">
        <f t="shared" ref="Y104:Y122" si="21">SUMPRODUCT(B104:F104, $H$44:$L$44)</f>
        <v>-1.3748268568697271E-3</v>
      </c>
      <c r="Z104" s="97">
        <v>-4.5092767981157525E-4</v>
      </c>
      <c r="AA104" s="97">
        <v>1.6288419279203521E-3</v>
      </c>
      <c r="AB104" s="97">
        <f t="shared" si="20"/>
        <v>3.2485170520880756E-2</v>
      </c>
      <c r="AC104" s="102">
        <f t="shared" ref="AC104:AF119" si="22">AC103*(1+Y104)</f>
        <v>138.08243988499279</v>
      </c>
      <c r="AD104" s="102">
        <f t="shared" si="22"/>
        <v>134.50226430801661</v>
      </c>
      <c r="AE104" s="102">
        <f t="shared" si="22"/>
        <v>125.93918294300254</v>
      </c>
      <c r="AF104" s="102">
        <f t="shared" si="22"/>
        <v>112.3309861987788</v>
      </c>
      <c r="AJ104" s="97">
        <v>4.7798759421848747E-3</v>
      </c>
      <c r="AK104" s="97">
        <v>5.0955366906678012E-2</v>
      </c>
      <c r="BD104" s="1">
        <v>41089</v>
      </c>
      <c r="BE104" s="39">
        <f t="shared" si="13"/>
        <v>1.3808243988499276</v>
      </c>
      <c r="BF104" s="39">
        <f>BE104/MAX($BE$39:BE104) - 1</f>
        <v>-5.5732733969611203E-3</v>
      </c>
      <c r="BG104" s="39">
        <f t="shared" si="14"/>
        <v>1.3450226430801659</v>
      </c>
      <c r="BH104" s="39">
        <f>BG104/MAX($BG$39:BG104) - 1</f>
        <v>-2.1962931438173072E-3</v>
      </c>
      <c r="BI104" s="39">
        <f t="shared" si="15"/>
        <v>1.2593918294300248</v>
      </c>
      <c r="BJ104" s="39">
        <f>BI104/MAX($BI$39:BI104) - 1</f>
        <v>-2.3125905347736175E-3</v>
      </c>
    </row>
    <row r="105" spans="1:62" x14ac:dyDescent="0.2">
      <c r="A105" s="1">
        <v>41121</v>
      </c>
      <c r="B105" s="97">
        <v>8.0344317475291582E-3</v>
      </c>
      <c r="C105" s="97">
        <v>9.8021083780284179E-3</v>
      </c>
      <c r="D105" s="97">
        <v>-2.4762950828857599E-2</v>
      </c>
      <c r="E105" s="97">
        <v>2.0088961747473988E-2</v>
      </c>
      <c r="F105" s="97">
        <v>1.4306151645207432E-2</v>
      </c>
      <c r="X105" s="1">
        <v>41121</v>
      </c>
      <c r="Y105" s="97">
        <f t="shared" si="21"/>
        <v>1.0740206184680934E-2</v>
      </c>
      <c r="Z105" s="97">
        <v>9.8605029593246008E-3</v>
      </c>
      <c r="AA105" s="97">
        <v>8.4204029708979632E-3</v>
      </c>
      <c r="AB105" s="97">
        <f t="shared" si="20"/>
        <v>1.2340542722038439E-2</v>
      </c>
      <c r="AC105" s="102">
        <f t="shared" si="22"/>
        <v>139.56547375984141</v>
      </c>
      <c r="AD105" s="102">
        <f t="shared" si="22"/>
        <v>135.82852428326166</v>
      </c>
      <c r="AE105" s="102">
        <f t="shared" si="22"/>
        <v>126.99964161320824</v>
      </c>
      <c r="AF105" s="102">
        <f t="shared" si="22"/>
        <v>113.71721153297354</v>
      </c>
      <c r="AJ105" s="97">
        <v>1.1568172439173408E-2</v>
      </c>
      <c r="AK105" s="97">
        <v>1.285545624394846E-2</v>
      </c>
      <c r="BD105" s="1">
        <v>41121</v>
      </c>
      <c r="BE105" s="39">
        <f t="shared" ref="BE105:BE122" si="23">BE104*(1+Y105)</f>
        <v>1.3956547375984139</v>
      </c>
      <c r="BF105" s="39">
        <f>BE105/MAX($BE$39:BE105) - 1</f>
        <v>0</v>
      </c>
      <c r="BG105" s="39">
        <f t="shared" ref="BG105:BG122" si="24">BG104*(1+Z105)</f>
        <v>1.3582852428326166</v>
      </c>
      <c r="BH105" s="39">
        <f>BG105/MAX($BG$39:BG105) - 1</f>
        <v>0</v>
      </c>
      <c r="BI105" s="39">
        <f t="shared" ref="BI105:BI122" si="25">BI104*(1+AA105)</f>
        <v>1.2699964161320818</v>
      </c>
      <c r="BJ105" s="39">
        <f>BI105/MAX($BI$39:BI105) - 1</f>
        <v>0</v>
      </c>
    </row>
    <row r="106" spans="1:62" x14ac:dyDescent="0.2">
      <c r="A106" s="1">
        <v>41152</v>
      </c>
      <c r="B106" s="97">
        <v>1.1272338638066426E-3</v>
      </c>
      <c r="C106" s="97">
        <v>5.0091575091575136E-2</v>
      </c>
      <c r="D106" s="97">
        <v>2.8132267343761175E-3</v>
      </c>
      <c r="E106" s="97">
        <v>-2.2822593880253983E-3</v>
      </c>
      <c r="F106" s="97">
        <v>4.2793451728551091E-4</v>
      </c>
      <c r="X106" s="1">
        <v>41152</v>
      </c>
      <c r="Y106" s="97">
        <f t="shared" si="21"/>
        <v>3.7552338678512247E-3</v>
      </c>
      <c r="Z106" s="97">
        <v>3.0751536625759426E-3</v>
      </c>
      <c r="AA106" s="97">
        <v>3.8529609454286606E-3</v>
      </c>
      <c r="AB106" s="97">
        <f t="shared" si="20"/>
        <v>1.8665006650700987E-2</v>
      </c>
      <c r="AC106" s="102">
        <f t="shared" si="22"/>
        <v>140.08957475368706</v>
      </c>
      <c r="AD106" s="102">
        <f t="shared" si="22"/>
        <v>136.24621786719362</v>
      </c>
      <c r="AE106" s="102">
        <f t="shared" si="22"/>
        <v>127.48896627242738</v>
      </c>
      <c r="AF106" s="102">
        <f t="shared" si="22"/>
        <v>115.83974404253566</v>
      </c>
      <c r="AJ106" s="97">
        <v>8.6349093936310961E-3</v>
      </c>
      <c r="AK106" s="97">
        <v>2.535173815541425E-2</v>
      </c>
      <c r="BD106" s="1">
        <v>41152</v>
      </c>
      <c r="BE106" s="39">
        <f t="shared" si="23"/>
        <v>1.4008957475368704</v>
      </c>
      <c r="BF106" s="39">
        <f>BE106/MAX($BE$39:BE106) - 1</f>
        <v>0</v>
      </c>
      <c r="BG106" s="39">
        <f t="shared" si="24"/>
        <v>1.3624621786719362</v>
      </c>
      <c r="BH106" s="39">
        <f>BG106/MAX($BG$39:BG106) - 1</f>
        <v>0</v>
      </c>
      <c r="BI106" s="39">
        <f t="shared" si="25"/>
        <v>1.2748896627242732</v>
      </c>
      <c r="BJ106" s="39">
        <f>BI106/MAX($BI$39:BI106) - 1</f>
        <v>0</v>
      </c>
    </row>
    <row r="107" spans="1:62" x14ac:dyDescent="0.2">
      <c r="A107" s="1">
        <v>41180</v>
      </c>
      <c r="B107" s="97">
        <v>2.07666119617822E-3</v>
      </c>
      <c r="C107" s="97">
        <v>1.2121740647074164E-2</v>
      </c>
      <c r="D107" s="97">
        <v>0.11025124105342266</v>
      </c>
      <c r="E107" s="97">
        <v>-3.0175992760539394E-4</v>
      </c>
      <c r="F107" s="97">
        <v>1.0222387115078391E-2</v>
      </c>
      <c r="X107" s="1">
        <v>41180</v>
      </c>
      <c r="Y107" s="97">
        <f t="shared" si="21"/>
        <v>9.5500629077798823E-3</v>
      </c>
      <c r="Z107" s="97">
        <v>7.5718110866127616E-3</v>
      </c>
      <c r="AA107" s="97">
        <v>6.1717486842324506E-3</v>
      </c>
      <c r="AB107" s="97">
        <f t="shared" si="20"/>
        <v>2.1360675950428964E-2</v>
      </c>
      <c r="AC107" s="102">
        <f t="shared" si="22"/>
        <v>141.42743900530888</v>
      </c>
      <c r="AD107" s="102">
        <f t="shared" si="22"/>
        <v>137.27784849014949</v>
      </c>
      <c r="AE107" s="102">
        <f t="shared" si="22"/>
        <v>128.2757961322734</v>
      </c>
      <c r="AF107" s="102">
        <f t="shared" si="22"/>
        <v>118.3141592772089</v>
      </c>
      <c r="AJ107" s="97">
        <v>1.2191439057180231E-2</v>
      </c>
      <c r="AK107" s="97">
        <v>2.747350054592812E-2</v>
      </c>
      <c r="BD107" s="1">
        <v>41180</v>
      </c>
      <c r="BE107" s="39">
        <f t="shared" si="23"/>
        <v>1.4142743900530887</v>
      </c>
      <c r="BF107" s="39">
        <f>BE107/MAX($BE$39:BE107) - 1</f>
        <v>0</v>
      </c>
      <c r="BG107" s="39">
        <f t="shared" si="24"/>
        <v>1.372778484901495</v>
      </c>
      <c r="BH107" s="39">
        <f>BG107/MAX($BG$39:BG107) - 1</f>
        <v>0</v>
      </c>
      <c r="BI107" s="39">
        <f t="shared" si="25"/>
        <v>1.2827579613227333</v>
      </c>
      <c r="BJ107" s="39">
        <f>BI107/MAX($BI$39:BI107) - 1</f>
        <v>0</v>
      </c>
    </row>
    <row r="108" spans="1:62" x14ac:dyDescent="0.2">
      <c r="A108" s="1">
        <v>41213</v>
      </c>
      <c r="B108" s="97">
        <v>-1.6748465607344665E-3</v>
      </c>
      <c r="C108" s="97">
        <v>-6.7551266586248548E-2</v>
      </c>
      <c r="D108" s="97">
        <v>-9.2744216873312801E-2</v>
      </c>
      <c r="E108" s="97">
        <v>-1.837322095604943E-2</v>
      </c>
      <c r="F108" s="97">
        <v>5.7939830717184115E-3</v>
      </c>
      <c r="X108" s="1">
        <v>41213</v>
      </c>
      <c r="Y108" s="97">
        <f t="shared" si="21"/>
        <v>-1.3491316618200928E-2</v>
      </c>
      <c r="Z108" s="97">
        <v>-9.3983065698094101E-3</v>
      </c>
      <c r="AA108" s="97">
        <v>-8.8713539377800014E-3</v>
      </c>
      <c r="AB108" s="97">
        <f t="shared" si="20"/>
        <v>-4.6163183367342814E-3</v>
      </c>
      <c r="AC108" s="102">
        <f t="shared" si="22"/>
        <v>139.51939664718697</v>
      </c>
      <c r="AD108" s="102">
        <f t="shared" si="22"/>
        <v>135.98766918479521</v>
      </c>
      <c r="AE108" s="102">
        <f t="shared" si="22"/>
        <v>127.13781614313349</v>
      </c>
      <c r="AF108" s="102">
        <f t="shared" si="22"/>
        <v>117.76798345424223</v>
      </c>
      <c r="AJ108" s="97">
        <v>-1.4044484880715302E-3</v>
      </c>
      <c r="AK108" s="97">
        <v>-6.7575649025094497E-3</v>
      </c>
      <c r="BD108" s="1">
        <v>41213</v>
      </c>
      <c r="BE108" s="39">
        <f t="shared" si="23"/>
        <v>1.3951939664718696</v>
      </c>
      <c r="BF108" s="39">
        <f>BE108/MAX($BE$39:BE108) - 1</f>
        <v>-1.349131661820091E-2</v>
      </c>
      <c r="BG108" s="39">
        <f t="shared" si="24"/>
        <v>1.3598766918479521</v>
      </c>
      <c r="BH108" s="39">
        <f>BG108/MAX($BG$39:BG108) - 1</f>
        <v>-9.3983065698095558E-3</v>
      </c>
      <c r="BI108" s="39">
        <f t="shared" si="25"/>
        <v>1.2713781614313342</v>
      </c>
      <c r="BJ108" s="39">
        <f>BI108/MAX($BI$39:BI108) - 1</f>
        <v>-8.8713539377800466E-3</v>
      </c>
    </row>
    <row r="109" spans="1:62" x14ac:dyDescent="0.2">
      <c r="A109" s="1">
        <v>41243</v>
      </c>
      <c r="B109" s="97">
        <v>-1.7201286911094904E-3</v>
      </c>
      <c r="C109" s="97">
        <v>1.007207540195898E-2</v>
      </c>
      <c r="D109" s="97">
        <v>6.9925148238696444E-2</v>
      </c>
      <c r="E109" s="97">
        <v>-6.44670878578113E-4</v>
      </c>
      <c r="F109" s="97">
        <v>6.4865886557725627E-3</v>
      </c>
      <c r="X109" s="1">
        <v>41243</v>
      </c>
      <c r="Y109" s="97">
        <f t="shared" si="21"/>
        <v>4.8467307321190803E-3</v>
      </c>
      <c r="Z109" s="97">
        <v>2.9752007060062698E-3</v>
      </c>
      <c r="AA109" s="97">
        <v>1.8040811723376822E-3</v>
      </c>
      <c r="AB109" s="97">
        <f t="shared" si="20"/>
        <v>7.6409287287995111E-3</v>
      </c>
      <c r="AC109" s="102">
        <f t="shared" si="22"/>
        <v>140.1956095946436</v>
      </c>
      <c r="AD109" s="102">
        <f t="shared" si="22"/>
        <v>136.39225979416196</v>
      </c>
      <c r="AE109" s="102">
        <f t="shared" si="22"/>
        <v>127.36718308352944</v>
      </c>
      <c r="AF109" s="102">
        <f t="shared" si="22"/>
        <v>118.66784022235053</v>
      </c>
      <c r="AJ109" s="97">
        <v>-1.0501126144191186E-4</v>
      </c>
      <c r="AK109" s="97">
        <v>1.2804888722293795E-2</v>
      </c>
      <c r="BD109" s="1">
        <v>41243</v>
      </c>
      <c r="BE109" s="39">
        <f t="shared" si="23"/>
        <v>1.4019560959464359</v>
      </c>
      <c r="BF109" s="39">
        <f>BE109/MAX($BE$39:BE109) - 1</f>
        <v>-8.7099746649520471E-3</v>
      </c>
      <c r="BG109" s="39">
        <f t="shared" si="24"/>
        <v>1.3639225979416196</v>
      </c>
      <c r="BH109" s="39">
        <f>BG109/MAX($BG$39:BG109) - 1</f>
        <v>-6.4510677121449866E-3</v>
      </c>
      <c r="BI109" s="39">
        <f t="shared" si="25"/>
        <v>1.2736718308352937</v>
      </c>
      <c r="BJ109" s="39">
        <f>BI109/MAX($BI$39:BI109) - 1</f>
        <v>-7.0832774080547001E-3</v>
      </c>
    </row>
    <row r="110" spans="1:62" x14ac:dyDescent="0.2">
      <c r="A110" s="1">
        <v>41274</v>
      </c>
      <c r="B110" s="97">
        <v>1.3667740940468409E-3</v>
      </c>
      <c r="C110" s="97">
        <v>-4.5741469215987429E-4</v>
      </c>
      <c r="D110" s="97">
        <v>-7.3716408001648359E-3</v>
      </c>
      <c r="E110" s="97">
        <v>1.0210786981236009E-2</v>
      </c>
      <c r="F110" s="97">
        <v>-7.6782558963371939E-3</v>
      </c>
      <c r="X110" s="1">
        <v>41274</v>
      </c>
      <c r="Y110" s="97">
        <f t="shared" si="21"/>
        <v>9.5839779306054426E-4</v>
      </c>
      <c r="Z110" s="97">
        <v>6.926022792988545E-4</v>
      </c>
      <c r="AA110" s="97">
        <v>8.5291134090890227E-4</v>
      </c>
      <c r="AB110" s="97">
        <f t="shared" si="20"/>
        <v>9.9663380740581779E-3</v>
      </c>
      <c r="AC110" s="102">
        <f t="shared" si="22"/>
        <v>140.32997275747587</v>
      </c>
      <c r="AD110" s="102">
        <f t="shared" si="22"/>
        <v>136.48672538417412</v>
      </c>
      <c r="AE110" s="102">
        <f t="shared" si="22"/>
        <v>127.47581599844099</v>
      </c>
      <c r="AF110" s="102">
        <f t="shared" si="22"/>
        <v>119.8505240365248</v>
      </c>
      <c r="AJ110" s="97">
        <v>-3.2935503480279182E-3</v>
      </c>
      <c r="AK110" s="97">
        <v>1.8806263688782243E-2</v>
      </c>
      <c r="BD110" s="1">
        <v>41274</v>
      </c>
      <c r="BE110" s="39">
        <f t="shared" si="23"/>
        <v>1.4032997275747587</v>
      </c>
      <c r="BF110" s="39">
        <f>BE110/MAX($BE$39:BE110) - 1</f>
        <v>-7.7599244923879374E-3</v>
      </c>
      <c r="BG110" s="39">
        <f t="shared" si="24"/>
        <v>1.3648672538417412</v>
      </c>
      <c r="BH110" s="39">
        <f>BG110/MAX($BG$39:BG110) - 1</f>
        <v>-5.7629334570474811E-3</v>
      </c>
      <c r="BI110" s="39">
        <f t="shared" si="25"/>
        <v>1.2747581599844091</v>
      </c>
      <c r="BJ110" s="39">
        <f>BI110/MAX($BI$39:BI110) - 1</f>
        <v>-6.2364074747781606E-3</v>
      </c>
    </row>
    <row r="111" spans="1:62" x14ac:dyDescent="0.2">
      <c r="A111" s="1">
        <v>41305</v>
      </c>
      <c r="B111" s="97">
        <v>-5.0028944559219468E-3</v>
      </c>
      <c r="C111" s="97">
        <v>1.3545670876807581E-2</v>
      </c>
      <c r="D111" s="97">
        <v>2.286054249587588E-2</v>
      </c>
      <c r="E111" s="97">
        <v>1.526979061451339E-2</v>
      </c>
      <c r="F111" s="97">
        <v>-7.9613245648367803E-3</v>
      </c>
      <c r="X111" s="1">
        <v>41305</v>
      </c>
      <c r="Y111" s="97">
        <f t="shared" si="21"/>
        <v>2.0063392464710157E-3</v>
      </c>
      <c r="Z111" s="97">
        <v>-1.2552716919628684E-3</v>
      </c>
      <c r="AA111" s="97">
        <v>-2.2008034165437052E-3</v>
      </c>
      <c r="AB111" s="97">
        <f t="shared" si="20"/>
        <v>2.6925403507170431E-2</v>
      </c>
      <c r="AC111" s="102">
        <f t="shared" si="22"/>
        <v>140.61152228927543</v>
      </c>
      <c r="AD111" s="102">
        <f t="shared" si="22"/>
        <v>136.31539746147067</v>
      </c>
      <c r="AE111" s="102">
        <f t="shared" si="22"/>
        <v>127.19526678706492</v>
      </c>
      <c r="AF111" s="102">
        <f t="shared" si="22"/>
        <v>123.07754775675406</v>
      </c>
      <c r="AJ111" s="97">
        <v>-9.0956693420318757E-3</v>
      </c>
      <c r="AK111" s="97">
        <v>5.0939452073305302E-2</v>
      </c>
      <c r="BD111" s="1">
        <v>41305</v>
      </c>
      <c r="BE111" s="39">
        <f t="shared" si="23"/>
        <v>1.4061152228927543</v>
      </c>
      <c r="BF111" s="39">
        <f>BE111/MAX($BE$39:BE111) - 1</f>
        <v>-5.769154286975553E-3</v>
      </c>
      <c r="BG111" s="39">
        <f t="shared" si="24"/>
        <v>1.3631539746147066</v>
      </c>
      <c r="BH111" s="39">
        <f>BG111/MAX($BG$39:BG111) - 1</f>
        <v>-7.0109711017790621E-3</v>
      </c>
      <c r="BI111" s="39">
        <f t="shared" si="25"/>
        <v>1.2719526678706485</v>
      </c>
      <c r="BJ111" s="39">
        <f>BI111/MAX($BI$39:BI111) - 1</f>
        <v>-8.4234857844442956E-3</v>
      </c>
    </row>
    <row r="112" spans="1:62" x14ac:dyDescent="0.2">
      <c r="A112" s="1">
        <v>41333</v>
      </c>
      <c r="B112" s="97">
        <v>3.3893962604549799E-3</v>
      </c>
      <c r="C112" s="97">
        <v>5.869604478959678E-3</v>
      </c>
      <c r="D112" s="97">
        <v>-5.6316899264906461E-2</v>
      </c>
      <c r="E112" s="97">
        <v>-6.7914589939099823E-3</v>
      </c>
      <c r="F112" s="97">
        <v>5.2677673337726549E-3</v>
      </c>
      <c r="X112" s="1">
        <v>41333</v>
      </c>
      <c r="Y112" s="97">
        <f t="shared" si="21"/>
        <v>-1.5486458970609056E-3</v>
      </c>
      <c r="Z112" s="97">
        <v>6.0072750614022187E-4</v>
      </c>
      <c r="AA112" s="97">
        <v>1.1776335730691529E-3</v>
      </c>
      <c r="AB112" s="97">
        <f t="shared" si="20"/>
        <v>-2.7992721155147837E-3</v>
      </c>
      <c r="AC112" s="102">
        <f t="shared" si="22"/>
        <v>140.39376483220263</v>
      </c>
      <c r="AD112" s="102">
        <f t="shared" si="22"/>
        <v>136.3972858702362</v>
      </c>
      <c r="AE112" s="102">
        <f t="shared" si="22"/>
        <v>127.34505620356886</v>
      </c>
      <c r="AF112" s="102">
        <f t="shared" si="22"/>
        <v>122.73302020927264</v>
      </c>
      <c r="AJ112" s="97">
        <v>-9.4749964049156699E-3</v>
      </c>
      <c r="AK112" s="97">
        <v>1.651210744085807E-3</v>
      </c>
      <c r="BD112" s="1">
        <v>41333</v>
      </c>
      <c r="BE112" s="39">
        <f t="shared" si="23"/>
        <v>1.4039376483220265</v>
      </c>
      <c r="BF112" s="39">
        <f>BE112/MAX($BE$39:BE112) - 1</f>
        <v>-7.3088658069203616E-3</v>
      </c>
      <c r="BG112" s="39">
        <f t="shared" si="24"/>
        <v>1.3639728587023618</v>
      </c>
      <c r="BH112" s="39">
        <f>BG112/MAX($BG$39:BG112) - 1</f>
        <v>-6.4144552788245601E-3</v>
      </c>
      <c r="BI112" s="39">
        <f t="shared" si="25"/>
        <v>1.2734505620356877</v>
      </c>
      <c r="BJ112" s="39">
        <f>BI112/MAX($BI$39:BI112) - 1</f>
        <v>-7.2557719910373297E-3</v>
      </c>
    </row>
    <row r="113" spans="1:62" x14ac:dyDescent="0.2">
      <c r="A113" s="1">
        <v>41362</v>
      </c>
      <c r="B113" s="97">
        <v>1.1649927653416547E-3</v>
      </c>
      <c r="C113" s="97">
        <v>2.4777807702666355E-2</v>
      </c>
      <c r="D113" s="97">
        <v>-4.5254012549631351E-2</v>
      </c>
      <c r="E113" s="97">
        <v>4.0739710770019144E-3</v>
      </c>
      <c r="F113" s="97">
        <v>5.5291271138560028E-3</v>
      </c>
      <c r="X113" s="1">
        <v>41362</v>
      </c>
      <c r="Y113" s="97">
        <f t="shared" si="21"/>
        <v>2.1207815896348379E-3</v>
      </c>
      <c r="Z113" s="97">
        <v>1.9108625179206583E-3</v>
      </c>
      <c r="AA113" s="97">
        <v>1.4940992603044766E-3</v>
      </c>
      <c r="AB113" s="97">
        <f t="shared" si="20"/>
        <v>1.3038211097276209E-2</v>
      </c>
      <c r="AC113" s="102">
        <f t="shared" si="22"/>
        <v>140.6915093439583</v>
      </c>
      <c r="AD113" s="102">
        <f t="shared" si="22"/>
        <v>136.65792233135176</v>
      </c>
      <c r="AE113" s="102">
        <f t="shared" si="22"/>
        <v>127.53532235784606</v>
      </c>
      <c r="AF113" s="102">
        <f t="shared" si="22"/>
        <v>124.3332392353674</v>
      </c>
      <c r="AJ113" s="97">
        <v>-2.5395383047209785E-3</v>
      </c>
      <c r="AK113" s="97">
        <v>2.3423377365274334E-2</v>
      </c>
      <c r="BD113" s="1">
        <v>41362</v>
      </c>
      <c r="BE113" s="39">
        <f t="shared" si="23"/>
        <v>1.4069150934395831</v>
      </c>
      <c r="BF113" s="39">
        <f>BE113/MAX($BE$39:BE113) - 1</f>
        <v>-5.2035847253300016E-3</v>
      </c>
      <c r="BG113" s="39">
        <f t="shared" si="24"/>
        <v>1.3665792233135174</v>
      </c>
      <c r="BH113" s="39">
        <f>BG113/MAX($BG$39:BG113) - 1</f>
        <v>-4.5158499030689692E-3</v>
      </c>
      <c r="BI113" s="39">
        <f t="shared" si="25"/>
        <v>1.2753532235784597</v>
      </c>
      <c r="BJ113" s="39">
        <f>BI113/MAX($BI$39:BI113) - 1</f>
        <v>-5.7725135742975331E-3</v>
      </c>
    </row>
    <row r="114" spans="1:62" x14ac:dyDescent="0.2">
      <c r="A114" s="1">
        <v>41394</v>
      </c>
      <c r="B114" s="97">
        <v>5.3187249937567405E-3</v>
      </c>
      <c r="C114" s="97">
        <v>8.8480070083223339E-3</v>
      </c>
      <c r="D114" s="97">
        <v>-5.0649591620250622E-2</v>
      </c>
      <c r="E114" s="97">
        <v>6.5293638901491313E-3</v>
      </c>
      <c r="F114" s="97">
        <v>6.5795963885135755E-3</v>
      </c>
      <c r="X114" s="1">
        <v>41394</v>
      </c>
      <c r="Y114" s="97">
        <f t="shared" si="21"/>
        <v>3.2601798041002371E-3</v>
      </c>
      <c r="Z114" s="97">
        <v>4.179205163685213E-3</v>
      </c>
      <c r="AA114" s="97">
        <v>4.3473596966622655E-3</v>
      </c>
      <c r="AB114" s="97">
        <f t="shared" si="20"/>
        <v>2.4458409133980296E-2</v>
      </c>
      <c r="AC114" s="102">
        <f t="shared" si="22"/>
        <v>141.15018896132986</v>
      </c>
      <c r="AD114" s="102">
        <f t="shared" si="22"/>
        <v>137.22904382601746</v>
      </c>
      <c r="AE114" s="102">
        <f t="shared" si="22"/>
        <v>128.0897642781654</v>
      </c>
      <c r="AF114" s="102">
        <f t="shared" si="22"/>
        <v>127.37423246953908</v>
      </c>
      <c r="AJ114" s="97">
        <v>1.3909752433718836E-2</v>
      </c>
      <c r="AK114" s="97">
        <v>3.1490846934154604E-2</v>
      </c>
      <c r="BD114" s="1">
        <v>41394</v>
      </c>
      <c r="BE114" s="39">
        <f t="shared" si="23"/>
        <v>1.4115018896132987</v>
      </c>
      <c r="BF114" s="39">
        <f>BE114/MAX($BE$39:BE114) - 1</f>
        <v>-1.9603695430601142E-3</v>
      </c>
      <c r="BG114" s="39">
        <f t="shared" si="24"/>
        <v>1.3722904382601744</v>
      </c>
      <c r="BH114" s="39">
        <f>BG114/MAX($BG$39:BG114) - 1</f>
        <v>-3.5551740261696718E-4</v>
      </c>
      <c r="BI114" s="39">
        <f t="shared" si="25"/>
        <v>1.2808976427816532</v>
      </c>
      <c r="BJ114" s="39">
        <f>BI114/MAX($BI$39:BI114) - 1</f>
        <v>-1.4502490704964011E-3</v>
      </c>
    </row>
    <row r="115" spans="1:62" x14ac:dyDescent="0.2">
      <c r="A115" s="1">
        <v>41425</v>
      </c>
      <c r="B115" s="97">
        <v>-1.5332656814866508E-2</v>
      </c>
      <c r="C115" s="97">
        <v>4.4546717610281394E-2</v>
      </c>
      <c r="D115" s="97">
        <v>1.6082698376758131E-2</v>
      </c>
      <c r="E115" s="97">
        <v>-1.2510328251848835E-2</v>
      </c>
      <c r="F115" s="97">
        <v>-4.7132466049369603E-2</v>
      </c>
      <c r="X115" s="1">
        <v>41425</v>
      </c>
      <c r="Y115" s="97">
        <f t="shared" si="21"/>
        <v>-1.5630327144527091E-2</v>
      </c>
      <c r="Z115" s="97">
        <v>-1.6459624932193585E-2</v>
      </c>
      <c r="AA115" s="97">
        <v>-1.23275122254987E-2</v>
      </c>
      <c r="AB115" s="97">
        <f t="shared" si="20"/>
        <v>-1.16654381342304E-2</v>
      </c>
      <c r="AC115" s="102">
        <f t="shared" si="22"/>
        <v>138.94396533135247</v>
      </c>
      <c r="AD115" s="102">
        <f t="shared" si="22"/>
        <v>134.97030523483767</v>
      </c>
      <c r="AE115" s="102">
        <f t="shared" si="22"/>
        <v>126.51073614306507</v>
      </c>
      <c r="AF115" s="102">
        <f t="shared" si="22"/>
        <v>125.88835624077059</v>
      </c>
      <c r="AJ115" s="97">
        <v>-2.9730139911118836E-2</v>
      </c>
      <c r="AK115" s="97">
        <v>3.7769638369522518E-4</v>
      </c>
      <c r="BD115" s="1">
        <v>41425</v>
      </c>
      <c r="BE115" s="39">
        <f t="shared" si="23"/>
        <v>1.3894396533135247</v>
      </c>
      <c r="BF115" s="39">
        <f>BE115/MAX($BE$39:BE115) - 1</f>
        <v>-1.7560055470305036E-2</v>
      </c>
      <c r="BG115" s="39">
        <f t="shared" si="24"/>
        <v>1.3497030523483764</v>
      </c>
      <c r="BH115" s="39">
        <f>BG115/MAX($BG$39:BG115) - 1</f>
        <v>-1.6809290651706554E-2</v>
      </c>
      <c r="BI115" s="39">
        <f t="shared" si="25"/>
        <v>1.2651073614306498</v>
      </c>
      <c r="BJ115" s="39">
        <f>BI115/MAX($BI$39:BI115) - 1</f>
        <v>-1.375988333284861E-2</v>
      </c>
    </row>
    <row r="116" spans="1:62" x14ac:dyDescent="0.2">
      <c r="A116" s="1">
        <v>41453</v>
      </c>
      <c r="B116" s="97">
        <v>-9.6187393654423303E-3</v>
      </c>
      <c r="C116" s="97">
        <v>-3.6412004322886382E-2</v>
      </c>
      <c r="D116" s="97">
        <v>-7.10578635133301E-2</v>
      </c>
      <c r="E116" s="97">
        <v>-1.5689032159481475E-2</v>
      </c>
      <c r="F116" s="97">
        <v>-5.3882066738813572E-2</v>
      </c>
      <c r="X116" s="1">
        <v>41453</v>
      </c>
      <c r="Y116" s="97">
        <f t="shared" si="21"/>
        <v>-2.5755221151123209E-2</v>
      </c>
      <c r="Z116" s="97">
        <v>-2.1508551021072363E-2</v>
      </c>
      <c r="AA116" s="97">
        <v>-1.3904561240761674E-2</v>
      </c>
      <c r="AB116" s="97">
        <f t="shared" si="20"/>
        <v>-1.9519038304993196E-2</v>
      </c>
      <c r="AC116" s="102">
        <f t="shared" si="22"/>
        <v>135.36543277662949</v>
      </c>
      <c r="AD116" s="102">
        <f t="shared" si="22"/>
        <v>132.06728953836443</v>
      </c>
      <c r="AE116" s="102">
        <f t="shared" si="22"/>
        <v>124.75165986474998</v>
      </c>
      <c r="AF116" s="102">
        <f t="shared" si="22"/>
        <v>123.43113659315435</v>
      </c>
      <c r="AJ116" s="97">
        <v>-1.1836922132865246E-2</v>
      </c>
      <c r="AK116" s="97">
        <v>-2.4640449086411831E-2</v>
      </c>
      <c r="BD116" s="1">
        <v>41453</v>
      </c>
      <c r="BE116" s="39">
        <f t="shared" si="23"/>
        <v>1.3536543277662949</v>
      </c>
      <c r="BF116" s="39">
        <f>BE116/MAX($BE$39:BE116) - 1</f>
        <v>-4.28630135093645E-2</v>
      </c>
      <c r="BG116" s="39">
        <f t="shared" si="24"/>
        <v>1.3206728953836442</v>
      </c>
      <c r="BH116" s="39">
        <f>BG116/MAX($BG$39:BG116) - 1</f>
        <v>-3.7956298187168724E-2</v>
      </c>
      <c r="BI116" s="39">
        <f t="shared" si="25"/>
        <v>1.247516598647499</v>
      </c>
      <c r="BJ116" s="39">
        <f>BI116/MAX($BI$39:BI116) - 1</f>
        <v>-2.7473119433142901E-2</v>
      </c>
    </row>
    <row r="117" spans="1:62" x14ac:dyDescent="0.2">
      <c r="A117" s="1">
        <v>41486</v>
      </c>
      <c r="B117" s="97">
        <v>-8.9967535810864252E-4</v>
      </c>
      <c r="C117" s="97">
        <v>4.1497713743421594E-2</v>
      </c>
      <c r="D117" s="97">
        <v>9.2457405715129504E-3</v>
      </c>
      <c r="E117" s="97">
        <v>-5.6116493981117621E-4</v>
      </c>
      <c r="F117" s="97">
        <v>7.4396532573297591E-3</v>
      </c>
      <c r="X117" s="1">
        <v>41486</v>
      </c>
      <c r="Y117" s="97">
        <f t="shared" si="21"/>
        <v>4.5538900225142237E-3</v>
      </c>
      <c r="Z117" s="97">
        <v>3.3519953277642385E-3</v>
      </c>
      <c r="AA117" s="97">
        <v>1.8899134866321148E-3</v>
      </c>
      <c r="AB117" s="97">
        <f t="shared" si="20"/>
        <v>3.6612687279588621E-2</v>
      </c>
      <c r="AC117" s="102">
        <f t="shared" si="22"/>
        <v>135.98187207034428</v>
      </c>
      <c r="AD117" s="102">
        <f t="shared" si="22"/>
        <v>132.50997847584753</v>
      </c>
      <c r="AE117" s="102">
        <f t="shared" si="22"/>
        <v>124.98742970920812</v>
      </c>
      <c r="AF117" s="102">
        <f t="shared" si="22"/>
        <v>127.9502821978037</v>
      </c>
      <c r="AJ117" s="97">
        <v>1.2562947209014519E-2</v>
      </c>
      <c r="AK117" s="97">
        <v>5.2645847326638018E-2</v>
      </c>
      <c r="BD117" s="1">
        <v>41486</v>
      </c>
      <c r="BE117" s="39">
        <f t="shared" si="23"/>
        <v>1.3598187207034429</v>
      </c>
      <c r="BF117" s="39">
        <f>BE117/MAX($BE$39:BE117) - 1</f>
        <v>-3.8504316936405658E-2</v>
      </c>
      <c r="BG117" s="39">
        <f t="shared" si="24"/>
        <v>1.3250997847584751</v>
      </c>
      <c r="BH117" s="39">
        <f>BG117/MAX($BG$39:BG117) - 1</f>
        <v>-3.4731532193587045E-2</v>
      </c>
      <c r="BI117" s="39">
        <f t="shared" si="25"/>
        <v>1.2498742970920804</v>
      </c>
      <c r="BJ117" s="39">
        <f>BI117/MAX($BI$39:BI117) - 1</f>
        <v>-2.5635127765447296E-2</v>
      </c>
    </row>
    <row r="118" spans="1:62" x14ac:dyDescent="0.2">
      <c r="A118" s="1">
        <v>41516</v>
      </c>
      <c r="B118" s="97">
        <v>-2.8587702405814541E-3</v>
      </c>
      <c r="C118" s="97">
        <v>-6.1298873426109957E-3</v>
      </c>
      <c r="D118" s="97">
        <v>1.7376748881822612E-2</v>
      </c>
      <c r="E118" s="97">
        <v>-1.0824676613365836E-2</v>
      </c>
      <c r="F118" s="97">
        <v>-1.0087124606484865E-2</v>
      </c>
      <c r="X118" s="1">
        <v>41516</v>
      </c>
      <c r="Y118" s="97">
        <f t="shared" si="21"/>
        <v>-5.539939337236701E-3</v>
      </c>
      <c r="Z118" s="97">
        <v>-4.5752651320976629E-3</v>
      </c>
      <c r="AA118" s="97">
        <v>-2.9713048130574973E-3</v>
      </c>
      <c r="AB118" s="97">
        <f t="shared" si="20"/>
        <v>-1.4869026264815056E-2</v>
      </c>
      <c r="AC118" s="102">
        <f t="shared" si="22"/>
        <v>135.22854074811067</v>
      </c>
      <c r="AD118" s="102">
        <f t="shared" si="22"/>
        <v>131.90371019167196</v>
      </c>
      <c r="AE118" s="102">
        <f t="shared" si="22"/>
        <v>124.61605395774146</v>
      </c>
      <c r="AF118" s="102">
        <f t="shared" si="22"/>
        <v>126.04778609121406</v>
      </c>
      <c r="AJ118" s="97">
        <v>-5.2451998426928936E-3</v>
      </c>
      <c r="AK118" s="97">
        <v>-2.1284910546229829E-2</v>
      </c>
      <c r="BD118" s="1">
        <v>41516</v>
      </c>
      <c r="BE118" s="39">
        <f t="shared" si="23"/>
        <v>1.352285407481107</v>
      </c>
      <c r="BF118" s="39">
        <f>BE118/MAX($BE$39:BE118) - 1</f>
        <v>-4.3830944693592833E-2</v>
      </c>
      <c r="BG118" s="39">
        <f t="shared" si="24"/>
        <v>1.3190371019167195</v>
      </c>
      <c r="BH118" s="39">
        <f>BG118/MAX($BG$39:BG118) - 1</f>
        <v>-3.9147891357455111E-2</v>
      </c>
      <c r="BI118" s="39">
        <f t="shared" si="25"/>
        <v>1.2461605395774138</v>
      </c>
      <c r="BJ118" s="39">
        <f>BI118/MAX($BI$39:BI118) - 1</f>
        <v>-2.8530262799992046E-2</v>
      </c>
    </row>
    <row r="119" spans="1:62" x14ac:dyDescent="0.2">
      <c r="A119" s="1">
        <v>41547</v>
      </c>
      <c r="B119" s="97">
        <v>1.4079143500636437E-2</v>
      </c>
      <c r="C119" s="97">
        <v>2.8588098016335994E-2</v>
      </c>
      <c r="D119" s="97">
        <v>1.5724227676923608E-2</v>
      </c>
      <c r="E119" s="97">
        <v>-1.6629693997630701E-3</v>
      </c>
      <c r="F119" s="97">
        <v>1.6455522221116459E-2</v>
      </c>
      <c r="X119" s="1">
        <v>41547</v>
      </c>
      <c r="Y119" s="97">
        <f t="shared" si="21"/>
        <v>1.1925578332714014E-2</v>
      </c>
      <c r="Z119" s="97">
        <v>1.268099608830622E-2</v>
      </c>
      <c r="AA119" s="97">
        <v>1.4209254696103221E-2</v>
      </c>
      <c r="AB119" s="97">
        <f t="shared" si="20"/>
        <v>3.8230676034410792E-2</v>
      </c>
      <c r="AC119" s="102">
        <f t="shared" si="22"/>
        <v>136.84121930362087</v>
      </c>
      <c r="AD119" s="102">
        <f t="shared" si="22"/>
        <v>133.57638062464565</v>
      </c>
      <c r="AE119" s="102">
        <f t="shared" si="22"/>
        <v>126.38675520765035</v>
      </c>
      <c r="AF119" s="102">
        <f t="shared" si="22"/>
        <v>130.866678166122</v>
      </c>
      <c r="AJ119" s="97">
        <v>2.0557739955961774E-2</v>
      </c>
      <c r="AK119" s="97">
        <v>5.0012633420043473E-2</v>
      </c>
      <c r="BD119" s="1">
        <v>41547</v>
      </c>
      <c r="BE119" s="39">
        <f t="shared" si="23"/>
        <v>1.368412193036209</v>
      </c>
      <c r="BF119" s="39">
        <f>BE119/MAX($BE$39:BE119) - 1</f>
        <v>-3.2428075725219219E-2</v>
      </c>
      <c r="BG119" s="39">
        <f t="shared" si="24"/>
        <v>1.3357638062464563</v>
      </c>
      <c r="BH119" s="39">
        <f>BG119/MAX($BG$39:BG119) - 1</f>
        <v>-2.6963329526318081E-2</v>
      </c>
      <c r="BI119" s="39">
        <f t="shared" si="25"/>
        <v>1.2638675520765028</v>
      </c>
      <c r="BJ119" s="39">
        <f>BI119/MAX($BI$39:BI119) - 1</f>
        <v>-1.4726401874560535E-2</v>
      </c>
    </row>
    <row r="120" spans="1:62" x14ac:dyDescent="0.2">
      <c r="A120" s="1">
        <v>41578</v>
      </c>
      <c r="B120" s="97">
        <v>6.8130854157055776E-3</v>
      </c>
      <c r="C120" s="97">
        <v>4.5701320800583645E-2</v>
      </c>
      <c r="D120" s="97">
        <v>4.1885267856307529E-3</v>
      </c>
      <c r="E120" s="97">
        <v>8.2944110470013488E-3</v>
      </c>
      <c r="F120" s="97">
        <v>8.318373627398401E-3</v>
      </c>
      <c r="X120" s="1">
        <v>41578</v>
      </c>
      <c r="Y120" s="97">
        <f t="shared" si="21"/>
        <v>1.0152878818625319E-2</v>
      </c>
      <c r="Z120" s="97">
        <v>1.001491593094727E-2</v>
      </c>
      <c r="AA120" s="97">
        <v>9.3098276870354265E-3</v>
      </c>
      <c r="AB120" s="97">
        <f t="shared" si="20"/>
        <v>2.7416728016767689E-2</v>
      </c>
      <c r="AC120" s="102">
        <f t="shared" ref="AC120:AF122" si="26">AC119*(1+Y120)</f>
        <v>138.23055162060348</v>
      </c>
      <c r="AD120" s="102">
        <f t="shared" si="26"/>
        <v>134.9141368469617</v>
      </c>
      <c r="AE120" s="102">
        <f t="shared" si="26"/>
        <v>127.56339412055709</v>
      </c>
      <c r="AF120" s="102">
        <f t="shared" si="26"/>
        <v>134.45461428786044</v>
      </c>
      <c r="AJ120" s="97">
        <v>9.8265794518803684E-3</v>
      </c>
      <c r="AK120" s="97">
        <v>3.9143493726692569E-2</v>
      </c>
      <c r="BD120" s="1">
        <v>41578</v>
      </c>
      <c r="BE120" s="39">
        <f t="shared" si="23"/>
        <v>1.3823055162060349</v>
      </c>
      <c r="BF120" s="39">
        <f>BE120/MAX($BE$39:BE120) - 1</f>
        <v>-2.2604435229753195E-2</v>
      </c>
      <c r="BG120" s="39">
        <f t="shared" si="24"/>
        <v>1.3491413684696167</v>
      </c>
      <c r="BH120" s="39">
        <f>BG120/MAX($BG$39:BG120) - 1</f>
        <v>-1.7218449073795328E-2</v>
      </c>
      <c r="BI120" s="39">
        <f t="shared" si="25"/>
        <v>1.2756339412055702</v>
      </c>
      <c r="BJ120" s="39">
        <f>BI120/MAX($BI$39:BI120) - 1</f>
        <v>-5.5536744514274039E-3</v>
      </c>
    </row>
    <row r="121" spans="1:62" x14ac:dyDescent="0.2">
      <c r="A121" s="1">
        <v>41607</v>
      </c>
      <c r="B121" s="97">
        <v>-6.2234915492658249E-3</v>
      </c>
      <c r="C121" s="97">
        <v>3.8744672607516462E-2</v>
      </c>
      <c r="D121" s="97">
        <v>-4.795763361854144E-2</v>
      </c>
      <c r="E121" s="97">
        <v>5.2379659643575494E-3</v>
      </c>
      <c r="F121" s="97">
        <v>-1.1394272343455913E-2</v>
      </c>
      <c r="X121" s="1">
        <v>41607</v>
      </c>
      <c r="Y121" s="97">
        <f t="shared" si="21"/>
        <v>-3.4986623342655502E-3</v>
      </c>
      <c r="Z121" s="97">
        <v>-3.2419050201951492E-3</v>
      </c>
      <c r="AA121" s="97">
        <v>-3.486138099509083E-3</v>
      </c>
      <c r="AB121" s="97">
        <f t="shared" si="20"/>
        <v>7.3885832625770736E-3</v>
      </c>
      <c r="AC121" s="102">
        <f t="shared" si="26"/>
        <v>137.74692959620373</v>
      </c>
      <c r="AD121" s="102">
        <f t="shared" si="26"/>
        <v>134.47675802942223</v>
      </c>
      <c r="AE121" s="102">
        <f t="shared" si="26"/>
        <v>127.11869051221073</v>
      </c>
      <c r="AF121" s="102">
        <f t="shared" si="26"/>
        <v>135.44804340056399</v>
      </c>
      <c r="AJ121" s="97">
        <v>-8.185881748817958E-3</v>
      </c>
      <c r="AK121" s="97">
        <v>1.7771559936840431E-2</v>
      </c>
      <c r="BD121" s="1">
        <v>41607</v>
      </c>
      <c r="BE121" s="39">
        <f t="shared" si="23"/>
        <v>1.3774692959620374</v>
      </c>
      <c r="BF121" s="39">
        <f>BE121/MAX($BE$39:BE121) - 1</f>
        <v>-2.6024012277893083E-2</v>
      </c>
      <c r="BG121" s="39">
        <f t="shared" si="24"/>
        <v>1.3447675802942221</v>
      </c>
      <c r="BH121" s="39">
        <f>BG121/MAX($BG$39:BG121) - 1</f>
        <v>-2.0404533517498158E-2</v>
      </c>
      <c r="BI121" s="39">
        <f t="shared" si="25"/>
        <v>1.2711869051221065</v>
      </c>
      <c r="BJ121" s="39">
        <f>BI121/MAX($BI$39:BI121) - 1</f>
        <v>-9.0204516748391139E-3</v>
      </c>
    </row>
    <row r="122" spans="1:62" x14ac:dyDescent="0.2">
      <c r="A122" s="1">
        <v>41639</v>
      </c>
      <c r="B122" s="97">
        <v>-4.7182962661118655E-3</v>
      </c>
      <c r="C122" s="97">
        <v>4.1327862737784438E-2</v>
      </c>
      <c r="D122" s="97">
        <v>4.893850458061344E-2</v>
      </c>
      <c r="E122" s="97">
        <v>4.7046248627378162E-3</v>
      </c>
      <c r="F122" s="97">
        <v>-2.0848048272797404E-2</v>
      </c>
      <c r="X122" s="1">
        <v>41639</v>
      </c>
      <c r="Y122" s="97">
        <f t="shared" si="21"/>
        <v>1.210878536110644E-4</v>
      </c>
      <c r="Z122" s="97">
        <v>5.681773571725667E-4</v>
      </c>
      <c r="AA122" s="97">
        <v>1.6079033027334485E-3</v>
      </c>
      <c r="AB122" s="97">
        <f t="shared" si="20"/>
        <v>1.0307433149901879E-2</v>
      </c>
      <c r="AC122" s="102">
        <f t="shared" si="26"/>
        <v>137.76360907625005</v>
      </c>
      <c r="AD122" s="102">
        <f t="shared" si="26"/>
        <v>134.55316467840052</v>
      </c>
      <c r="AE122" s="102">
        <f t="shared" si="26"/>
        <v>127.32308507452447</v>
      </c>
      <c r="AF122" s="102">
        <f t="shared" si="26"/>
        <v>136.8441650532003</v>
      </c>
      <c r="AJ122" s="97">
        <v>-5.9709069676935345E-3</v>
      </c>
      <c r="AK122" s="97">
        <v>2.1159659894965488E-2</v>
      </c>
      <c r="BD122" s="1">
        <v>41639</v>
      </c>
      <c r="BE122" s="39">
        <f t="shared" si="23"/>
        <v>1.3776360907625007</v>
      </c>
      <c r="BF122" s="39">
        <f>BE122/MAX($BE$39:BE122) - 1</f>
        <v>-2.5906075616071056E-2</v>
      </c>
      <c r="BG122" s="39">
        <f t="shared" si="24"/>
        <v>1.3455316467840051</v>
      </c>
      <c r="BH122" s="39">
        <f>BG122/MAX($BG$39:BG122) - 1</f>
        <v>-1.9847949554253841E-2</v>
      </c>
      <c r="BI122" s="39">
        <f t="shared" si="25"/>
        <v>1.2732308507452439</v>
      </c>
      <c r="BJ122" s="39">
        <f>BI122/MAX($BI$39:BI122) - 1</f>
        <v>-7.4270523861457161E-3</v>
      </c>
    </row>
    <row r="123" spans="1:62" x14ac:dyDescent="0.2">
      <c r="B123" s="124"/>
      <c r="AJ123" s="124"/>
      <c r="AK123" s="124"/>
    </row>
    <row r="124" spans="1:62" x14ac:dyDescent="0.2">
      <c r="B124" s="97"/>
      <c r="AJ124" s="97"/>
      <c r="AK124" s="97"/>
    </row>
    <row r="125" spans="1:62" x14ac:dyDescent="0.2">
      <c r="B125" s="97"/>
      <c r="AJ125" s="97"/>
      <c r="AK125" s="97"/>
    </row>
    <row r="126" spans="1:62" x14ac:dyDescent="0.2">
      <c r="B126" s="97"/>
      <c r="AJ126" s="97"/>
      <c r="AK126" s="97"/>
    </row>
    <row r="127" spans="1:62" x14ac:dyDescent="0.2">
      <c r="B127" s="97"/>
      <c r="AJ127" s="97"/>
      <c r="AK127" s="97"/>
    </row>
    <row r="128" spans="1:62" s="2" customFormat="1" x14ac:dyDescent="0.2">
      <c r="A128"/>
      <c r="B128" s="97"/>
      <c r="D128"/>
      <c r="E128"/>
      <c r="F128"/>
      <c r="G128"/>
      <c r="H128"/>
      <c r="I128"/>
      <c r="J128"/>
      <c r="K128"/>
      <c r="L128"/>
      <c r="M128"/>
      <c r="N128"/>
      <c r="O128"/>
      <c r="P128"/>
      <c r="Q128"/>
      <c r="R128"/>
      <c r="S128"/>
      <c r="T128"/>
      <c r="U128"/>
      <c r="V128"/>
      <c r="W128"/>
      <c r="X128"/>
      <c r="AA128"/>
      <c r="AB128"/>
      <c r="AC128"/>
      <c r="AD128"/>
      <c r="AE128"/>
      <c r="AF128"/>
      <c r="AJ128" s="97"/>
      <c r="AK128" s="97"/>
      <c r="BD128"/>
    </row>
    <row r="129" spans="1:56" s="2" customFormat="1" x14ac:dyDescent="0.2">
      <c r="A129"/>
      <c r="B129" s="97"/>
      <c r="D129"/>
      <c r="E129"/>
      <c r="F129"/>
      <c r="G129"/>
      <c r="H129"/>
      <c r="I129"/>
      <c r="J129"/>
      <c r="K129"/>
      <c r="L129"/>
      <c r="M129"/>
      <c r="N129"/>
      <c r="O129"/>
      <c r="P129"/>
      <c r="Q129"/>
      <c r="R129"/>
      <c r="S129"/>
      <c r="T129"/>
      <c r="U129"/>
      <c r="V129"/>
      <c r="W129"/>
      <c r="X129"/>
      <c r="AA129"/>
      <c r="AB129"/>
      <c r="AC129"/>
      <c r="AD129"/>
      <c r="AE129"/>
      <c r="AF129"/>
      <c r="AJ129" s="97"/>
      <c r="AK129" s="97"/>
      <c r="BD129"/>
    </row>
    <row r="130" spans="1:56" s="2" customFormat="1" x14ac:dyDescent="0.2">
      <c r="A130"/>
      <c r="B130" s="97"/>
      <c r="D130"/>
      <c r="E130"/>
      <c r="F130"/>
      <c r="G130"/>
      <c r="H130"/>
      <c r="I130"/>
      <c r="J130"/>
      <c r="K130"/>
      <c r="L130"/>
      <c r="M130"/>
      <c r="N130"/>
      <c r="O130"/>
      <c r="P130"/>
      <c r="Q130"/>
      <c r="R130"/>
      <c r="S130"/>
      <c r="T130"/>
      <c r="U130"/>
      <c r="V130"/>
      <c r="W130"/>
      <c r="X130"/>
      <c r="AA130"/>
      <c r="AB130"/>
      <c r="AC130"/>
      <c r="AD130"/>
      <c r="AE130"/>
      <c r="AF130"/>
      <c r="AJ130" s="97"/>
      <c r="AK130" s="97"/>
      <c r="BD130"/>
    </row>
    <row r="131" spans="1:56" s="2" customFormat="1" x14ac:dyDescent="0.2">
      <c r="A131"/>
      <c r="B131" s="97"/>
      <c r="D131"/>
      <c r="E131"/>
      <c r="F131"/>
      <c r="G131"/>
      <c r="H131"/>
      <c r="I131"/>
      <c r="J131"/>
      <c r="K131"/>
      <c r="L131"/>
      <c r="M131"/>
      <c r="N131"/>
      <c r="O131"/>
      <c r="P131"/>
      <c r="Q131"/>
      <c r="R131"/>
      <c r="S131"/>
      <c r="T131"/>
      <c r="U131"/>
      <c r="V131"/>
      <c r="W131"/>
      <c r="X131"/>
      <c r="AA131"/>
      <c r="AB131"/>
      <c r="AC131"/>
      <c r="AD131"/>
      <c r="AE131"/>
      <c r="AF131"/>
      <c r="AJ131" s="97"/>
      <c r="AK131" s="97"/>
      <c r="BD131"/>
    </row>
    <row r="132" spans="1:56" s="2" customFormat="1" x14ac:dyDescent="0.2">
      <c r="A132"/>
      <c r="B132" s="97"/>
      <c r="D132"/>
      <c r="E132"/>
      <c r="F132"/>
      <c r="G132"/>
      <c r="H132"/>
      <c r="I132"/>
      <c r="J132"/>
      <c r="K132"/>
      <c r="L132"/>
      <c r="M132"/>
      <c r="N132"/>
      <c r="O132"/>
      <c r="P132"/>
      <c r="Q132"/>
      <c r="R132"/>
      <c r="S132"/>
      <c r="T132"/>
      <c r="U132"/>
      <c r="V132"/>
      <c r="W132"/>
      <c r="X132"/>
      <c r="AA132"/>
      <c r="AB132"/>
      <c r="AC132"/>
      <c r="AD132"/>
      <c r="AE132"/>
      <c r="AF132"/>
      <c r="AJ132" s="97"/>
      <c r="AK132" s="97"/>
      <c r="BD132"/>
    </row>
    <row r="133" spans="1:56" s="2" customFormat="1" x14ac:dyDescent="0.2">
      <c r="A133"/>
      <c r="B133" s="97"/>
      <c r="D133"/>
      <c r="E133"/>
      <c r="F133"/>
      <c r="G133"/>
      <c r="H133"/>
      <c r="I133"/>
      <c r="J133"/>
      <c r="K133"/>
      <c r="L133"/>
      <c r="M133"/>
      <c r="N133"/>
      <c r="O133"/>
      <c r="P133"/>
      <c r="Q133"/>
      <c r="R133"/>
      <c r="S133"/>
      <c r="T133"/>
      <c r="U133"/>
      <c r="V133"/>
      <c r="W133"/>
      <c r="X133"/>
      <c r="AA133"/>
      <c r="AB133"/>
      <c r="AC133"/>
      <c r="AD133"/>
      <c r="AE133"/>
      <c r="AF133"/>
      <c r="AJ133" s="97"/>
      <c r="AK133" s="97"/>
      <c r="BD133"/>
    </row>
    <row r="134" spans="1:56" s="2" customFormat="1" x14ac:dyDescent="0.2">
      <c r="A134"/>
      <c r="B134" s="97"/>
      <c r="D134"/>
      <c r="E134"/>
      <c r="F134"/>
      <c r="G134"/>
      <c r="H134"/>
      <c r="I134"/>
      <c r="J134"/>
      <c r="K134"/>
      <c r="L134"/>
      <c r="M134"/>
      <c r="N134"/>
      <c r="O134"/>
      <c r="P134"/>
      <c r="Q134"/>
      <c r="R134"/>
      <c r="S134"/>
      <c r="T134"/>
      <c r="U134"/>
      <c r="V134"/>
      <c r="W134"/>
      <c r="X134"/>
      <c r="AA134"/>
      <c r="AB134"/>
      <c r="AC134"/>
      <c r="AD134"/>
      <c r="AE134"/>
      <c r="AF134"/>
      <c r="AJ134" s="97"/>
      <c r="AK134" s="97"/>
      <c r="BD134"/>
    </row>
    <row r="135" spans="1:56" s="2" customFormat="1" x14ac:dyDescent="0.2">
      <c r="A135"/>
      <c r="B135" s="97"/>
      <c r="D135"/>
      <c r="E135"/>
      <c r="F135"/>
      <c r="G135"/>
      <c r="H135"/>
      <c r="I135"/>
      <c r="J135"/>
      <c r="K135"/>
      <c r="L135"/>
      <c r="M135"/>
      <c r="N135"/>
      <c r="O135"/>
      <c r="P135"/>
      <c r="Q135"/>
      <c r="R135"/>
      <c r="S135"/>
      <c r="T135"/>
      <c r="U135"/>
      <c r="V135"/>
      <c r="W135"/>
      <c r="X135"/>
      <c r="AA135"/>
      <c r="AB135"/>
      <c r="AC135"/>
      <c r="AD135"/>
      <c r="AE135"/>
      <c r="AF135"/>
      <c r="AJ135" s="97"/>
      <c r="AK135" s="97"/>
      <c r="BD135"/>
    </row>
    <row r="136" spans="1:56" s="2" customFormat="1" x14ac:dyDescent="0.2">
      <c r="A136"/>
      <c r="B136" s="97"/>
      <c r="D136"/>
      <c r="E136"/>
      <c r="F136"/>
      <c r="G136"/>
      <c r="H136"/>
      <c r="I136"/>
      <c r="J136"/>
      <c r="K136"/>
      <c r="L136"/>
      <c r="M136"/>
      <c r="N136"/>
      <c r="O136"/>
      <c r="P136"/>
      <c r="Q136"/>
      <c r="R136"/>
      <c r="S136"/>
      <c r="T136"/>
      <c r="U136"/>
      <c r="V136"/>
      <c r="W136"/>
      <c r="X136"/>
      <c r="AA136"/>
      <c r="AB136"/>
      <c r="AC136"/>
      <c r="AD136"/>
      <c r="AE136"/>
      <c r="AF136"/>
      <c r="AJ136" s="97"/>
      <c r="AK136" s="97"/>
      <c r="BD136"/>
    </row>
    <row r="137" spans="1:56" s="2" customFormat="1" x14ac:dyDescent="0.2">
      <c r="A137"/>
      <c r="B137" s="97"/>
      <c r="D137"/>
      <c r="E137"/>
      <c r="F137"/>
      <c r="G137"/>
      <c r="H137"/>
      <c r="I137"/>
      <c r="J137"/>
      <c r="K137"/>
      <c r="L137"/>
      <c r="M137"/>
      <c r="N137"/>
      <c r="O137"/>
      <c r="P137"/>
      <c r="Q137"/>
      <c r="R137"/>
      <c r="S137"/>
      <c r="T137"/>
      <c r="U137"/>
      <c r="V137"/>
      <c r="W137"/>
      <c r="X137"/>
      <c r="AA137"/>
      <c r="AB137"/>
      <c r="AC137"/>
      <c r="AD137"/>
      <c r="AE137"/>
      <c r="AF137"/>
      <c r="AJ137" s="97"/>
      <c r="AK137" s="97"/>
      <c r="BD137"/>
    </row>
    <row r="138" spans="1:56" s="2" customFormat="1" x14ac:dyDescent="0.2">
      <c r="A138"/>
      <c r="B138" s="97"/>
      <c r="D138"/>
      <c r="E138"/>
      <c r="F138"/>
      <c r="G138"/>
      <c r="H138"/>
      <c r="I138"/>
      <c r="J138"/>
      <c r="K138"/>
      <c r="L138"/>
      <c r="M138"/>
      <c r="N138"/>
      <c r="O138"/>
      <c r="P138"/>
      <c r="Q138"/>
      <c r="R138"/>
      <c r="S138"/>
      <c r="T138"/>
      <c r="U138"/>
      <c r="V138"/>
      <c r="W138"/>
      <c r="X138"/>
      <c r="AA138"/>
      <c r="AB138"/>
      <c r="AC138"/>
      <c r="AD138"/>
      <c r="AE138"/>
      <c r="AF138"/>
      <c r="AJ138" s="97"/>
      <c r="AK138" s="97"/>
      <c r="BD138"/>
    </row>
    <row r="139" spans="1:56" s="2" customFormat="1" x14ac:dyDescent="0.2">
      <c r="A139"/>
      <c r="B139" s="97"/>
      <c r="D139"/>
      <c r="E139"/>
      <c r="F139"/>
      <c r="G139"/>
      <c r="H139"/>
      <c r="I139"/>
      <c r="J139"/>
      <c r="K139"/>
      <c r="L139"/>
      <c r="M139"/>
      <c r="N139"/>
      <c r="O139"/>
      <c r="P139"/>
      <c r="Q139"/>
      <c r="R139"/>
      <c r="S139"/>
      <c r="T139"/>
      <c r="U139"/>
      <c r="V139"/>
      <c r="W139"/>
      <c r="X139"/>
      <c r="AA139"/>
      <c r="AB139"/>
      <c r="AC139"/>
      <c r="AD139"/>
      <c r="AE139"/>
      <c r="AF139"/>
      <c r="AJ139" s="97"/>
      <c r="AK139" s="97"/>
      <c r="BD139"/>
    </row>
    <row r="140" spans="1:56" s="2" customFormat="1" x14ac:dyDescent="0.2">
      <c r="A140"/>
      <c r="B140" s="97"/>
      <c r="D140"/>
      <c r="E140"/>
      <c r="F140"/>
      <c r="G140"/>
      <c r="H140"/>
      <c r="I140"/>
      <c r="J140"/>
      <c r="K140"/>
      <c r="L140"/>
      <c r="M140"/>
      <c r="N140"/>
      <c r="O140"/>
      <c r="P140"/>
      <c r="Q140"/>
      <c r="R140"/>
      <c r="S140"/>
      <c r="T140"/>
      <c r="U140"/>
      <c r="V140"/>
      <c r="W140"/>
      <c r="X140"/>
      <c r="AA140"/>
      <c r="AB140"/>
      <c r="AC140"/>
      <c r="AD140"/>
      <c r="AE140"/>
      <c r="AF140"/>
      <c r="AJ140" s="97"/>
      <c r="AK140" s="97"/>
      <c r="BD140"/>
    </row>
    <row r="141" spans="1:56" s="2" customFormat="1" x14ac:dyDescent="0.2">
      <c r="A141"/>
      <c r="B141" s="97"/>
      <c r="D141"/>
      <c r="E141"/>
      <c r="F141"/>
      <c r="G141"/>
      <c r="H141"/>
      <c r="I141"/>
      <c r="J141"/>
      <c r="K141"/>
      <c r="L141"/>
      <c r="M141"/>
      <c r="N141"/>
      <c r="O141"/>
      <c r="P141"/>
      <c r="Q141"/>
      <c r="R141"/>
      <c r="S141"/>
      <c r="T141"/>
      <c r="U141"/>
      <c r="V141"/>
      <c r="W141"/>
      <c r="X141"/>
      <c r="AA141"/>
      <c r="AB141"/>
      <c r="AC141"/>
      <c r="AD141"/>
      <c r="AE141"/>
      <c r="AF141"/>
      <c r="AJ141" s="97"/>
      <c r="AK141" s="97"/>
      <c r="BD141"/>
    </row>
    <row r="142" spans="1:56" s="2" customFormat="1" x14ac:dyDescent="0.2">
      <c r="A142"/>
      <c r="B142" s="97"/>
      <c r="D142"/>
      <c r="E142"/>
      <c r="F142"/>
      <c r="G142"/>
      <c r="H142"/>
      <c r="I142"/>
      <c r="J142"/>
      <c r="K142"/>
      <c r="L142"/>
      <c r="M142"/>
      <c r="N142"/>
      <c r="O142"/>
      <c r="P142"/>
      <c r="Q142"/>
      <c r="R142"/>
      <c r="S142"/>
      <c r="T142"/>
      <c r="U142"/>
      <c r="V142"/>
      <c r="W142"/>
      <c r="X142"/>
      <c r="AA142"/>
      <c r="AB142"/>
      <c r="AC142"/>
      <c r="AD142"/>
      <c r="AE142"/>
      <c r="AF142"/>
      <c r="AJ142" s="97"/>
      <c r="AK142" s="97"/>
      <c r="BD142"/>
    </row>
    <row r="143" spans="1:56" s="2" customFormat="1" x14ac:dyDescent="0.2">
      <c r="A143"/>
      <c r="B143" s="97"/>
      <c r="D143"/>
      <c r="E143"/>
      <c r="F143"/>
      <c r="G143"/>
      <c r="H143"/>
      <c r="I143"/>
      <c r="J143"/>
      <c r="K143"/>
      <c r="L143"/>
      <c r="M143"/>
      <c r="N143"/>
      <c r="O143"/>
      <c r="P143"/>
      <c r="Q143"/>
      <c r="R143"/>
      <c r="S143"/>
      <c r="T143"/>
      <c r="U143"/>
      <c r="V143"/>
      <c r="W143"/>
      <c r="X143"/>
      <c r="AA143"/>
      <c r="AB143"/>
      <c r="AC143"/>
      <c r="AD143"/>
      <c r="AE143"/>
      <c r="AF143"/>
      <c r="AJ143" s="97"/>
      <c r="AK143" s="97"/>
      <c r="BD143"/>
    </row>
    <row r="144" spans="1:56" s="2" customFormat="1" x14ac:dyDescent="0.2">
      <c r="A144"/>
      <c r="B144" s="97"/>
      <c r="D144"/>
      <c r="E144"/>
      <c r="F144"/>
      <c r="G144"/>
      <c r="H144"/>
      <c r="I144"/>
      <c r="J144"/>
      <c r="K144"/>
      <c r="L144"/>
      <c r="M144"/>
      <c r="N144"/>
      <c r="O144"/>
      <c r="P144"/>
      <c r="Q144"/>
      <c r="R144"/>
      <c r="S144"/>
      <c r="T144"/>
      <c r="U144"/>
      <c r="V144"/>
      <c r="W144"/>
      <c r="X144"/>
      <c r="AA144"/>
      <c r="AB144"/>
      <c r="AC144"/>
      <c r="AD144"/>
      <c r="AE144"/>
      <c r="AF144"/>
      <c r="AJ144" s="97"/>
      <c r="AK144" s="97"/>
      <c r="BD144"/>
    </row>
    <row r="145" spans="1:56" s="2" customFormat="1" x14ac:dyDescent="0.2">
      <c r="A145"/>
      <c r="B145" s="97"/>
      <c r="D145"/>
      <c r="E145"/>
      <c r="F145"/>
      <c r="G145"/>
      <c r="H145"/>
      <c r="I145"/>
      <c r="J145"/>
      <c r="K145"/>
      <c r="L145"/>
      <c r="M145"/>
      <c r="N145"/>
      <c r="O145"/>
      <c r="P145"/>
      <c r="Q145"/>
      <c r="R145"/>
      <c r="S145"/>
      <c r="T145"/>
      <c r="U145"/>
      <c r="V145"/>
      <c r="W145"/>
      <c r="X145"/>
      <c r="AA145"/>
      <c r="AB145"/>
      <c r="AC145"/>
      <c r="AD145"/>
      <c r="AE145"/>
      <c r="AF145"/>
      <c r="AJ145" s="97"/>
      <c r="AK145" s="97"/>
      <c r="BD145"/>
    </row>
    <row r="146" spans="1:56" s="2" customFormat="1" x14ac:dyDescent="0.2">
      <c r="A146"/>
      <c r="B146" s="97"/>
      <c r="D146"/>
      <c r="E146"/>
      <c r="F146"/>
      <c r="G146"/>
      <c r="H146"/>
      <c r="I146"/>
      <c r="J146"/>
      <c r="K146"/>
      <c r="L146"/>
      <c r="M146"/>
      <c r="N146"/>
      <c r="O146"/>
      <c r="P146"/>
      <c r="Q146"/>
      <c r="R146"/>
      <c r="S146"/>
      <c r="T146"/>
      <c r="U146"/>
      <c r="V146"/>
      <c r="W146"/>
      <c r="X146"/>
      <c r="AA146"/>
      <c r="AB146"/>
      <c r="AC146"/>
      <c r="AD146"/>
      <c r="AE146"/>
      <c r="AF146"/>
      <c r="AJ146" s="97"/>
      <c r="AK146" s="97"/>
      <c r="BD146"/>
    </row>
    <row r="147" spans="1:56" s="2" customFormat="1" x14ac:dyDescent="0.2">
      <c r="A147"/>
      <c r="B147" s="97"/>
      <c r="D147"/>
      <c r="E147"/>
      <c r="F147"/>
      <c r="G147"/>
      <c r="H147"/>
      <c r="I147"/>
      <c r="J147"/>
      <c r="K147"/>
      <c r="L147"/>
      <c r="M147"/>
      <c r="N147"/>
      <c r="O147"/>
      <c r="P147"/>
      <c r="Q147"/>
      <c r="R147"/>
      <c r="S147"/>
      <c r="T147"/>
      <c r="U147"/>
      <c r="V147"/>
      <c r="W147"/>
      <c r="X147"/>
      <c r="AA147"/>
      <c r="AB147"/>
      <c r="AC147"/>
      <c r="AD147"/>
      <c r="AE147"/>
      <c r="AF147"/>
      <c r="AJ147" s="97"/>
      <c r="AK147" s="97"/>
      <c r="BD147"/>
    </row>
    <row r="148" spans="1:56" s="2" customFormat="1" x14ac:dyDescent="0.2">
      <c r="A148"/>
      <c r="B148" s="97"/>
      <c r="D148"/>
      <c r="E148"/>
      <c r="F148"/>
      <c r="G148"/>
      <c r="H148"/>
      <c r="I148"/>
      <c r="J148"/>
      <c r="K148"/>
      <c r="L148"/>
      <c r="M148"/>
      <c r="N148"/>
      <c r="O148"/>
      <c r="P148"/>
      <c r="Q148"/>
      <c r="R148"/>
      <c r="S148"/>
      <c r="T148"/>
      <c r="U148"/>
      <c r="V148"/>
      <c r="W148"/>
      <c r="X148"/>
      <c r="AA148"/>
      <c r="AB148"/>
      <c r="AC148"/>
      <c r="AD148"/>
      <c r="AE148"/>
      <c r="AF148"/>
      <c r="AJ148" s="97"/>
      <c r="AK148" s="97"/>
      <c r="BD148"/>
    </row>
    <row r="149" spans="1:56" s="2" customFormat="1" x14ac:dyDescent="0.2">
      <c r="A149"/>
      <c r="B149" s="97"/>
      <c r="D149"/>
      <c r="E149"/>
      <c r="F149"/>
      <c r="G149"/>
      <c r="H149"/>
      <c r="I149"/>
      <c r="J149"/>
      <c r="K149"/>
      <c r="L149"/>
      <c r="M149"/>
      <c r="N149"/>
      <c r="O149"/>
      <c r="P149"/>
      <c r="Q149"/>
      <c r="R149"/>
      <c r="S149"/>
      <c r="T149"/>
      <c r="U149"/>
      <c r="V149"/>
      <c r="W149"/>
      <c r="X149"/>
      <c r="AA149"/>
      <c r="AB149"/>
      <c r="AC149"/>
      <c r="AD149"/>
      <c r="AE149"/>
      <c r="AF149"/>
      <c r="AJ149" s="97"/>
      <c r="AK149" s="97"/>
      <c r="BD149"/>
    </row>
    <row r="150" spans="1:56" s="2" customFormat="1" x14ac:dyDescent="0.2">
      <c r="A150"/>
      <c r="B150" s="97"/>
      <c r="D150"/>
      <c r="E150"/>
      <c r="F150"/>
      <c r="G150"/>
      <c r="H150"/>
      <c r="I150"/>
      <c r="J150"/>
      <c r="K150"/>
      <c r="L150"/>
      <c r="M150"/>
      <c r="N150"/>
      <c r="O150"/>
      <c r="P150"/>
      <c r="Q150"/>
      <c r="R150"/>
      <c r="S150"/>
      <c r="T150"/>
      <c r="U150"/>
      <c r="V150"/>
      <c r="W150"/>
      <c r="X150"/>
      <c r="AA150"/>
      <c r="AB150"/>
      <c r="AC150"/>
      <c r="AD150"/>
      <c r="AE150"/>
      <c r="AF150"/>
      <c r="AJ150" s="97"/>
      <c r="AK150" s="97"/>
      <c r="BD150"/>
    </row>
    <row r="151" spans="1:56" s="2" customFormat="1" x14ac:dyDescent="0.2">
      <c r="A151"/>
      <c r="B151" s="97"/>
      <c r="D151"/>
      <c r="E151"/>
      <c r="F151"/>
      <c r="G151"/>
      <c r="H151"/>
      <c r="I151"/>
      <c r="J151"/>
      <c r="K151"/>
      <c r="L151"/>
      <c r="M151"/>
      <c r="N151"/>
      <c r="O151"/>
      <c r="P151"/>
      <c r="Q151"/>
      <c r="R151"/>
      <c r="S151"/>
      <c r="T151"/>
      <c r="U151"/>
      <c r="V151"/>
      <c r="W151"/>
      <c r="X151"/>
      <c r="AA151"/>
      <c r="AB151"/>
      <c r="AC151"/>
      <c r="AD151"/>
      <c r="AE151"/>
      <c r="AF151"/>
      <c r="AJ151" s="97"/>
      <c r="AK151" s="97"/>
      <c r="BD151"/>
    </row>
    <row r="152" spans="1:56" s="2" customFormat="1" x14ac:dyDescent="0.2">
      <c r="A152"/>
      <c r="B152" s="97"/>
      <c r="D152"/>
      <c r="E152"/>
      <c r="F152"/>
      <c r="G152"/>
      <c r="H152"/>
      <c r="I152"/>
      <c r="J152"/>
      <c r="K152"/>
      <c r="L152"/>
      <c r="M152"/>
      <c r="N152"/>
      <c r="O152"/>
      <c r="P152"/>
      <c r="Q152"/>
      <c r="R152"/>
      <c r="S152"/>
      <c r="T152"/>
      <c r="U152"/>
      <c r="V152"/>
      <c r="W152"/>
      <c r="X152"/>
      <c r="AA152"/>
      <c r="AB152"/>
      <c r="AC152"/>
      <c r="AD152"/>
      <c r="AE152"/>
      <c r="AF152"/>
      <c r="AJ152" s="97"/>
      <c r="AK152" s="97"/>
      <c r="BD152"/>
    </row>
    <row r="153" spans="1:56" s="2" customFormat="1" x14ac:dyDescent="0.2">
      <c r="A153"/>
      <c r="B153" s="97"/>
      <c r="D153"/>
      <c r="E153"/>
      <c r="F153"/>
      <c r="G153"/>
      <c r="H153"/>
      <c r="I153"/>
      <c r="J153"/>
      <c r="K153"/>
      <c r="L153"/>
      <c r="M153"/>
      <c r="N153"/>
      <c r="O153"/>
      <c r="P153"/>
      <c r="Q153"/>
      <c r="R153"/>
      <c r="S153"/>
      <c r="T153"/>
      <c r="U153"/>
      <c r="V153"/>
      <c r="W153"/>
      <c r="X153"/>
      <c r="AA153"/>
      <c r="AB153"/>
      <c r="AC153"/>
      <c r="AD153"/>
      <c r="AE153"/>
      <c r="AF153"/>
      <c r="AJ153" s="97"/>
      <c r="AK153" s="97"/>
      <c r="BD153"/>
    </row>
    <row r="154" spans="1:56" s="2" customFormat="1" x14ac:dyDescent="0.2">
      <c r="A154"/>
      <c r="B154" s="97"/>
      <c r="D154"/>
      <c r="E154"/>
      <c r="F154"/>
      <c r="G154"/>
      <c r="H154"/>
      <c r="I154"/>
      <c r="J154"/>
      <c r="K154"/>
      <c r="L154"/>
      <c r="M154"/>
      <c r="N154"/>
      <c r="O154"/>
      <c r="P154"/>
      <c r="Q154"/>
      <c r="R154"/>
      <c r="S154"/>
      <c r="T154"/>
      <c r="U154"/>
      <c r="V154"/>
      <c r="W154"/>
      <c r="X154"/>
      <c r="AA154"/>
      <c r="AB154"/>
      <c r="AC154"/>
      <c r="AD154"/>
      <c r="AE154"/>
      <c r="AF154"/>
      <c r="AJ154" s="97"/>
      <c r="AK154" s="97"/>
      <c r="BD154"/>
    </row>
    <row r="155" spans="1:56" s="2" customFormat="1" x14ac:dyDescent="0.2">
      <c r="A155"/>
      <c r="B155" s="97"/>
      <c r="D155"/>
      <c r="E155"/>
      <c r="F155"/>
      <c r="G155"/>
      <c r="H155"/>
      <c r="I155"/>
      <c r="J155"/>
      <c r="K155"/>
      <c r="L155"/>
      <c r="M155"/>
      <c r="N155"/>
      <c r="O155"/>
      <c r="P155"/>
      <c r="Q155"/>
      <c r="R155"/>
      <c r="S155"/>
      <c r="T155"/>
      <c r="U155"/>
      <c r="V155"/>
      <c r="W155"/>
      <c r="X155"/>
      <c r="AA155"/>
      <c r="AB155"/>
      <c r="AC155"/>
      <c r="AD155"/>
      <c r="AE155"/>
      <c r="AF155"/>
      <c r="AJ155" s="97"/>
      <c r="AK155" s="97"/>
      <c r="BD155"/>
    </row>
    <row r="156" spans="1:56" s="2" customFormat="1" x14ac:dyDescent="0.2">
      <c r="A156"/>
      <c r="B156" s="97"/>
      <c r="D156"/>
      <c r="E156"/>
      <c r="F156"/>
      <c r="G156"/>
      <c r="H156"/>
      <c r="I156"/>
      <c r="J156"/>
      <c r="K156"/>
      <c r="L156"/>
      <c r="M156"/>
      <c r="N156"/>
      <c r="O156"/>
      <c r="P156"/>
      <c r="Q156"/>
      <c r="R156"/>
      <c r="S156"/>
      <c r="T156"/>
      <c r="U156"/>
      <c r="V156"/>
      <c r="W156"/>
      <c r="X156"/>
      <c r="AA156"/>
      <c r="AB156"/>
      <c r="AC156"/>
      <c r="AD156"/>
      <c r="AE156"/>
      <c r="AF156"/>
      <c r="AJ156" s="97"/>
      <c r="AK156" s="97"/>
      <c r="BD156"/>
    </row>
    <row r="157" spans="1:56" s="2" customFormat="1" x14ac:dyDescent="0.2">
      <c r="A157"/>
      <c r="B157" s="97"/>
      <c r="D157"/>
      <c r="E157"/>
      <c r="F157"/>
      <c r="G157"/>
      <c r="H157"/>
      <c r="I157"/>
      <c r="J157"/>
      <c r="K157"/>
      <c r="L157"/>
      <c r="M157"/>
      <c r="N157"/>
      <c r="O157"/>
      <c r="P157"/>
      <c r="Q157"/>
      <c r="R157"/>
      <c r="S157"/>
      <c r="T157"/>
      <c r="U157"/>
      <c r="V157"/>
      <c r="W157"/>
      <c r="X157"/>
      <c r="AA157"/>
      <c r="AB157"/>
      <c r="AC157"/>
      <c r="AD157"/>
      <c r="AE157"/>
      <c r="AF157"/>
      <c r="AJ157" s="97"/>
      <c r="AK157" s="97"/>
      <c r="BD157"/>
    </row>
    <row r="158" spans="1:56" s="2" customFormat="1" x14ac:dyDescent="0.2">
      <c r="A158"/>
      <c r="B158" s="97"/>
      <c r="D158"/>
      <c r="E158"/>
      <c r="F158"/>
      <c r="G158"/>
      <c r="H158"/>
      <c r="I158"/>
      <c r="J158"/>
      <c r="K158"/>
      <c r="L158"/>
      <c r="M158"/>
      <c r="N158"/>
      <c r="O158"/>
      <c r="P158"/>
      <c r="Q158"/>
      <c r="R158"/>
      <c r="S158"/>
      <c r="T158"/>
      <c r="U158"/>
      <c r="V158"/>
      <c r="W158"/>
      <c r="X158"/>
      <c r="AA158"/>
      <c r="AB158"/>
      <c r="AC158"/>
      <c r="AD158"/>
      <c r="AE158"/>
      <c r="AF158"/>
      <c r="AJ158" s="97"/>
      <c r="AK158" s="97"/>
      <c r="BD158"/>
    </row>
    <row r="159" spans="1:56" s="2" customFormat="1" x14ac:dyDescent="0.2">
      <c r="A159"/>
      <c r="B159" s="97"/>
      <c r="D159"/>
      <c r="E159"/>
      <c r="F159"/>
      <c r="G159"/>
      <c r="H159"/>
      <c r="I159"/>
      <c r="J159"/>
      <c r="K159"/>
      <c r="L159"/>
      <c r="M159"/>
      <c r="N159"/>
      <c r="O159"/>
      <c r="P159"/>
      <c r="Q159"/>
      <c r="R159"/>
      <c r="S159"/>
      <c r="T159"/>
      <c r="U159"/>
      <c r="V159"/>
      <c r="W159"/>
      <c r="X159"/>
      <c r="AA159"/>
      <c r="AB159"/>
      <c r="AC159"/>
      <c r="AD159"/>
      <c r="AE159"/>
      <c r="AF159"/>
      <c r="AJ159" s="97"/>
      <c r="AK159" s="97"/>
      <c r="BD159"/>
    </row>
    <row r="160" spans="1:56" s="2" customFormat="1" x14ac:dyDescent="0.2">
      <c r="A160"/>
      <c r="B160" s="97"/>
      <c r="D160"/>
      <c r="E160"/>
      <c r="F160"/>
      <c r="G160"/>
      <c r="H160"/>
      <c r="I160"/>
      <c r="J160"/>
      <c r="K160"/>
      <c r="L160"/>
      <c r="M160"/>
      <c r="N160"/>
      <c r="O160"/>
      <c r="P160"/>
      <c r="Q160"/>
      <c r="R160"/>
      <c r="S160"/>
      <c r="T160"/>
      <c r="U160"/>
      <c r="V160"/>
      <c r="W160"/>
      <c r="X160"/>
      <c r="AA160"/>
      <c r="AB160"/>
      <c r="AC160"/>
      <c r="AD160"/>
      <c r="AE160"/>
      <c r="AF160"/>
      <c r="AJ160" s="97"/>
      <c r="AK160" s="97"/>
      <c r="BD160"/>
    </row>
    <row r="161" spans="1:56" s="2" customFormat="1" x14ac:dyDescent="0.2">
      <c r="A161"/>
      <c r="B161" s="97"/>
      <c r="D161"/>
      <c r="E161"/>
      <c r="F161"/>
      <c r="G161"/>
      <c r="H161"/>
      <c r="I161"/>
      <c r="J161"/>
      <c r="K161"/>
      <c r="L161"/>
      <c r="M161"/>
      <c r="N161"/>
      <c r="O161"/>
      <c r="P161"/>
      <c r="Q161"/>
      <c r="R161"/>
      <c r="S161"/>
      <c r="T161"/>
      <c r="U161"/>
      <c r="V161"/>
      <c r="W161"/>
      <c r="X161"/>
      <c r="AA161"/>
      <c r="AB161"/>
      <c r="AC161"/>
      <c r="AD161"/>
      <c r="AE161"/>
      <c r="AF161"/>
      <c r="AJ161" s="97"/>
      <c r="AK161" s="97"/>
      <c r="BD161"/>
    </row>
    <row r="162" spans="1:56" s="2" customFormat="1" x14ac:dyDescent="0.2">
      <c r="A162"/>
      <c r="B162" s="97"/>
      <c r="D162"/>
      <c r="E162"/>
      <c r="F162"/>
      <c r="G162"/>
      <c r="H162"/>
      <c r="I162"/>
      <c r="J162"/>
      <c r="K162"/>
      <c r="L162"/>
      <c r="M162"/>
      <c r="N162"/>
      <c r="O162"/>
      <c r="P162"/>
      <c r="Q162"/>
      <c r="R162"/>
      <c r="S162"/>
      <c r="T162"/>
      <c r="U162"/>
      <c r="V162"/>
      <c r="W162"/>
      <c r="X162"/>
      <c r="AA162"/>
      <c r="AB162"/>
      <c r="AC162"/>
      <c r="AD162"/>
      <c r="AE162"/>
      <c r="AF162"/>
      <c r="AJ162" s="97"/>
      <c r="AK162" s="97"/>
      <c r="BD162"/>
    </row>
    <row r="163" spans="1:56" s="2" customFormat="1" x14ac:dyDescent="0.2">
      <c r="A163"/>
      <c r="B163" s="97"/>
      <c r="D163"/>
      <c r="E163"/>
      <c r="F163"/>
      <c r="G163"/>
      <c r="H163"/>
      <c r="I163"/>
      <c r="J163"/>
      <c r="K163"/>
      <c r="L163"/>
      <c r="M163"/>
      <c r="N163"/>
      <c r="O163"/>
      <c r="P163"/>
      <c r="Q163"/>
      <c r="R163"/>
      <c r="S163"/>
      <c r="T163"/>
      <c r="U163"/>
      <c r="V163"/>
      <c r="W163"/>
      <c r="X163"/>
      <c r="AA163"/>
      <c r="AB163"/>
      <c r="AC163"/>
      <c r="AD163"/>
      <c r="AE163"/>
      <c r="AF163"/>
      <c r="AJ163" s="97"/>
      <c r="AK163" s="97"/>
      <c r="BD163"/>
    </row>
    <row r="164" spans="1:56" s="2" customFormat="1" x14ac:dyDescent="0.2">
      <c r="A164"/>
      <c r="B164" s="97"/>
      <c r="D164"/>
      <c r="E164"/>
      <c r="F164"/>
      <c r="G164"/>
      <c r="H164"/>
      <c r="I164"/>
      <c r="J164"/>
      <c r="K164"/>
      <c r="L164"/>
      <c r="M164"/>
      <c r="N164"/>
      <c r="O164"/>
      <c r="P164"/>
      <c r="Q164"/>
      <c r="R164"/>
      <c r="S164"/>
      <c r="T164"/>
      <c r="U164"/>
      <c r="V164"/>
      <c r="W164"/>
      <c r="X164"/>
      <c r="AA164"/>
      <c r="AB164"/>
      <c r="AC164"/>
      <c r="AD164"/>
      <c r="AE164"/>
      <c r="AF164"/>
      <c r="AJ164" s="97"/>
      <c r="AK164" s="97"/>
      <c r="BD164"/>
    </row>
    <row r="165" spans="1:56" s="2" customFormat="1" x14ac:dyDescent="0.2">
      <c r="A165"/>
      <c r="B165" s="97"/>
      <c r="D165"/>
      <c r="E165"/>
      <c r="F165"/>
      <c r="G165"/>
      <c r="H165"/>
      <c r="I165"/>
      <c r="J165"/>
      <c r="K165"/>
      <c r="L165"/>
      <c r="M165"/>
      <c r="N165"/>
      <c r="O165"/>
      <c r="P165"/>
      <c r="Q165"/>
      <c r="R165"/>
      <c r="S165"/>
      <c r="T165"/>
      <c r="U165"/>
      <c r="V165"/>
      <c r="W165"/>
      <c r="X165"/>
      <c r="AA165"/>
      <c r="AB165"/>
      <c r="AC165"/>
      <c r="AD165"/>
      <c r="AE165"/>
      <c r="AF165"/>
      <c r="AJ165" s="97"/>
      <c r="AK165" s="97"/>
      <c r="BD165"/>
    </row>
    <row r="166" spans="1:56" s="2" customFormat="1" x14ac:dyDescent="0.2">
      <c r="A166"/>
      <c r="B166" s="97"/>
      <c r="D166"/>
      <c r="E166"/>
      <c r="F166"/>
      <c r="G166"/>
      <c r="H166"/>
      <c r="I166"/>
      <c r="J166"/>
      <c r="K166"/>
      <c r="L166"/>
      <c r="M166"/>
      <c r="N166"/>
      <c r="O166"/>
      <c r="P166"/>
      <c r="Q166"/>
      <c r="R166"/>
      <c r="S166"/>
      <c r="T166"/>
      <c r="U166"/>
      <c r="V166"/>
      <c r="W166"/>
      <c r="X166"/>
      <c r="AA166"/>
      <c r="AB166"/>
      <c r="AC166"/>
      <c r="AD166"/>
      <c r="AE166"/>
      <c r="AF166"/>
      <c r="AJ166" s="97"/>
      <c r="AK166" s="97"/>
      <c r="BD166"/>
    </row>
    <row r="167" spans="1:56" s="2" customFormat="1" x14ac:dyDescent="0.2">
      <c r="A167"/>
      <c r="B167" s="97"/>
      <c r="D167"/>
      <c r="E167"/>
      <c r="F167"/>
      <c r="G167"/>
      <c r="H167"/>
      <c r="I167"/>
      <c r="J167"/>
      <c r="K167"/>
      <c r="L167"/>
      <c r="M167"/>
      <c r="N167"/>
      <c r="O167"/>
      <c r="P167"/>
      <c r="Q167"/>
      <c r="R167"/>
      <c r="S167"/>
      <c r="T167"/>
      <c r="U167"/>
      <c r="V167"/>
      <c r="W167"/>
      <c r="X167"/>
      <c r="AA167"/>
      <c r="AB167"/>
      <c r="AC167"/>
      <c r="AD167"/>
      <c r="AE167"/>
      <c r="AF167"/>
      <c r="AJ167" s="97"/>
      <c r="AK167" s="97"/>
      <c r="BD167"/>
    </row>
    <row r="168" spans="1:56" s="2" customFormat="1" x14ac:dyDescent="0.2">
      <c r="A168"/>
      <c r="B168" s="97"/>
      <c r="D168"/>
      <c r="E168"/>
      <c r="F168"/>
      <c r="G168"/>
      <c r="H168"/>
      <c r="I168"/>
      <c r="J168"/>
      <c r="K168"/>
      <c r="L168"/>
      <c r="M168"/>
      <c r="N168"/>
      <c r="O168"/>
      <c r="P168"/>
      <c r="Q168"/>
      <c r="R168"/>
      <c r="S168"/>
      <c r="T168"/>
      <c r="U168"/>
      <c r="V168"/>
      <c r="W168"/>
      <c r="X168"/>
      <c r="AA168"/>
      <c r="AB168"/>
      <c r="AC168"/>
      <c r="AD168"/>
      <c r="AE168"/>
      <c r="AF168"/>
      <c r="AJ168" s="97"/>
      <c r="AK168" s="97"/>
      <c r="BD168"/>
    </row>
    <row r="169" spans="1:56" s="2" customFormat="1" x14ac:dyDescent="0.2">
      <c r="A169"/>
      <c r="B169" s="97"/>
      <c r="D169"/>
      <c r="E169"/>
      <c r="F169"/>
      <c r="G169"/>
      <c r="H169"/>
      <c r="I169"/>
      <c r="J169"/>
      <c r="K169"/>
      <c r="L169"/>
      <c r="M169"/>
      <c r="N169"/>
      <c r="O169"/>
      <c r="P169"/>
      <c r="Q169"/>
      <c r="R169"/>
      <c r="S169"/>
      <c r="T169"/>
      <c r="U169"/>
      <c r="V169"/>
      <c r="W169"/>
      <c r="X169"/>
      <c r="AA169"/>
      <c r="AB169"/>
      <c r="AC169"/>
      <c r="AD169"/>
      <c r="AE169"/>
      <c r="AF169"/>
      <c r="AJ169" s="97"/>
      <c r="AK169" s="97"/>
      <c r="BD169"/>
    </row>
    <row r="170" spans="1:56" s="2" customFormat="1" x14ac:dyDescent="0.2">
      <c r="A170"/>
      <c r="B170" s="97"/>
      <c r="D170"/>
      <c r="E170"/>
      <c r="F170"/>
      <c r="G170"/>
      <c r="H170"/>
      <c r="I170"/>
      <c r="J170"/>
      <c r="K170"/>
      <c r="L170"/>
      <c r="M170"/>
      <c r="N170"/>
      <c r="O170"/>
      <c r="P170"/>
      <c r="Q170"/>
      <c r="R170"/>
      <c r="S170"/>
      <c r="T170"/>
      <c r="U170"/>
      <c r="V170"/>
      <c r="W170"/>
      <c r="X170"/>
      <c r="AA170"/>
      <c r="AB170"/>
      <c r="AC170"/>
      <c r="AD170"/>
      <c r="AE170"/>
      <c r="AF170"/>
      <c r="AJ170" s="97"/>
      <c r="AK170" s="97"/>
      <c r="BD170"/>
    </row>
    <row r="171" spans="1:56" s="2" customFormat="1" x14ac:dyDescent="0.2">
      <c r="A171"/>
      <c r="B171" s="97"/>
      <c r="D171"/>
      <c r="E171"/>
      <c r="F171"/>
      <c r="G171"/>
      <c r="H171"/>
      <c r="I171"/>
      <c r="J171"/>
      <c r="K171"/>
      <c r="L171"/>
      <c r="M171"/>
      <c r="N171"/>
      <c r="O171"/>
      <c r="P171"/>
      <c r="Q171"/>
      <c r="R171"/>
      <c r="S171"/>
      <c r="T171"/>
      <c r="U171"/>
      <c r="V171"/>
      <c r="W171"/>
      <c r="X171"/>
      <c r="AA171"/>
      <c r="AB171"/>
      <c r="AC171"/>
      <c r="AD171"/>
      <c r="AE171"/>
      <c r="AF171"/>
      <c r="AJ171" s="97"/>
      <c r="AK171" s="97"/>
      <c r="BD171"/>
    </row>
    <row r="172" spans="1:56" s="2" customFormat="1" x14ac:dyDescent="0.2">
      <c r="A172"/>
      <c r="B172" s="97"/>
      <c r="D172"/>
      <c r="E172"/>
      <c r="F172"/>
      <c r="G172"/>
      <c r="H172"/>
      <c r="I172"/>
      <c r="J172"/>
      <c r="K172"/>
      <c r="L172"/>
      <c r="M172"/>
      <c r="N172"/>
      <c r="O172"/>
      <c r="P172"/>
      <c r="Q172"/>
      <c r="R172"/>
      <c r="S172"/>
      <c r="T172"/>
      <c r="U172"/>
      <c r="V172"/>
      <c r="W172"/>
      <c r="X172"/>
      <c r="AA172"/>
      <c r="AB172"/>
      <c r="AC172"/>
      <c r="AD172"/>
      <c r="AE172"/>
      <c r="AF172"/>
      <c r="AJ172" s="97"/>
      <c r="AK172" s="97"/>
      <c r="BD172"/>
    </row>
    <row r="173" spans="1:56" s="2" customFormat="1" x14ac:dyDescent="0.2">
      <c r="A173"/>
      <c r="B173" s="97"/>
      <c r="D173"/>
      <c r="E173"/>
      <c r="F173"/>
      <c r="G173"/>
      <c r="H173"/>
      <c r="I173"/>
      <c r="J173"/>
      <c r="K173"/>
      <c r="L173"/>
      <c r="M173"/>
      <c r="N173"/>
      <c r="O173"/>
      <c r="P173"/>
      <c r="Q173"/>
      <c r="R173"/>
      <c r="S173"/>
      <c r="T173"/>
      <c r="U173"/>
      <c r="V173"/>
      <c r="W173"/>
      <c r="X173"/>
      <c r="AA173"/>
      <c r="AB173"/>
      <c r="AC173"/>
      <c r="AD173"/>
      <c r="AE173"/>
      <c r="AF173"/>
      <c r="AJ173" s="97"/>
      <c r="AK173" s="97"/>
      <c r="BD173"/>
    </row>
    <row r="174" spans="1:56" s="2" customFormat="1" x14ac:dyDescent="0.2">
      <c r="A174"/>
      <c r="B174" s="97"/>
      <c r="D174"/>
      <c r="E174"/>
      <c r="F174"/>
      <c r="G174"/>
      <c r="H174"/>
      <c r="I174"/>
      <c r="J174"/>
      <c r="K174"/>
      <c r="L174"/>
      <c r="M174"/>
      <c r="N174"/>
      <c r="O174"/>
      <c r="P174"/>
      <c r="Q174"/>
      <c r="R174"/>
      <c r="S174"/>
      <c r="T174"/>
      <c r="U174"/>
      <c r="V174"/>
      <c r="W174"/>
      <c r="X174"/>
      <c r="AA174"/>
      <c r="AB174"/>
      <c r="AC174"/>
      <c r="AD174"/>
      <c r="AE174"/>
      <c r="AF174"/>
      <c r="AJ174" s="97"/>
      <c r="AK174" s="97"/>
      <c r="BD174"/>
    </row>
    <row r="175" spans="1:56" s="2" customFormat="1" x14ac:dyDescent="0.2">
      <c r="A175"/>
      <c r="B175" s="97"/>
      <c r="D175"/>
      <c r="E175"/>
      <c r="F175"/>
      <c r="G175"/>
      <c r="H175"/>
      <c r="I175"/>
      <c r="J175"/>
      <c r="K175"/>
      <c r="L175"/>
      <c r="M175"/>
      <c r="N175"/>
      <c r="O175"/>
      <c r="P175"/>
      <c r="Q175"/>
      <c r="R175"/>
      <c r="S175"/>
      <c r="T175"/>
      <c r="U175"/>
      <c r="V175"/>
      <c r="W175"/>
      <c r="X175"/>
      <c r="AA175"/>
      <c r="AB175"/>
      <c r="AC175"/>
      <c r="AD175"/>
      <c r="AE175"/>
      <c r="AF175"/>
      <c r="AJ175" s="97"/>
      <c r="AK175" s="97"/>
      <c r="BD175"/>
    </row>
    <row r="176" spans="1:56" s="2" customFormat="1" x14ac:dyDescent="0.2">
      <c r="A176"/>
      <c r="B176" s="97"/>
      <c r="D176"/>
      <c r="E176"/>
      <c r="F176"/>
      <c r="G176"/>
      <c r="H176"/>
      <c r="I176"/>
      <c r="J176"/>
      <c r="K176"/>
      <c r="L176"/>
      <c r="M176"/>
      <c r="N176"/>
      <c r="O176"/>
      <c r="P176"/>
      <c r="Q176"/>
      <c r="R176"/>
      <c r="S176"/>
      <c r="T176"/>
      <c r="U176"/>
      <c r="V176"/>
      <c r="W176"/>
      <c r="X176"/>
      <c r="AA176"/>
      <c r="AB176"/>
      <c r="AC176"/>
      <c r="AD176"/>
      <c r="AE176"/>
      <c r="AF176"/>
      <c r="AJ176" s="97"/>
      <c r="AK176" s="97"/>
      <c r="BD176"/>
    </row>
    <row r="177" spans="1:56" s="2" customFormat="1" x14ac:dyDescent="0.2">
      <c r="A177"/>
      <c r="B177" s="97"/>
      <c r="D177"/>
      <c r="E177"/>
      <c r="F177"/>
      <c r="G177"/>
      <c r="H177"/>
      <c r="I177"/>
      <c r="J177"/>
      <c r="K177"/>
      <c r="L177"/>
      <c r="M177"/>
      <c r="N177"/>
      <c r="O177"/>
      <c r="P177"/>
      <c r="Q177"/>
      <c r="R177"/>
      <c r="S177"/>
      <c r="T177"/>
      <c r="U177"/>
      <c r="V177"/>
      <c r="W177"/>
      <c r="X177"/>
      <c r="AA177"/>
      <c r="AB177"/>
      <c r="AC177"/>
      <c r="AD177"/>
      <c r="AE177"/>
      <c r="AF177"/>
      <c r="AJ177" s="97"/>
      <c r="AK177" s="97"/>
      <c r="BD177"/>
    </row>
    <row r="178" spans="1:56" s="2" customFormat="1" x14ac:dyDescent="0.2">
      <c r="A178"/>
      <c r="B178" s="97"/>
      <c r="D178"/>
      <c r="E178"/>
      <c r="F178"/>
      <c r="G178"/>
      <c r="H178"/>
      <c r="I178"/>
      <c r="J178"/>
      <c r="K178"/>
      <c r="L178"/>
      <c r="M178"/>
      <c r="N178"/>
      <c r="O178"/>
      <c r="P178"/>
      <c r="Q178"/>
      <c r="R178"/>
      <c r="S178"/>
      <c r="T178"/>
      <c r="U178"/>
      <c r="V178"/>
      <c r="W178"/>
      <c r="X178"/>
      <c r="AA178"/>
      <c r="AB178"/>
      <c r="AC178"/>
      <c r="AD178"/>
      <c r="AE178"/>
      <c r="AF178"/>
      <c r="AJ178" s="97"/>
      <c r="AK178" s="97"/>
      <c r="BD178"/>
    </row>
    <row r="179" spans="1:56" s="2" customFormat="1" x14ac:dyDescent="0.2">
      <c r="A179"/>
      <c r="B179" s="97"/>
      <c r="D179"/>
      <c r="E179"/>
      <c r="F179"/>
      <c r="G179"/>
      <c r="H179"/>
      <c r="I179"/>
      <c r="J179"/>
      <c r="K179"/>
      <c r="L179"/>
      <c r="M179"/>
      <c r="N179"/>
      <c r="O179"/>
      <c r="P179"/>
      <c r="Q179"/>
      <c r="R179"/>
      <c r="S179"/>
      <c r="T179"/>
      <c r="U179"/>
      <c r="V179"/>
      <c r="W179"/>
      <c r="X179"/>
      <c r="AA179"/>
      <c r="AB179"/>
      <c r="AC179"/>
      <c r="AD179"/>
      <c r="AE179"/>
      <c r="AF179"/>
      <c r="AJ179" s="97"/>
      <c r="AK179" s="97"/>
      <c r="BD179"/>
    </row>
    <row r="180" spans="1:56" s="2" customFormat="1" x14ac:dyDescent="0.2">
      <c r="A180"/>
      <c r="B180" s="97"/>
      <c r="D180"/>
      <c r="E180"/>
      <c r="F180"/>
      <c r="G180"/>
      <c r="H180"/>
      <c r="I180"/>
      <c r="J180"/>
      <c r="K180"/>
      <c r="L180"/>
      <c r="M180"/>
      <c r="N180"/>
      <c r="O180"/>
      <c r="P180"/>
      <c r="Q180"/>
      <c r="R180"/>
      <c r="S180"/>
      <c r="T180"/>
      <c r="U180"/>
      <c r="V180"/>
      <c r="W180"/>
      <c r="X180"/>
      <c r="AA180"/>
      <c r="AB180"/>
      <c r="AC180"/>
      <c r="AD180"/>
      <c r="AE180"/>
      <c r="AF180"/>
      <c r="AJ180" s="97"/>
      <c r="AK180" s="97"/>
      <c r="BD180"/>
    </row>
    <row r="181" spans="1:56" s="2" customFormat="1" x14ac:dyDescent="0.2">
      <c r="A181"/>
      <c r="B181" s="97"/>
      <c r="D181"/>
      <c r="E181"/>
      <c r="F181"/>
      <c r="G181"/>
      <c r="H181"/>
      <c r="I181"/>
      <c r="J181"/>
      <c r="K181"/>
      <c r="L181"/>
      <c r="M181"/>
      <c r="N181"/>
      <c r="O181"/>
      <c r="P181"/>
      <c r="Q181"/>
      <c r="R181"/>
      <c r="S181"/>
      <c r="T181"/>
      <c r="U181"/>
      <c r="V181"/>
      <c r="W181"/>
      <c r="X181"/>
      <c r="AA181"/>
      <c r="AB181"/>
      <c r="AC181"/>
      <c r="AD181"/>
      <c r="AE181"/>
      <c r="AF181"/>
      <c r="AJ181" s="97"/>
      <c r="AK181" s="97"/>
      <c r="BD181"/>
    </row>
    <row r="182" spans="1:56" s="2" customFormat="1" x14ac:dyDescent="0.2">
      <c r="A182"/>
      <c r="B182" s="97"/>
      <c r="D182"/>
      <c r="E182"/>
      <c r="F182"/>
      <c r="G182"/>
      <c r="H182"/>
      <c r="I182"/>
      <c r="J182"/>
      <c r="K182"/>
      <c r="L182"/>
      <c r="M182"/>
      <c r="N182"/>
      <c r="O182"/>
      <c r="P182"/>
      <c r="Q182"/>
      <c r="R182"/>
      <c r="S182"/>
      <c r="T182"/>
      <c r="U182"/>
      <c r="V182"/>
      <c r="W182"/>
      <c r="X182"/>
      <c r="AA182"/>
      <c r="AB182"/>
      <c r="AC182"/>
      <c r="AD182"/>
      <c r="AE182"/>
      <c r="AF182"/>
      <c r="AJ182" s="97"/>
      <c r="AK182" s="97"/>
      <c r="BD182"/>
    </row>
  </sheetData>
  <pageMargins left="0.7" right="0.7" top="0.75" bottom="0.75" header="0.3" footer="0.3"/>
  <pageSetup orientation="portrait" horizontalDpi="0" verticalDpi="0"/>
  <ignoredErrors>
    <ignoredError sqref="P4 Q5 R6 S7 T8 Y39:Y122" formulaRange="1"/>
  </ignoredErrors>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5D13E-E170-2249-93EE-42F7DA5BF2E2}">
  <sheetPr>
    <tabColor theme="0"/>
  </sheetPr>
  <dimension ref="A1:CV123"/>
  <sheetViews>
    <sheetView showGridLines="0" zoomScaleNormal="99" workbookViewId="0">
      <selection activeCell="B2" sqref="B2"/>
    </sheetView>
  </sheetViews>
  <sheetFormatPr baseColWidth="10" defaultColWidth="10.83203125" defaultRowHeight="15" x14ac:dyDescent="0.2"/>
  <cols>
    <col min="1" max="6" width="11" bestFit="1" customWidth="1"/>
    <col min="7" max="7" width="19.6640625" bestFit="1" customWidth="1"/>
    <col min="8" max="11" width="19.6640625" customWidth="1"/>
    <col min="13" max="13" width="11" bestFit="1" customWidth="1"/>
    <col min="14" max="14" width="15.6640625" bestFit="1" customWidth="1"/>
    <col min="15" max="19" width="18.83203125" bestFit="1" customWidth="1"/>
    <col min="23" max="23" width="13.1640625" customWidth="1"/>
    <col min="24" max="24" width="13.6640625" customWidth="1"/>
    <col min="25" max="26" width="12.83203125" customWidth="1"/>
    <col min="29" max="32" width="12.6640625" customWidth="1"/>
    <col min="46" max="46" width="13" customWidth="1"/>
    <col min="47" max="47" width="13.6640625" customWidth="1"/>
    <col min="60" max="60" width="10.6640625" bestFit="1" customWidth="1"/>
    <col min="61" max="61" width="12.6640625" bestFit="1" customWidth="1"/>
    <col min="62" max="67" width="10.6640625" bestFit="1" customWidth="1"/>
    <col min="70" max="75" width="10.6640625" bestFit="1" customWidth="1"/>
    <col min="77" max="78" width="13" customWidth="1"/>
    <col min="79" max="81" width="13.6640625" customWidth="1"/>
    <col min="82" max="82" width="10.6640625" bestFit="1" customWidth="1"/>
  </cols>
  <sheetData>
    <row r="1" spans="1:97" x14ac:dyDescent="0.2">
      <c r="W1" t="s">
        <v>178</v>
      </c>
      <c r="AM1" t="s">
        <v>179</v>
      </c>
      <c r="BC1" t="s">
        <v>180</v>
      </c>
      <c r="BR1" t="s">
        <v>181</v>
      </c>
      <c r="CI1" t="s">
        <v>182</v>
      </c>
    </row>
    <row r="2" spans="1:97" x14ac:dyDescent="0.2">
      <c r="A2" s="41" t="s">
        <v>166</v>
      </c>
      <c r="B2" s="42">
        <f>Project_Page_5_RP!H44</f>
        <v>0.4190708302769508</v>
      </c>
      <c r="C2" s="42">
        <f>Project_Page_5_RP!I44</f>
        <v>7.1781111433816172E-2</v>
      </c>
      <c r="D2" s="42">
        <f>Project_Page_5_RP!J44</f>
        <v>5.1402841919813307E-2</v>
      </c>
      <c r="E2" s="42">
        <f>Project_Page_5_RP!K44</f>
        <v>0.2410450126659224</v>
      </c>
      <c r="F2" s="42">
        <f>Project_Page_5_RP!L44</f>
        <v>0.21670020370349746</v>
      </c>
      <c r="G2" s="32"/>
      <c r="N2" s="50" t="s">
        <v>167</v>
      </c>
      <c r="W2">
        <f>AC20</f>
        <v>0.59460301199999999</v>
      </c>
      <c r="X2">
        <f>AC21</f>
        <v>5.2414433000000003E-2</v>
      </c>
      <c r="Y2">
        <f>AC22</f>
        <v>-6.9793960000000002E-2</v>
      </c>
      <c r="Z2">
        <v>1</v>
      </c>
      <c r="AM2">
        <f>AS20</f>
        <v>1.1011339728542899</v>
      </c>
      <c r="AN2">
        <f>AS21</f>
        <v>0.45214916703304903</v>
      </c>
      <c r="AO2">
        <f>AS22</f>
        <v>0.17417432645952199</v>
      </c>
      <c r="AP2">
        <v>1</v>
      </c>
      <c r="BC2">
        <f>BH20</f>
        <v>0.68741538657185397</v>
      </c>
      <c r="BD2">
        <f>BH21</f>
        <v>1.33989407424533</v>
      </c>
      <c r="BE2">
        <v>1</v>
      </c>
      <c r="BR2">
        <f>BY20</f>
        <v>8.8277652570716306E-2</v>
      </c>
      <c r="BS2">
        <f>BY21</f>
        <v>0.31472457422392902</v>
      </c>
      <c r="BT2">
        <f>BY22</f>
        <v>0.75331524631995705</v>
      </c>
      <c r="BU2">
        <f>BY23</f>
        <v>3.6420311862406698E-2</v>
      </c>
      <c r="BV2">
        <v>1</v>
      </c>
      <c r="CI2">
        <f>CO20</f>
        <v>0.90932564086687995</v>
      </c>
      <c r="CJ2">
        <f>CO21</f>
        <v>-0.122780401193907</v>
      </c>
      <c r="CK2">
        <f>CO22</f>
        <v>0.15794486020787299</v>
      </c>
      <c r="CL2">
        <v>1</v>
      </c>
    </row>
    <row r="3" spans="1:97" x14ac:dyDescent="0.2">
      <c r="A3" s="24" t="s">
        <v>164</v>
      </c>
      <c r="B3" s="24" t="s">
        <v>0</v>
      </c>
      <c r="C3" s="24" t="s">
        <v>1</v>
      </c>
      <c r="D3" s="24" t="s">
        <v>158</v>
      </c>
      <c r="E3" s="24" t="s">
        <v>3</v>
      </c>
      <c r="F3" s="24" t="s">
        <v>4</v>
      </c>
      <c r="G3" s="24" t="s">
        <v>291</v>
      </c>
      <c r="H3" s="24"/>
      <c r="I3" s="24" t="s">
        <v>187</v>
      </c>
      <c r="K3" s="24"/>
      <c r="N3" s="45"/>
      <c r="O3" s="45" t="s">
        <v>0</v>
      </c>
      <c r="P3" s="45" t="s">
        <v>1</v>
      </c>
      <c r="Q3" s="45" t="s">
        <v>158</v>
      </c>
      <c r="R3" s="45" t="s">
        <v>3</v>
      </c>
      <c r="S3" s="45" t="s">
        <v>4</v>
      </c>
      <c r="W3" s="57" t="s">
        <v>7</v>
      </c>
      <c r="X3" s="57" t="s">
        <v>15</v>
      </c>
      <c r="Y3" s="57" t="s">
        <v>128</v>
      </c>
      <c r="Z3" s="58" t="s">
        <v>175</v>
      </c>
      <c r="AB3" t="s">
        <v>104</v>
      </c>
      <c r="AM3" s="57" t="s">
        <v>25</v>
      </c>
      <c r="AN3" s="57" t="s">
        <v>145</v>
      </c>
      <c r="AO3" s="57" t="s">
        <v>146</v>
      </c>
      <c r="AP3" s="58" t="s">
        <v>175</v>
      </c>
      <c r="AR3" t="s">
        <v>104</v>
      </c>
      <c r="BC3" s="57" t="s">
        <v>10</v>
      </c>
      <c r="BD3" s="57" t="s">
        <v>12</v>
      </c>
      <c r="BE3" s="58" t="s">
        <v>175</v>
      </c>
      <c r="BG3" t="s">
        <v>104</v>
      </c>
      <c r="BR3" s="57" t="s">
        <v>29</v>
      </c>
      <c r="BS3" s="57" t="s">
        <v>13</v>
      </c>
      <c r="BT3" s="59" t="s">
        <v>153</v>
      </c>
      <c r="BU3" s="57" t="s">
        <v>154</v>
      </c>
      <c r="BV3" s="58" t="s">
        <v>175</v>
      </c>
      <c r="BX3" t="s">
        <v>104</v>
      </c>
      <c r="CI3" s="57" t="s">
        <v>16</v>
      </c>
      <c r="CJ3" s="57" t="s">
        <v>14</v>
      </c>
      <c r="CK3" s="57" t="s">
        <v>17</v>
      </c>
      <c r="CL3" s="58" t="s">
        <v>175</v>
      </c>
      <c r="CN3" t="s">
        <v>104</v>
      </c>
    </row>
    <row r="4" spans="1:97" ht="16" thickBot="1" x14ac:dyDescent="0.25">
      <c r="A4" s="1">
        <v>38016</v>
      </c>
      <c r="B4" s="38">
        <f>Data!B2</f>
        <v>6.2656429682741432E-3</v>
      </c>
      <c r="C4" s="38">
        <f>Data!C2</f>
        <v>3.4770514603616132E-2</v>
      </c>
      <c r="D4" s="38">
        <f>Data!D2</f>
        <v>3.260982376995325E-2</v>
      </c>
      <c r="E4" s="38">
        <f>Data!E2</f>
        <v>6.4599982985540372E-3</v>
      </c>
      <c r="F4" s="38">
        <f>Data!F2</f>
        <v>1.1827396930966794E-2</v>
      </c>
      <c r="G4" s="38">
        <f>SUMPRODUCT($B$2:$F$2,B4:F4)</f>
        <v>1.0918001696506183E-2</v>
      </c>
      <c r="H4" s="38"/>
      <c r="I4" s="44" cm="1">
        <f t="array" ref="I4">(GEOMEAN(1+G4:G123)^12)-1</f>
        <v>5.2404957966555532E-2</v>
      </c>
      <c r="K4" s="38"/>
      <c r="M4" cm="1">
        <f t="array" ref="M4:M8">TRANSPOSE(B2:F2)</f>
        <v>0.4190708302769508</v>
      </c>
      <c r="N4" s="46" t="s">
        <v>0</v>
      </c>
      <c r="O4" s="46">
        <f>VARP($B$4:$B$123)</f>
        <v>5.8133493533547113E-5</v>
      </c>
      <c r="P4" s="46">
        <f>_xlfn.COVARIANCE.S($B$4:$B$123,$C$4:$C$123)</f>
        <v>-5.8006583278946301E-5</v>
      </c>
      <c r="Q4" s="46">
        <f>_xlfn.COVARIANCE.S($B$4:$B$123,$D$4:$D$123)</f>
        <v>-3.8632080960862531E-5</v>
      </c>
      <c r="R4" s="46">
        <f>_xlfn.COVARIANCE.S($B$4:$B$123,$E$4:$E$123)</f>
        <v>3.4944769914511711E-6</v>
      </c>
      <c r="S4" s="46">
        <f>_xlfn.COVARIANCE.S($B$4:$B$123,$F$4:$F$123)</f>
        <v>1.0501967419679609E-4</v>
      </c>
      <c r="W4" s="60">
        <v>8.0453023030972997E-3</v>
      </c>
      <c r="X4" s="60">
        <v>5.1267545875612903E-3</v>
      </c>
      <c r="Y4" s="60">
        <v>8.1077053274645206E-3</v>
      </c>
      <c r="Z4" s="56">
        <f t="shared" ref="Z4:Z67" si="0">B4-SUMPRODUCT(W4:Y4, W$2:Y$2)</f>
        <v>1.7790349128816241E-3</v>
      </c>
      <c r="AM4">
        <v>2.0422331878443101E-2</v>
      </c>
      <c r="AN4">
        <v>2.83860797974E-3</v>
      </c>
      <c r="AO4">
        <v>2.5090926774071799E-2</v>
      </c>
      <c r="AP4" s="56">
        <f t="shared" ref="AP4:AP67" si="1">C4-SUMPRODUCT(AM4:AO4, AM$2:AO$2)</f>
        <v>6.6291216626653167E-3</v>
      </c>
      <c r="BC4">
        <v>1.8131402072775402E-2</v>
      </c>
      <c r="BD4">
        <v>2.79899981743594E-2</v>
      </c>
      <c r="BE4" s="56">
        <f t="shared" ref="BE4:BE67" si="2">D4-SUMPRODUCT(BC4:BD4, BC$2:BD$2)</f>
        <v>-1.7357613686955133E-2</v>
      </c>
      <c r="BR4">
        <v>-3.1291370802744002E-2</v>
      </c>
      <c r="BS4">
        <v>1.53800197665672E-2</v>
      </c>
      <c r="BT4">
        <v>3.2700205686655398E-3</v>
      </c>
      <c r="BU4">
        <v>1.14502969767982E-3</v>
      </c>
      <c r="BV4" s="56">
        <f t="shared" ref="BV4:BV67" si="3">E4-SUMPRODUCT(BR4:BU4, BR$2:BU$2)</f>
        <v>1.876798197314831E-3</v>
      </c>
      <c r="CI4">
        <v>1.23260816077084E-2</v>
      </c>
      <c r="CJ4">
        <v>1.21099991979017E-2</v>
      </c>
      <c r="CK4">
        <v>1.6153007630561801E-2</v>
      </c>
      <c r="CL4" s="56">
        <f t="shared" ref="CL4:CL67" si="4">F4-SUMPRODUCT(CI4:CK4, CI$2:CK$2)</f>
        <v>-4.4543909850963681E-4</v>
      </c>
    </row>
    <row r="5" spans="1:97" x14ac:dyDescent="0.2">
      <c r="A5" s="1">
        <v>38044</v>
      </c>
      <c r="B5" s="38">
        <f>Data!B3</f>
        <v>8.4282173017939943E-3</v>
      </c>
      <c r="C5" s="38">
        <f>Data!C3</f>
        <v>-3.2526881720430167E-2</v>
      </c>
      <c r="D5" s="38">
        <f>Data!D3</f>
        <v>8.396542481908309E-2</v>
      </c>
      <c r="E5" s="38">
        <f>Data!E3</f>
        <v>1.998999592325168E-2</v>
      </c>
      <c r="F5" s="38">
        <f>Data!F3</f>
        <v>2.3758424341297602E-2</v>
      </c>
      <c r="G5" s="38">
        <f t="shared" ref="G5:G68" si="5">SUMPRODUCT($B$2:$F$2,B5:F5)</f>
        <v>1.5480209974699174E-2</v>
      </c>
      <c r="H5" s="38"/>
      <c r="I5" s="38"/>
      <c r="J5" s="38"/>
      <c r="K5" s="38"/>
      <c r="M5">
        <v>7.1781111433816172E-2</v>
      </c>
      <c r="N5" s="46" t="s">
        <v>1</v>
      </c>
      <c r="O5" s="46">
        <f>_xlfn.COVARIANCE.S($B$4:$B$123,$C$4:$C$123)</f>
        <v>-5.8006583278946301E-5</v>
      </c>
      <c r="P5" s="46">
        <f>VARP($C$4:$C$123)</f>
        <v>2.867204937460884E-3</v>
      </c>
      <c r="Q5" s="46">
        <f>_xlfn.COVARIANCE.S($C$4:$C$123,$D$4:$D$123)</f>
        <v>1.8845083567208716E-3</v>
      </c>
      <c r="R5" s="46">
        <f>_xlfn.COVARIANCE.S($C$4:$C$123,$E$4:$E$123)</f>
        <v>1.7045495436719126E-4</v>
      </c>
      <c r="S5" s="46">
        <f>_xlfn.COVARIANCE.S($C$4:$C$123,$F$4:$F$123)</f>
        <v>1.3861373969440544E-4</v>
      </c>
      <c r="W5" s="60">
        <v>1.08241419469755E-2</v>
      </c>
      <c r="X5" s="60">
        <v>3.4824820599408399E-3</v>
      </c>
      <c r="Y5" s="60">
        <v>-1.19207329792014E-2</v>
      </c>
      <c r="Z5" s="56">
        <f t="shared" si="0"/>
        <v>9.7762241448128354E-4</v>
      </c>
      <c r="AB5" s="149" t="s">
        <v>105</v>
      </c>
      <c r="AC5" s="149"/>
      <c r="AM5">
        <v>6.3532895335756097E-3</v>
      </c>
      <c r="AN5">
        <v>-1.50785101937152E-2</v>
      </c>
      <c r="AO5">
        <v>-4.93511228116206E-3</v>
      </c>
      <c r="AP5" s="56">
        <f t="shared" si="1"/>
        <v>-3.1845398983468672E-2</v>
      </c>
      <c r="AR5" s="149" t="s">
        <v>105</v>
      </c>
      <c r="AS5" s="149"/>
      <c r="BC5">
        <v>6.4882009642222696E-2</v>
      </c>
      <c r="BD5">
        <v>1.20200028346211E-2</v>
      </c>
      <c r="BE5" s="56">
        <f t="shared" si="2"/>
        <v>2.3259002508794938E-2</v>
      </c>
      <c r="BG5" s="149" t="s">
        <v>105</v>
      </c>
      <c r="BH5" s="149"/>
      <c r="BR5">
        <v>-1.5654118524040299E-2</v>
      </c>
      <c r="BS5">
        <v>1.09099828824282E-2</v>
      </c>
      <c r="BT5">
        <v>5.4099751638561101E-3</v>
      </c>
      <c r="BU5">
        <v>-2.7994449585027098E-3</v>
      </c>
      <c r="BV5" s="56">
        <f t="shared" si="3"/>
        <v>1.3964804927440349E-2</v>
      </c>
      <c r="BX5" s="149" t="s">
        <v>105</v>
      </c>
      <c r="BY5" s="149"/>
      <c r="CI5">
        <v>2.4775375158765999E-2</v>
      </c>
      <c r="CJ5">
        <v>5.5000077185720598E-3</v>
      </c>
      <c r="CK5">
        <v>-1.0965910322259199E-3</v>
      </c>
      <c r="CL5" s="56">
        <f t="shared" si="4"/>
        <v>2.0780345188813262E-3</v>
      </c>
      <c r="CN5" s="149" t="s">
        <v>105</v>
      </c>
      <c r="CO5" s="149"/>
    </row>
    <row r="6" spans="1:97" x14ac:dyDescent="0.2">
      <c r="A6" s="1">
        <v>38077</v>
      </c>
      <c r="B6" s="38">
        <f>Data!B4</f>
        <v>4.3830411305911809E-3</v>
      </c>
      <c r="C6" s="38">
        <f>Data!C4</f>
        <v>-2.6674076132259028E-2</v>
      </c>
      <c r="D6" s="38">
        <f>Data!D4</f>
        <v>-3.5853150441054193E-3</v>
      </c>
      <c r="E6" s="38">
        <f>Data!E4</f>
        <v>1.122999962763771E-2</v>
      </c>
      <c r="F6" s="38">
        <f>Data!F4</f>
        <v>1.6515691841171076E-2</v>
      </c>
      <c r="G6" s="38">
        <f t="shared" si="5"/>
        <v>6.0237036608144093E-3</v>
      </c>
      <c r="H6" s="38"/>
      <c r="I6" s="38"/>
      <c r="J6" s="38"/>
      <c r="K6" s="38"/>
      <c r="M6">
        <v>5.1402841919813307E-2</v>
      </c>
      <c r="N6" s="46" t="s">
        <v>158</v>
      </c>
      <c r="O6" s="46">
        <f>_xlfn.COVARIANCE.S($B$4:$B$123,$D$4:$D$123)</f>
        <v>-3.8632080960862531E-5</v>
      </c>
      <c r="P6" s="46">
        <f>_xlfn.COVARIANCE.S($C$4:$C$123,$D$4:$D$123)</f>
        <v>1.8845083567208716E-3</v>
      </c>
      <c r="Q6" s="46">
        <f>VARP($D$4:$D$123)</f>
        <v>5.1488146432223684E-3</v>
      </c>
      <c r="R6" s="46">
        <f>_xlfn.COVARIANCE.S($D$4:$D$123,$E$4:$E$123)</f>
        <v>3.8588805059906208E-4</v>
      </c>
      <c r="S6" s="46">
        <f>_xlfn.COVARIANCE.S($D$4:$D$123,$F$4:$F$123)</f>
        <v>3.3336314783809971E-4</v>
      </c>
      <c r="W6" s="60">
        <v>7.4889867841410104E-3</v>
      </c>
      <c r="X6" s="60">
        <v>2.4958810951028799E-2</v>
      </c>
      <c r="Y6" s="60">
        <v>-8.1760495112725995E-4</v>
      </c>
      <c r="Z6" s="56">
        <f t="shared" si="0"/>
        <v>-1.4351987796944014E-3</v>
      </c>
      <c r="AB6" t="s">
        <v>106</v>
      </c>
      <c r="AC6">
        <v>0.90414418100000005</v>
      </c>
      <c r="AM6">
        <v>-1.8550190416387401E-2</v>
      </c>
      <c r="AN6">
        <v>-9.7981116101799604E-3</v>
      </c>
      <c r="AO6">
        <v>2.44058978901215E-2</v>
      </c>
      <c r="AP6" s="56">
        <f t="shared" si="1"/>
        <v>-6.0685040854708584E-3</v>
      </c>
      <c r="AR6" t="s">
        <v>106</v>
      </c>
      <c r="AS6">
        <v>0.94872254538697998</v>
      </c>
      <c r="BC6">
        <v>3.0877435445310301E-2</v>
      </c>
      <c r="BD6">
        <v>5.7999971080802105E-4</v>
      </c>
      <c r="BE6" s="56">
        <f t="shared" si="2"/>
        <v>-2.558807744266654E-2</v>
      </c>
      <c r="BG6" t="s">
        <v>106</v>
      </c>
      <c r="BH6">
        <v>0.76428934007916705</v>
      </c>
      <c r="BR6">
        <v>7.6486179477470703E-2</v>
      </c>
      <c r="BS6">
        <v>4.44002185836667E-3</v>
      </c>
      <c r="BT6">
        <v>1.1003247716878701E-4</v>
      </c>
      <c r="BU6">
        <v>1.8676230293140601E-2</v>
      </c>
      <c r="BV6" s="56">
        <f t="shared" si="3"/>
        <v>2.3175119860128039E-3</v>
      </c>
      <c r="BX6" t="s">
        <v>106</v>
      </c>
      <c r="BY6">
        <v>0.79179941340513704</v>
      </c>
      <c r="CI6">
        <v>1.7390173366180799E-2</v>
      </c>
      <c r="CJ6">
        <v>4.3299893811978903E-3</v>
      </c>
      <c r="CK6">
        <v>6.6713818330137497E-3</v>
      </c>
      <c r="CL6" s="56">
        <f t="shared" si="4"/>
        <v>1.8028866256270676E-4</v>
      </c>
      <c r="CN6" t="s">
        <v>106</v>
      </c>
      <c r="CO6">
        <v>0.98179387625544701</v>
      </c>
    </row>
    <row r="7" spans="1:97" x14ac:dyDescent="0.2">
      <c r="A7" s="1">
        <v>38107</v>
      </c>
      <c r="B7" s="38">
        <f>Data!B5</f>
        <v>-1.7804105065790443E-2</v>
      </c>
      <c r="C7" s="38">
        <f>Data!C5</f>
        <v>-4.6674279189266255E-2</v>
      </c>
      <c r="D7" s="38">
        <f>Data!D5</f>
        <v>-8.5476236266292749E-2</v>
      </c>
      <c r="E7" s="38">
        <f>Data!E5</f>
        <v>-2.839999836017304E-2</v>
      </c>
      <c r="F7" s="38">
        <f>Data!F5</f>
        <v>-4.3864054913778761E-2</v>
      </c>
      <c r="G7" s="38">
        <f t="shared" si="5"/>
        <v>-3.1556261788050835E-2</v>
      </c>
      <c r="H7" s="38"/>
      <c r="I7" s="38"/>
      <c r="J7" s="38"/>
      <c r="K7" s="38"/>
      <c r="M7">
        <v>0.2410450126659224</v>
      </c>
      <c r="N7" s="46" t="s">
        <v>3</v>
      </c>
      <c r="O7" s="46">
        <f>_xlfn.COVARIANCE.S($B$4:$B$123,$E$4:$E$123)</f>
        <v>3.4944769914511711E-6</v>
      </c>
      <c r="P7" s="46">
        <f>_xlfn.COVARIANCE.S($C$4:$C$123,$E$4:$E$123)</f>
        <v>1.7045495436719126E-4</v>
      </c>
      <c r="Q7" s="46">
        <f>_xlfn.COVARIANCE.S($D$4:$D$123,$E$4:$E$123)</f>
        <v>3.8588805059906208E-4</v>
      </c>
      <c r="R7" s="46">
        <f>VARP($E$4:$E$123)</f>
        <v>1.9495627852423255E-4</v>
      </c>
      <c r="S7" s="46">
        <f>_xlfn.COVARIANCE.S($E$4:$E$123,$F$4:$F$123)</f>
        <v>4.3873145911932566E-5</v>
      </c>
      <c r="W7" s="60">
        <v>-2.60166156536948E-2</v>
      </c>
      <c r="X7" s="60">
        <v>-5.4311022948801198E-2</v>
      </c>
      <c r="Y7" s="60">
        <v>1.9415308323291001E-2</v>
      </c>
      <c r="Z7" s="56">
        <f t="shared" si="0"/>
        <v>1.8672056899576746E-3</v>
      </c>
      <c r="AB7" t="s">
        <v>107</v>
      </c>
      <c r="AC7">
        <v>0.81747669999999995</v>
      </c>
      <c r="AM7">
        <v>-1.1625293421694501E-2</v>
      </c>
      <c r="AN7">
        <v>1.28143130781325E-2</v>
      </c>
      <c r="AO7">
        <v>-3.5285975512780197E-2</v>
      </c>
      <c r="AP7" s="56">
        <f t="shared" si="1"/>
        <v>-3.3521343624211587E-2</v>
      </c>
      <c r="AR7" t="s">
        <v>107</v>
      </c>
      <c r="AS7">
        <v>0.90007446812555003</v>
      </c>
      <c r="BC7">
        <v>-1.77365483074385E-2</v>
      </c>
      <c r="BD7">
        <v>-5.61999095638632E-3</v>
      </c>
      <c r="BE7" s="56">
        <f t="shared" si="2"/>
        <v>-6.5753667475310168E-2</v>
      </c>
      <c r="BG7" t="s">
        <v>107</v>
      </c>
      <c r="BH7">
        <v>0.58413819535864797</v>
      </c>
      <c r="BR7">
        <v>-9.3094149372728294E-2</v>
      </c>
      <c r="BS7">
        <v>-7.0900013461940902E-3</v>
      </c>
      <c r="BT7">
        <v>-2.0300025951655002E-3</v>
      </c>
      <c r="BU7">
        <v>-5.0815691786906302E-3</v>
      </c>
      <c r="BV7" s="56">
        <f t="shared" si="3"/>
        <v>-1.6236163491307389E-2</v>
      </c>
      <c r="BX7" t="s">
        <v>107</v>
      </c>
      <c r="BY7">
        <v>0.62694631106871801</v>
      </c>
      <c r="CI7">
        <v>-4.6496063288188498E-2</v>
      </c>
      <c r="CJ7">
        <v>-5.0599987510285801E-3</v>
      </c>
      <c r="CK7">
        <v>-6.6013073304038699E-3</v>
      </c>
      <c r="CL7" s="56">
        <f t="shared" si="4"/>
        <v>-1.1626184796618561E-3</v>
      </c>
      <c r="CN7" t="s">
        <v>107</v>
      </c>
      <c r="CO7">
        <v>0.96391921545269599</v>
      </c>
    </row>
    <row r="8" spans="1:97" x14ac:dyDescent="0.2">
      <c r="A8" s="1">
        <v>38138</v>
      </c>
      <c r="B8" s="38">
        <f>Data!B6</f>
        <v>-2.1877217285536377E-3</v>
      </c>
      <c r="C8" s="38">
        <f>Data!C6</f>
        <v>4.9558317113340244E-2</v>
      </c>
      <c r="D8" s="38">
        <f>Data!D6</f>
        <v>4.3707135734297298E-2</v>
      </c>
      <c r="E8" s="38">
        <f>Data!E6</f>
        <v>-6.9499961933691123E-3</v>
      </c>
      <c r="F8" s="38">
        <f>Data!F6</f>
        <v>1.5257636777510797E-2</v>
      </c>
      <c r="G8" s="38">
        <f t="shared" si="5"/>
        <v>6.5182827881648774E-3</v>
      </c>
      <c r="H8" s="38"/>
      <c r="I8" s="38"/>
      <c r="J8" s="38"/>
      <c r="K8" s="38"/>
      <c r="M8">
        <v>0.21670020370349746</v>
      </c>
      <c r="N8" s="46" t="s">
        <v>4</v>
      </c>
      <c r="O8" s="46">
        <f>_xlfn.COVARIANCE.S($B$4:$B$123,$F$4:$F$123)</f>
        <v>1.0501967419679609E-4</v>
      </c>
      <c r="P8" s="46">
        <f>_xlfn.COVARIANCE.S($C$4:$C$123,$F$4:$F$123)</f>
        <v>1.3861373969440544E-4</v>
      </c>
      <c r="Q8" s="46">
        <f>_xlfn.COVARIANCE.S($D$4:$D$123,$F$4:$F$123)</f>
        <v>3.3336314783809971E-4</v>
      </c>
      <c r="R8" s="46">
        <f>_xlfn.COVARIANCE.S($E$4:$E$123,$F$4:$F$123)</f>
        <v>4.3873145911932566E-5</v>
      </c>
      <c r="S8" s="46">
        <f>VARP($F$4:$F$123)</f>
        <v>4.2050090874737561E-4</v>
      </c>
      <c r="W8" s="60">
        <v>-4.0058706725372203E-3</v>
      </c>
      <c r="X8" s="60">
        <v>-1.48276735018624E-2</v>
      </c>
      <c r="Y8" s="60">
        <v>-1.1705638083559001E-2</v>
      </c>
      <c r="Z8" s="56">
        <f t="shared" si="0"/>
        <v>1.5438230215030716E-4</v>
      </c>
      <c r="AB8" t="s">
        <v>108</v>
      </c>
      <c r="AC8">
        <v>0.81275626899999998</v>
      </c>
      <c r="AM8">
        <v>1.8638848184841902E-2</v>
      </c>
      <c r="AN8">
        <v>8.4405039616415305E-3</v>
      </c>
      <c r="AO8">
        <v>2.19338696117744E-3</v>
      </c>
      <c r="AP8" s="56">
        <f t="shared" si="1"/>
        <v>2.4836049629913766E-2</v>
      </c>
      <c r="AR8" t="s">
        <v>108</v>
      </c>
      <c r="AS8">
        <v>0.89749018712879702</v>
      </c>
      <c r="BC8">
        <v>1.6954736383852299E-2</v>
      </c>
      <c r="BD8">
        <v>-3.1200008209378901E-3</v>
      </c>
      <c r="BE8" s="56">
        <f t="shared" si="2"/>
        <v>3.6232659680382834E-2</v>
      </c>
      <c r="BG8" t="s">
        <v>108</v>
      </c>
      <c r="BH8">
        <v>0.57702944656136002</v>
      </c>
      <c r="BR8">
        <v>2.2753716871363901E-2</v>
      </c>
      <c r="BS8">
        <v>-8.7800170451353098E-3</v>
      </c>
      <c r="BT8">
        <v>-5.3300232453854504E-3</v>
      </c>
      <c r="BU8">
        <v>-1.5632895689677399E-2</v>
      </c>
      <c r="BV8" s="56">
        <f t="shared" si="3"/>
        <v>-1.6108110695036079E-3</v>
      </c>
      <c r="BX8" t="s">
        <v>108</v>
      </c>
      <c r="BY8">
        <v>0.61397053058415196</v>
      </c>
      <c r="CI8">
        <v>1.64437363954699E-2</v>
      </c>
      <c r="CJ8">
        <v>-3.4499937997498598E-3</v>
      </c>
      <c r="CK8">
        <v>-1.5711508756096199E-2</v>
      </c>
      <c r="CL8" s="56">
        <f t="shared" si="4"/>
        <v>2.362886072740697E-3</v>
      </c>
      <c r="CN8" t="s">
        <v>108</v>
      </c>
      <c r="CO8">
        <v>0.96298609171440397</v>
      </c>
    </row>
    <row r="9" spans="1:97" x14ac:dyDescent="0.2">
      <c r="A9" s="1">
        <v>38168</v>
      </c>
      <c r="B9" s="38">
        <f>Data!B7</f>
        <v>8.8462612906230476E-3</v>
      </c>
      <c r="C9" s="38">
        <f>Data!C7</f>
        <v>2.7674750356633471E-2</v>
      </c>
      <c r="D9" s="38">
        <f>Data!D7</f>
        <v>-3.4057820299501218E-3</v>
      </c>
      <c r="E9" s="38">
        <f>Data!E7</f>
        <v>-1.1000051204472783E-3</v>
      </c>
      <c r="F9" s="38">
        <f>Data!F7</f>
        <v>-1.4189512304110252E-3</v>
      </c>
      <c r="G9" s="38">
        <f t="shared" si="5"/>
        <v>4.9460297589957441E-3</v>
      </c>
      <c r="H9" s="38"/>
      <c r="I9" s="38"/>
      <c r="J9" s="38"/>
      <c r="K9" s="38"/>
      <c r="W9" s="60">
        <v>5.6515784546573604E-3</v>
      </c>
      <c r="X9" s="60">
        <v>1.46837487610587E-2</v>
      </c>
      <c r="Y9" s="60">
        <v>8.8758342949051307E-3</v>
      </c>
      <c r="Z9" s="56">
        <f t="shared" si="0"/>
        <v>5.3356549770493681E-3</v>
      </c>
      <c r="AB9" t="s">
        <v>109</v>
      </c>
      <c r="AC9">
        <v>3.322406E-3</v>
      </c>
      <c r="AM9">
        <v>1.24957505186376E-2</v>
      </c>
      <c r="AN9">
        <v>-1.11324474738006E-2</v>
      </c>
      <c r="AO9">
        <v>2.2668462092829501E-2</v>
      </c>
      <c r="AP9" s="56">
        <f t="shared" si="1"/>
        <v>1.5000517679676324E-2</v>
      </c>
      <c r="AR9" t="s">
        <v>109</v>
      </c>
      <c r="AS9">
        <v>1.7268148957778898E-2</v>
      </c>
      <c r="BC9">
        <v>-4.1462267061582202E-2</v>
      </c>
      <c r="BD9">
        <v>1.7579991357553799E-2</v>
      </c>
      <c r="BE9" s="56">
        <f t="shared" si="2"/>
        <v>1.5406920650624031E-3</v>
      </c>
      <c r="BG9" t="s">
        <v>109</v>
      </c>
      <c r="BH9">
        <v>4.6755562907556399E-2</v>
      </c>
      <c r="BR9">
        <v>-3.2865630135254799E-3</v>
      </c>
      <c r="BS9">
        <v>3.6000125969946101E-3</v>
      </c>
      <c r="BT9">
        <v>1.9900115237942999E-3</v>
      </c>
      <c r="BU9">
        <v>-8.7949415806041192E-3</v>
      </c>
      <c r="BV9" s="56">
        <f t="shared" si="3"/>
        <v>-3.1216789904268249E-3</v>
      </c>
      <c r="BX9" t="s">
        <v>109</v>
      </c>
      <c r="BY9">
        <v>8.6184020545678301E-3</v>
      </c>
      <c r="CI9">
        <v>-2.61481521713824E-3</v>
      </c>
      <c r="CJ9">
        <v>1.61000107320031E-3</v>
      </c>
      <c r="CK9">
        <v>1.4527412749562501E-2</v>
      </c>
      <c r="CL9" s="56">
        <f t="shared" si="4"/>
        <v>-1.1380863055598912E-3</v>
      </c>
      <c r="CN9" t="s">
        <v>109</v>
      </c>
      <c r="CO9">
        <v>3.97251875126081E-3</v>
      </c>
    </row>
    <row r="10" spans="1:97" ht="16" thickBot="1" x14ac:dyDescent="0.25">
      <c r="A10" s="1">
        <v>38198</v>
      </c>
      <c r="B10" s="38">
        <f>Data!B8</f>
        <v>8.9616862738517433E-3</v>
      </c>
      <c r="C10" s="38">
        <f>Data!C8</f>
        <v>-7.5513603553581499E-2</v>
      </c>
      <c r="D10" s="38">
        <f>Data!D8</f>
        <v>1.9774084992043583E-2</v>
      </c>
      <c r="E10" s="38">
        <f>Data!E8</f>
        <v>-3.289996510301485E-3</v>
      </c>
      <c r="F10" s="38">
        <f>Data!F8</f>
        <v>1.474351928904527E-2</v>
      </c>
      <c r="G10" s="38">
        <f t="shared" si="5"/>
        <v>1.753461463717014E-3</v>
      </c>
      <c r="H10" s="38"/>
      <c r="I10" s="38"/>
      <c r="J10" s="38"/>
      <c r="K10" s="38"/>
      <c r="W10" s="60">
        <v>9.9122549949146599E-3</v>
      </c>
      <c r="X10" s="60">
        <v>2.97022538981946E-2</v>
      </c>
      <c r="Y10" s="60">
        <v>3.5641780845903099E-3</v>
      </c>
      <c r="Z10" s="56">
        <f t="shared" si="0"/>
        <v>1.7597609039363051E-3</v>
      </c>
      <c r="AB10" s="4" t="s">
        <v>110</v>
      </c>
      <c r="AC10" s="4">
        <v>120</v>
      </c>
      <c r="AM10">
        <v>-5.6532161459125103E-2</v>
      </c>
      <c r="AN10">
        <v>-4.2445488955042299E-2</v>
      </c>
      <c r="AO10">
        <v>-3.4236249490822698E-2</v>
      </c>
      <c r="AP10" s="56">
        <f t="shared" si="1"/>
        <v>1.1890648158842151E-2</v>
      </c>
      <c r="AR10" s="4" t="s">
        <v>110</v>
      </c>
      <c r="AS10" s="4">
        <v>120</v>
      </c>
      <c r="BC10">
        <v>1.7666820897624301E-2</v>
      </c>
      <c r="BD10">
        <v>-9.3100039320574996E-3</v>
      </c>
      <c r="BE10" s="56">
        <f t="shared" si="2"/>
        <v>2.0104059574972032E-2</v>
      </c>
      <c r="BG10" s="4" t="s">
        <v>110</v>
      </c>
      <c r="BH10" s="4">
        <v>120</v>
      </c>
      <c r="BR10">
        <v>-8.1166772352567803E-3</v>
      </c>
      <c r="BS10">
        <v>-5.6499985801872201E-3</v>
      </c>
      <c r="BT10">
        <v>-1.21699851169794E-2</v>
      </c>
      <c r="BU10">
        <v>1.4276937793218199E-2</v>
      </c>
      <c r="BV10" s="56">
        <f t="shared" si="3"/>
        <v>7.8525829094547427E-3</v>
      </c>
      <c r="BX10" s="4" t="s">
        <v>110</v>
      </c>
      <c r="BY10" s="4">
        <v>120</v>
      </c>
      <c r="CI10">
        <v>1.6134553149116201E-2</v>
      </c>
      <c r="CJ10">
        <v>6.5199865367922003E-3</v>
      </c>
      <c r="CK10">
        <v>1.3476433079504999E-2</v>
      </c>
      <c r="CL10" s="56">
        <f t="shared" si="4"/>
        <v>-1.2560503694525119E-3</v>
      </c>
      <c r="CN10" s="4" t="s">
        <v>110</v>
      </c>
      <c r="CO10" s="4">
        <v>120</v>
      </c>
    </row>
    <row r="11" spans="1:97" x14ac:dyDescent="0.2">
      <c r="A11" s="1">
        <v>38230</v>
      </c>
      <c r="B11" s="38">
        <f>Data!B9</f>
        <v>1.5418905207830846E-2</v>
      </c>
      <c r="C11" s="38">
        <f>Data!C9</f>
        <v>-5.330330330330324E-2</v>
      </c>
      <c r="D11" s="38">
        <f>Data!D9</f>
        <v>-2.4231920390882955E-2</v>
      </c>
      <c r="E11" s="38">
        <f>Data!E9</f>
        <v>-2.3300046663617957E-3</v>
      </c>
      <c r="F11" s="38">
        <f>Data!F9</f>
        <v>2.357337376988311E-2</v>
      </c>
      <c r="G11" s="38">
        <f t="shared" si="5"/>
        <v>5.9365723735338213E-3</v>
      </c>
      <c r="H11" s="38"/>
      <c r="I11" s="38"/>
      <c r="J11" s="38"/>
      <c r="K11" s="38"/>
      <c r="W11" s="60">
        <v>1.9075174108971599E-2</v>
      </c>
      <c r="X11" s="60">
        <v>4.1283114327875799E-2</v>
      </c>
      <c r="Y11" s="60">
        <v>-9.0321684533356495E-4</v>
      </c>
      <c r="Z11" s="56">
        <f t="shared" si="0"/>
        <v>1.8498791178675929E-3</v>
      </c>
      <c r="AM11">
        <v>-4.9383484064629002E-3</v>
      </c>
      <c r="AN11">
        <v>-1.91597287817948E-2</v>
      </c>
      <c r="AO11">
        <v>-9.1842866424752794E-3</v>
      </c>
      <c r="AP11" s="56">
        <f t="shared" si="1"/>
        <v>-3.7602797753924125E-2</v>
      </c>
      <c r="BC11">
        <v>-1.8225954391624801E-2</v>
      </c>
      <c r="BD11">
        <v>4.9100023455581603E-3</v>
      </c>
      <c r="BE11" s="56">
        <f t="shared" si="2"/>
        <v>-1.8282001954467265E-2</v>
      </c>
      <c r="BR11">
        <v>4.8075693645313902E-2</v>
      </c>
      <c r="BS11">
        <v>-9.0006462964087306E-5</v>
      </c>
      <c r="BT11">
        <v>-8.3400215477897905E-3</v>
      </c>
      <c r="BU11">
        <v>-7.71494203265621E-3</v>
      </c>
      <c r="BV11" s="56">
        <f t="shared" si="3"/>
        <v>1.7959180071508603E-5</v>
      </c>
      <c r="CI11">
        <v>2.5976511659955102E-2</v>
      </c>
      <c r="CJ11">
        <v>8.2500150848256997E-3</v>
      </c>
      <c r="CK11">
        <v>1.81719572636381E-2</v>
      </c>
      <c r="CL11" s="56">
        <f t="shared" si="4"/>
        <v>-1.9049614305296191E-3</v>
      </c>
    </row>
    <row r="12" spans="1:97" ht="16" thickBot="1" x14ac:dyDescent="0.25">
      <c r="A12" s="1">
        <v>38260</v>
      </c>
      <c r="B12" s="38">
        <f>Data!B10</f>
        <v>1.5233914296945983E-3</v>
      </c>
      <c r="C12" s="38">
        <f>Data!C10</f>
        <v>2.9183187946074662E-2</v>
      </c>
      <c r="D12" s="38">
        <f>Data!D10</f>
        <v>0.12160576765525155</v>
      </c>
      <c r="E12" s="38">
        <f>Data!E10</f>
        <v>8.3500020813711551E-3</v>
      </c>
      <c r="F12" s="38">
        <f>Data!F10</f>
        <v>2.2524054632169221E-3</v>
      </c>
      <c r="G12" s="38">
        <f t="shared" si="5"/>
        <v>1.1484915708717101E-2</v>
      </c>
      <c r="H12" s="38"/>
      <c r="I12" s="38"/>
      <c r="J12" s="38"/>
      <c r="K12" s="38"/>
      <c r="N12" s="51" t="s">
        <v>168</v>
      </c>
      <c r="O12" s="52" cm="1">
        <f t="array" ref="O12">MMULT(MMULT(B2:F2,O4:S8),_xlfn.ANCHORARRAY(M4))</f>
        <v>1.2997730674842804E-4</v>
      </c>
      <c r="W12" s="60">
        <v>2.7134996608124701E-3</v>
      </c>
      <c r="X12" s="60">
        <v>1.6634612140230098E-2</v>
      </c>
      <c r="Y12" s="60">
        <v>1.1218053190450199E-2</v>
      </c>
      <c r="Z12" s="56">
        <f t="shared" si="0"/>
        <v>-1.7900504953839843E-4</v>
      </c>
      <c r="AB12" t="s">
        <v>111</v>
      </c>
      <c r="AM12">
        <v>9.5108982621412395E-3</v>
      </c>
      <c r="AN12">
        <v>-5.9905211856052798E-3</v>
      </c>
      <c r="AO12">
        <v>3.6114968230201598E-2</v>
      </c>
      <c r="AP12" s="56">
        <f t="shared" si="1"/>
        <v>1.512872365483298E-2</v>
      </c>
      <c r="AR12" t="s">
        <v>111</v>
      </c>
      <c r="BC12">
        <v>6.84664513582951E-2</v>
      </c>
      <c r="BD12">
        <v>1.36499987987653E-2</v>
      </c>
      <c r="BE12" s="56">
        <f t="shared" si="2"/>
        <v>5.625132302366459E-2</v>
      </c>
      <c r="BG12" t="s">
        <v>111</v>
      </c>
      <c r="BR12">
        <v>2.0495303159692599E-2</v>
      </c>
      <c r="BS12">
        <v>8.2399999444353594E-3</v>
      </c>
      <c r="BT12">
        <v>4.68001390959971E-3</v>
      </c>
      <c r="BU12">
        <v>9.0394150116599493E-3</v>
      </c>
      <c r="BV12" s="56">
        <f t="shared" si="3"/>
        <v>9.2650210721384463E-5</v>
      </c>
      <c r="BX12" t="s">
        <v>111</v>
      </c>
      <c r="CI12">
        <v>1.5744976158673699E-3</v>
      </c>
      <c r="CJ12">
        <v>3.5599860348356502E-3</v>
      </c>
      <c r="CK12">
        <v>1.3931552851262701E-2</v>
      </c>
      <c r="CL12" s="56">
        <f t="shared" si="4"/>
        <v>-9.4264624434450307E-4</v>
      </c>
      <c r="CN12" t="s">
        <v>111</v>
      </c>
    </row>
    <row r="13" spans="1:97" x14ac:dyDescent="0.2">
      <c r="A13" s="1">
        <v>38289</v>
      </c>
      <c r="B13" s="38">
        <f>Data!B11</f>
        <v>8.0551512078639309E-3</v>
      </c>
      <c r="C13" s="38">
        <f>Data!C11</f>
        <v>5.2396363075974728E-2</v>
      </c>
      <c r="D13" s="38">
        <f>Data!D11</f>
        <v>-4.2067679937357161E-2</v>
      </c>
      <c r="E13" s="38">
        <f>Data!E11</f>
        <v>8.3800005220826534E-3</v>
      </c>
      <c r="F13" s="38">
        <f>Data!F11</f>
        <v>1.4042126379137265E-2</v>
      </c>
      <c r="G13" s="38">
        <f t="shared" si="5"/>
        <v>1.0037238758391031E-2</v>
      </c>
      <c r="H13" s="38"/>
      <c r="I13" s="38"/>
      <c r="J13" s="38"/>
      <c r="K13" s="38"/>
      <c r="N13" s="51" t="s">
        <v>169</v>
      </c>
      <c r="O13" s="53">
        <f>SQRT(O12)</f>
        <v>1.1400759042643961E-2</v>
      </c>
      <c r="W13" s="60">
        <v>8.3857442348007592E-3</v>
      </c>
      <c r="X13" s="60">
        <v>1.6096913375373199E-2</v>
      </c>
      <c r="Y13" s="60">
        <v>1.08944614207263E-2</v>
      </c>
      <c r="Z13" s="56">
        <f t="shared" si="0"/>
        <v>2.9856194449891758E-3</v>
      </c>
      <c r="AB13" s="61"/>
      <c r="AC13" s="61" t="s">
        <v>112</v>
      </c>
      <c r="AD13" s="61" t="s">
        <v>113</v>
      </c>
      <c r="AE13" s="61" t="s">
        <v>114</v>
      </c>
      <c r="AF13" s="61" t="s">
        <v>115</v>
      </c>
      <c r="AG13" s="61" t="s">
        <v>116</v>
      </c>
      <c r="AM13">
        <v>1.55963369293051E-2</v>
      </c>
      <c r="AN13">
        <v>-1.02746078586913E-3</v>
      </c>
      <c r="AO13">
        <v>4.40672037474776E-3</v>
      </c>
      <c r="AP13" s="56">
        <f t="shared" si="1"/>
        <v>3.4919734616357632E-2</v>
      </c>
      <c r="AR13" s="61"/>
      <c r="AS13" s="61" t="s">
        <v>112</v>
      </c>
      <c r="AT13" s="61" t="s">
        <v>113</v>
      </c>
      <c r="AU13" s="61" t="s">
        <v>114</v>
      </c>
      <c r="AV13" s="61" t="s">
        <v>115</v>
      </c>
      <c r="AW13" s="61" t="s">
        <v>116</v>
      </c>
      <c r="BC13">
        <v>1.6922450702526699E-2</v>
      </c>
      <c r="BD13">
        <v>1.4890002029396301E-2</v>
      </c>
      <c r="BE13" s="56">
        <f t="shared" si="2"/>
        <v>-7.3651458413466736E-2</v>
      </c>
      <c r="BG13" s="61"/>
      <c r="BH13" s="61" t="s">
        <v>112</v>
      </c>
      <c r="BI13" s="61" t="s">
        <v>113</v>
      </c>
      <c r="BJ13" s="61" t="s">
        <v>114</v>
      </c>
      <c r="BK13" s="61" t="s">
        <v>115</v>
      </c>
      <c r="BL13" s="61" t="s">
        <v>116</v>
      </c>
      <c r="BR13">
        <v>2.4626419605499099E-2</v>
      </c>
      <c r="BS13">
        <v>7.7799953911141797E-3</v>
      </c>
      <c r="BT13">
        <v>4.6699963296139603E-3</v>
      </c>
      <c r="BU13">
        <v>-1.0527279307751601E-2</v>
      </c>
      <c r="BV13" s="56">
        <f t="shared" si="3"/>
        <v>6.2290963124972658E-4</v>
      </c>
      <c r="BX13" s="61"/>
      <c r="BY13" s="61" t="s">
        <v>112</v>
      </c>
      <c r="BZ13" s="61" t="s">
        <v>113</v>
      </c>
      <c r="CA13" s="61" t="s">
        <v>114</v>
      </c>
      <c r="CB13" s="61" t="s">
        <v>115</v>
      </c>
      <c r="CC13" s="61" t="s">
        <v>116</v>
      </c>
      <c r="CI13">
        <v>1.42003546363485E-2</v>
      </c>
      <c r="CJ13">
        <v>3.1099990615002199E-3</v>
      </c>
      <c r="CK13">
        <v>1.9280205655526999E-2</v>
      </c>
      <c r="CL13" s="56">
        <f t="shared" si="4"/>
        <v>-1.5339826556548877E-3</v>
      </c>
      <c r="CN13" s="61"/>
      <c r="CO13" s="61" t="s">
        <v>112</v>
      </c>
      <c r="CP13" s="61" t="s">
        <v>113</v>
      </c>
      <c r="CQ13" s="61" t="s">
        <v>114</v>
      </c>
      <c r="CR13" s="61" t="s">
        <v>115</v>
      </c>
      <c r="CS13" s="61" t="s">
        <v>116</v>
      </c>
    </row>
    <row r="14" spans="1:97" x14ac:dyDescent="0.2">
      <c r="A14" s="1">
        <v>38321</v>
      </c>
      <c r="B14" s="38">
        <f>Data!B12</f>
        <v>-2.4905286897548562E-3</v>
      </c>
      <c r="C14" s="38">
        <f>Data!C12</f>
        <v>4.8616195636256965E-2</v>
      </c>
      <c r="D14" s="38">
        <f>Data!D12</f>
        <v>5.0911974623314871E-2</v>
      </c>
      <c r="E14" s="38">
        <f>Data!E12</f>
        <v>2.8050001880210784E-2</v>
      </c>
      <c r="F14" s="38">
        <f>Data!F12</f>
        <v>-4.573748912340081E-3</v>
      </c>
      <c r="G14" s="38">
        <f t="shared" si="5"/>
        <v>1.0833217551499847E-2</v>
      </c>
      <c r="H14" s="38"/>
      <c r="I14" s="38"/>
      <c r="J14" s="38"/>
      <c r="K14" s="38"/>
      <c r="W14" s="60">
        <v>-7.9764103668484906E-3</v>
      </c>
      <c r="X14" s="60">
        <v>6.9900375632860898E-3</v>
      </c>
      <c r="Y14" s="60">
        <v>1.838045056511E-2</v>
      </c>
      <c r="Z14" s="56">
        <f t="shared" si="0"/>
        <v>3.1687345153162041E-3</v>
      </c>
      <c r="AB14" t="s">
        <v>117</v>
      </c>
      <c r="AC14">
        <v>3</v>
      </c>
      <c r="AD14">
        <v>5.7348299999999998E-3</v>
      </c>
      <c r="AE14">
        <v>1.91161E-3</v>
      </c>
      <c r="AF14">
        <v>173.17843250000001</v>
      </c>
      <c r="AG14">
        <v>1.12326E-42</v>
      </c>
      <c r="AM14">
        <v>3.4398423802710597E-2</v>
      </c>
      <c r="AN14">
        <v>-1.6159537314374101E-2</v>
      </c>
      <c r="AO14">
        <v>4.6276912821102703E-2</v>
      </c>
      <c r="AP14" s="56">
        <f t="shared" si="1"/>
        <v>9.9851937895448148E-3</v>
      </c>
      <c r="AR14" t="s">
        <v>117</v>
      </c>
      <c r="AS14">
        <v>3</v>
      </c>
      <c r="AT14">
        <v>0.31156705965333398</v>
      </c>
      <c r="AU14">
        <v>0.10385568655111101</v>
      </c>
      <c r="AV14">
        <v>348.28815800465799</v>
      </c>
      <c r="AW14">
        <v>7.8658089113677994E-58</v>
      </c>
      <c r="BC14">
        <v>-1.19784447294101E-2</v>
      </c>
      <c r="BD14">
        <v>4.0329999084645102E-2</v>
      </c>
      <c r="BE14" s="56">
        <f t="shared" si="2"/>
        <v>5.1082150496763457E-3</v>
      </c>
      <c r="BG14" t="s">
        <v>117</v>
      </c>
      <c r="BH14">
        <v>2</v>
      </c>
      <c r="BI14">
        <v>0.35926839390960402</v>
      </c>
      <c r="BJ14">
        <v>0.17963419695480201</v>
      </c>
      <c r="BK14">
        <v>82.171731202752895</v>
      </c>
      <c r="BL14">
        <v>5.1111482872662798E-23</v>
      </c>
      <c r="BR14">
        <v>5.2269280130673203E-2</v>
      </c>
      <c r="BS14">
        <v>2.6389990525552499E-2</v>
      </c>
      <c r="BT14">
        <v>1.5719983907416E-2</v>
      </c>
      <c r="BU14">
        <v>-6.7615630409612101E-3</v>
      </c>
      <c r="BV14" s="56">
        <f t="shared" si="3"/>
        <v>3.5343686820540239E-3</v>
      </c>
      <c r="BX14" t="s">
        <v>117</v>
      </c>
      <c r="BY14">
        <v>4</v>
      </c>
      <c r="BZ14">
        <v>1.43552365585376E-2</v>
      </c>
      <c r="CA14">
        <v>3.58880913963441E-3</v>
      </c>
      <c r="CB14">
        <v>48.316655157230997</v>
      </c>
      <c r="CC14">
        <v>8.8233460889631707E-24</v>
      </c>
      <c r="CI14">
        <v>-7.0595322049834498E-3</v>
      </c>
      <c r="CJ14">
        <v>1.0670006618136401E-2</v>
      </c>
      <c r="CK14">
        <v>1.0404040198261501E-2</v>
      </c>
      <c r="CL14" s="56">
        <f t="shared" si="4"/>
        <v>1.5124677527817987E-3</v>
      </c>
      <c r="CN14" t="s">
        <v>117</v>
      </c>
      <c r="CO14">
        <v>3</v>
      </c>
      <c r="CP14">
        <v>4.8905146756066303E-2</v>
      </c>
      <c r="CQ14">
        <v>1.6301715585355401E-2</v>
      </c>
      <c r="CR14">
        <v>1033.00256535827</v>
      </c>
      <c r="CS14">
        <v>1.7828933945598999E-83</v>
      </c>
    </row>
    <row r="15" spans="1:97" x14ac:dyDescent="0.2">
      <c r="A15" s="1">
        <v>38352</v>
      </c>
      <c r="B15" s="38">
        <f>Data!B13</f>
        <v>7.0429407937542265E-3</v>
      </c>
      <c r="C15" s="38">
        <f>Data!C13</f>
        <v>2.8487641390867235E-2</v>
      </c>
      <c r="D15" s="38">
        <f>Data!D13</f>
        <v>5.0918293900485301E-2</v>
      </c>
      <c r="E15" s="38">
        <f>Data!E13</f>
        <v>6.0599974547017599E-3</v>
      </c>
      <c r="F15" s="38">
        <f>Data!F13</f>
        <v>1.2207877592492977E-2</v>
      </c>
      <c r="G15" s="38">
        <f t="shared" si="5"/>
        <v>1.1719892343692299E-2</v>
      </c>
      <c r="H15" s="38"/>
      <c r="I15" s="38"/>
      <c r="J15" s="38"/>
      <c r="K15" s="38"/>
      <c r="W15" s="60">
        <v>9.2011221695278405E-3</v>
      </c>
      <c r="X15" s="60">
        <v>2.50413571637094E-2</v>
      </c>
      <c r="Y15" s="60">
        <v>5.8803135508929101E-3</v>
      </c>
      <c r="Z15" s="56">
        <f t="shared" si="0"/>
        <v>6.6980766944515959E-4</v>
      </c>
      <c r="AB15" t="s">
        <v>118</v>
      </c>
      <c r="AC15">
        <v>116</v>
      </c>
      <c r="AD15">
        <v>1.2804520000000001E-3</v>
      </c>
      <c r="AE15">
        <v>1.1038399999999999E-5</v>
      </c>
      <c r="AM15">
        <v>3.9208485422053803E-2</v>
      </c>
      <c r="AN15">
        <v>5.7219740771994303E-3</v>
      </c>
      <c r="AO15">
        <v>-4.4289796701506602E-3</v>
      </c>
      <c r="AP15" s="56">
        <f t="shared" si="1"/>
        <v>-1.6501925193357393E-2</v>
      </c>
      <c r="AR15" t="s">
        <v>118</v>
      </c>
      <c r="AS15">
        <v>116</v>
      </c>
      <c r="AT15">
        <v>3.4589920337652701E-2</v>
      </c>
      <c r="AU15">
        <v>2.98188968428041E-4</v>
      </c>
      <c r="BC15">
        <v>-4.9106104596640603E-2</v>
      </c>
      <c r="BD15">
        <v>2.7990000567262901E-2</v>
      </c>
      <c r="BE15" s="56">
        <f t="shared" si="2"/>
        <v>4.7170949876623909E-2</v>
      </c>
      <c r="BG15" t="s">
        <v>118</v>
      </c>
      <c r="BH15">
        <v>117</v>
      </c>
      <c r="BI15">
        <v>0.25577167154788799</v>
      </c>
      <c r="BJ15">
        <v>2.1860826628024598E-3</v>
      </c>
      <c r="BR15">
        <v>-2.7719259341390402E-2</v>
      </c>
      <c r="BS15">
        <v>1.5049999769568599E-2</v>
      </c>
      <c r="BT15">
        <v>7.58999357697898E-3</v>
      </c>
      <c r="BU15">
        <v>-1.6418659500056401E-2</v>
      </c>
      <c r="BV15" s="56">
        <f t="shared" si="3"/>
        <v>-1.3493013508431937E-3</v>
      </c>
      <c r="BX15" t="s">
        <v>118</v>
      </c>
      <c r="BY15">
        <v>115</v>
      </c>
      <c r="BZ15">
        <v>8.5418382070305797E-3</v>
      </c>
      <c r="CA15">
        <v>7.4276853974179001E-5</v>
      </c>
      <c r="CI15">
        <v>1.37681534694119E-2</v>
      </c>
      <c r="CJ15">
        <v>7.4600061925895701E-3</v>
      </c>
      <c r="CK15">
        <v>1.50814357204208E-2</v>
      </c>
      <c r="CL15" s="56">
        <f t="shared" si="4"/>
        <v>-1.7779500879942615E-3</v>
      </c>
      <c r="CN15" t="s">
        <v>118</v>
      </c>
      <c r="CO15">
        <v>116</v>
      </c>
      <c r="CP15">
        <v>1.83058500657777E-3</v>
      </c>
      <c r="CQ15">
        <v>1.5780905229118699E-5</v>
      </c>
    </row>
    <row r="16" spans="1:97" ht="16" thickBot="1" x14ac:dyDescent="0.25">
      <c r="A16" s="1">
        <v>38383</v>
      </c>
      <c r="B16" s="38">
        <f>Data!B14</f>
        <v>5.3219840744269664E-3</v>
      </c>
      <c r="C16" s="38">
        <f>Data!C14</f>
        <v>-5.2410047522063796E-2</v>
      </c>
      <c r="D16" s="38">
        <f>Data!D14</f>
        <v>-2.6241659670363737E-2</v>
      </c>
      <c r="E16" s="38">
        <f>Data!E14</f>
        <v>-5.7600019640531297E-3</v>
      </c>
      <c r="F16" s="38">
        <f>Data!F14</f>
        <v>2.3324131618960298E-3</v>
      </c>
      <c r="G16" s="38">
        <f t="shared" si="5"/>
        <v>-3.7636443994686275E-3</v>
      </c>
      <c r="H16" s="38"/>
      <c r="I16" s="38"/>
      <c r="J16" s="38"/>
      <c r="K16" s="38"/>
      <c r="W16" s="60">
        <v>6.2794738148424E-3</v>
      </c>
      <c r="X16" s="60">
        <v>6.2656245055536797E-3</v>
      </c>
      <c r="Y16" s="60">
        <v>-7.2984348321349897E-3</v>
      </c>
      <c r="Z16" s="56">
        <f t="shared" si="0"/>
        <v>7.5039420576040756E-4</v>
      </c>
      <c r="AB16" s="4" t="s">
        <v>119</v>
      </c>
      <c r="AC16" s="4">
        <v>119</v>
      </c>
      <c r="AD16" s="4">
        <v>7.0152820000000003E-3</v>
      </c>
      <c r="AE16" s="4"/>
      <c r="AF16" s="4"/>
      <c r="AG16" s="4"/>
      <c r="AM16">
        <v>-3.3348502855081098E-2</v>
      </c>
      <c r="AN16">
        <v>-1.5597855042587899E-2</v>
      </c>
      <c r="AO16">
        <v>-1.73483823651784E-2</v>
      </c>
      <c r="AP16" s="56">
        <f t="shared" si="1"/>
        <v>-5.6146781058801568E-3</v>
      </c>
      <c r="AR16" s="4" t="s">
        <v>119</v>
      </c>
      <c r="AS16" s="4">
        <v>119</v>
      </c>
      <c r="AT16" s="4">
        <v>0.34615697999098699</v>
      </c>
      <c r="AU16" s="4"/>
      <c r="AV16" s="4"/>
      <c r="AW16" s="4"/>
      <c r="BC16">
        <v>1.0434130850706999E-2</v>
      </c>
      <c r="BD16">
        <v>-1.4799960669028599E-3</v>
      </c>
      <c r="BE16" s="56">
        <f t="shared" si="2"/>
        <v>-3.1431203802694263E-2</v>
      </c>
      <c r="BG16" s="4" t="s">
        <v>119</v>
      </c>
      <c r="BH16" s="4">
        <v>119</v>
      </c>
      <c r="BI16" s="4">
        <v>0.61504006545749201</v>
      </c>
      <c r="BJ16" s="4"/>
      <c r="BK16" s="4"/>
      <c r="BL16" s="4"/>
      <c r="BR16">
        <v>-3.6150074124757597E-2</v>
      </c>
      <c r="BS16">
        <v>1.70011860413766E-4</v>
      </c>
      <c r="BT16">
        <v>-2.8399794031672698E-3</v>
      </c>
      <c r="BU16">
        <v>1.85550084221352E-2</v>
      </c>
      <c r="BV16" s="56">
        <f t="shared" si="3"/>
        <v>-1.1586446001470678E-3</v>
      </c>
      <c r="BX16" s="4" t="s">
        <v>119</v>
      </c>
      <c r="BY16" s="4">
        <v>119</v>
      </c>
      <c r="BZ16" s="4">
        <v>2.2897074765568199E-2</v>
      </c>
      <c r="CA16" s="4"/>
      <c r="CB16" s="4"/>
      <c r="CC16" s="4"/>
      <c r="CI16">
        <v>5.4076539101497499E-3</v>
      </c>
      <c r="CJ16">
        <v>3.0099912635810399E-3</v>
      </c>
      <c r="CK16">
        <v>-1.0189610172925999E-3</v>
      </c>
      <c r="CL16" s="56">
        <f t="shared" si="4"/>
        <v>-2.0543976051709944E-3</v>
      </c>
      <c r="CN16" s="4" t="s">
        <v>119</v>
      </c>
      <c r="CO16" s="4">
        <v>119</v>
      </c>
      <c r="CP16" s="4">
        <v>5.07357317626441E-2</v>
      </c>
      <c r="CQ16" s="4"/>
      <c r="CR16" s="4"/>
      <c r="CS16" s="4"/>
    </row>
    <row r="17" spans="1:100" ht="16" thickBot="1" x14ac:dyDescent="0.25">
      <c r="A17" s="1">
        <v>38411</v>
      </c>
      <c r="B17" s="38">
        <f>Data!B15</f>
        <v>-4.6350965979836678E-3</v>
      </c>
      <c r="C17" s="38">
        <f>Data!C15</f>
        <v>4.298610116060253E-4</v>
      </c>
      <c r="D17" s="38">
        <f>Data!D15</f>
        <v>5.9643669489554574E-2</v>
      </c>
      <c r="E17" s="38">
        <f>Data!E15</f>
        <v>1.8060007063214423E-2</v>
      </c>
      <c r="F17" s="38">
        <f>Data!F15</f>
        <v>-5.8469196895389874E-3</v>
      </c>
      <c r="G17" s="38">
        <f t="shared" si="5"/>
        <v>4.2405221792715048E-3</v>
      </c>
      <c r="H17" s="38"/>
      <c r="I17" s="38"/>
      <c r="J17" s="38"/>
      <c r="K17" s="38"/>
      <c r="N17" s="13" t="s">
        <v>170</v>
      </c>
      <c r="W17" s="60">
        <v>-5.9031974282449697E-3</v>
      </c>
      <c r="X17" s="60">
        <v>6.6668763168653599E-3</v>
      </c>
      <c r="Y17" s="60">
        <v>2.01871790483555E-2</v>
      </c>
      <c r="Z17" s="56">
        <f t="shared" si="0"/>
        <v>-6.5535001734420145E-5</v>
      </c>
      <c r="AM17">
        <v>1.06425047805494E-2</v>
      </c>
      <c r="AN17">
        <v>-2.2499515418030299E-2</v>
      </c>
      <c r="AO17">
        <v>-4.1057787242657602E-3</v>
      </c>
      <c r="AP17" s="56">
        <f t="shared" si="1"/>
        <v>-4.0070415972064198E-4</v>
      </c>
      <c r="BC17">
        <v>7.0644959787616202E-2</v>
      </c>
      <c r="BD17">
        <v>1.38499941464674E-2</v>
      </c>
      <c r="BE17" s="56">
        <f t="shared" si="2"/>
        <v>-7.4762879373868746E-3</v>
      </c>
      <c r="BR17">
        <v>3.08802650260291E-2</v>
      </c>
      <c r="BS17">
        <v>1.41900086230009E-2</v>
      </c>
      <c r="BT17">
        <v>6.3600110545871703E-3</v>
      </c>
      <c r="BU17">
        <v>2.3578104194732499E-4</v>
      </c>
      <c r="BV17" s="56">
        <f t="shared" si="3"/>
        <v>6.0683448205841959E-3</v>
      </c>
      <c r="CI17">
        <v>-7.1714246310853299E-3</v>
      </c>
      <c r="CJ17">
        <v>7.8299975684137397E-3</v>
      </c>
      <c r="CK17">
        <v>1.4283981620110599E-2</v>
      </c>
      <c r="CL17" s="56">
        <f t="shared" si="4"/>
        <v>-6.2047062835183207E-4</v>
      </c>
    </row>
    <row r="18" spans="1:100" x14ac:dyDescent="0.2">
      <c r="A18" s="1">
        <v>38442</v>
      </c>
      <c r="B18" s="38">
        <f>Data!B16</f>
        <v>-1.8562159021209279E-3</v>
      </c>
      <c r="C18" s="38">
        <f>Data!C16</f>
        <v>-2.2916069894013069E-2</v>
      </c>
      <c r="D18" s="38">
        <f>Data!D16</f>
        <v>1.204954713829931E-2</v>
      </c>
      <c r="E18" s="38">
        <f>Data!E16</f>
        <v>-6.0100030506643476E-3</v>
      </c>
      <c r="F18" s="38">
        <f>Data!F16</f>
        <v>-2.8739889188467149E-3</v>
      </c>
      <c r="G18" s="38">
        <f t="shared" si="5"/>
        <v>-3.8749211848323277E-3</v>
      </c>
      <c r="H18" s="38"/>
      <c r="I18" s="38"/>
      <c r="J18" s="38"/>
      <c r="K18" s="38"/>
      <c r="N18" s="46"/>
      <c r="O18" s="45" t="s">
        <v>0</v>
      </c>
      <c r="P18" s="45" t="s">
        <v>1</v>
      </c>
      <c r="Q18" s="45" t="s">
        <v>158</v>
      </c>
      <c r="R18" s="45" t="s">
        <v>3</v>
      </c>
      <c r="S18" s="45" t="s">
        <v>4</v>
      </c>
      <c r="W18" s="60">
        <v>-5.1360091306828001E-3</v>
      </c>
      <c r="X18" s="60">
        <v>-2.5459998125644399E-2</v>
      </c>
      <c r="Y18" s="60">
        <v>-2.2176904370909901E-2</v>
      </c>
      <c r="Z18" s="56">
        <f t="shared" si="0"/>
        <v>9.8432798599216911E-4</v>
      </c>
      <c r="AB18" s="61"/>
      <c r="AC18" s="61" t="s">
        <v>120</v>
      </c>
      <c r="AD18" s="61" t="s">
        <v>109</v>
      </c>
      <c r="AE18" s="61" t="s">
        <v>121</v>
      </c>
      <c r="AF18" s="61" t="s">
        <v>122</v>
      </c>
      <c r="AG18" s="61" t="s">
        <v>123</v>
      </c>
      <c r="AH18" s="61" t="s">
        <v>124</v>
      </c>
      <c r="AI18" s="61" t="s">
        <v>125</v>
      </c>
      <c r="AJ18" s="61" t="s">
        <v>126</v>
      </c>
      <c r="AM18">
        <v>-1.8219344079550202E-2</v>
      </c>
      <c r="AN18">
        <v>-4.4976356246436699E-3</v>
      </c>
      <c r="AO18">
        <v>-1.0918705421757E-2</v>
      </c>
      <c r="AP18" s="56">
        <f t="shared" si="1"/>
        <v>1.0812291990465878E-3</v>
      </c>
      <c r="AR18" s="61"/>
      <c r="AS18" s="61" t="s">
        <v>120</v>
      </c>
      <c r="AT18" s="61" t="s">
        <v>109</v>
      </c>
      <c r="AU18" s="61" t="s">
        <v>121</v>
      </c>
      <c r="AV18" s="61" t="s">
        <v>122</v>
      </c>
      <c r="AW18" s="61" t="s">
        <v>123</v>
      </c>
      <c r="AX18" s="61" t="s">
        <v>124</v>
      </c>
      <c r="AY18" s="61" t="s">
        <v>125</v>
      </c>
      <c r="AZ18" s="61" t="s">
        <v>126</v>
      </c>
      <c r="BC18">
        <v>3.5651904388571701E-2</v>
      </c>
      <c r="BD18">
        <v>-1.9799979756719402E-3</v>
      </c>
      <c r="BE18" s="56">
        <f t="shared" si="2"/>
        <v>-9.8051329443729004E-3</v>
      </c>
      <c r="BG18" s="61"/>
      <c r="BH18" s="61" t="s">
        <v>120</v>
      </c>
      <c r="BI18" s="61" t="s">
        <v>109</v>
      </c>
      <c r="BJ18" s="61" t="s">
        <v>121</v>
      </c>
      <c r="BK18" s="61" t="s">
        <v>122</v>
      </c>
      <c r="BL18" s="61" t="s">
        <v>123</v>
      </c>
      <c r="BM18" s="61" t="s">
        <v>124</v>
      </c>
      <c r="BN18" s="61" t="s">
        <v>125</v>
      </c>
      <c r="BO18" s="61" t="s">
        <v>126</v>
      </c>
      <c r="BR18">
        <v>-1.675657064157E-2</v>
      </c>
      <c r="BS18">
        <v>-5.1600136702056902E-3</v>
      </c>
      <c r="BT18">
        <v>-1.66002098953921E-3</v>
      </c>
      <c r="BU18">
        <v>7.1780439117846697E-3</v>
      </c>
      <c r="BV18" s="56">
        <f t="shared" si="3"/>
        <v>-1.9176967011442459E-3</v>
      </c>
      <c r="BX18" s="61"/>
      <c r="BY18" s="61" t="s">
        <v>120</v>
      </c>
      <c r="BZ18" s="61" t="s">
        <v>109</v>
      </c>
      <c r="CA18" s="61" t="s">
        <v>121</v>
      </c>
      <c r="CB18" s="61" t="s">
        <v>122</v>
      </c>
      <c r="CC18" s="61" t="s">
        <v>123</v>
      </c>
      <c r="CD18" s="61" t="s">
        <v>124</v>
      </c>
      <c r="CE18" s="61" t="s">
        <v>125</v>
      </c>
      <c r="CF18" s="61" t="s">
        <v>126</v>
      </c>
      <c r="CI18">
        <v>-4.4377508572096599E-3</v>
      </c>
      <c r="CJ18">
        <v>-3.4999926806664802E-3</v>
      </c>
      <c r="CK18">
        <v>-2.7312913501592699E-2</v>
      </c>
      <c r="CL18" s="56">
        <f t="shared" si="4"/>
        <v>5.0455755227638219E-3</v>
      </c>
      <c r="CN18" s="61"/>
      <c r="CO18" s="61" t="s">
        <v>120</v>
      </c>
      <c r="CP18" s="61" t="s">
        <v>109</v>
      </c>
      <c r="CQ18" s="61" t="s">
        <v>121</v>
      </c>
      <c r="CR18" s="61" t="s">
        <v>122</v>
      </c>
      <c r="CS18" s="61" t="s">
        <v>123</v>
      </c>
      <c r="CT18" s="61" t="s">
        <v>124</v>
      </c>
      <c r="CU18" s="61" t="s">
        <v>125</v>
      </c>
      <c r="CV18" s="61" t="s">
        <v>126</v>
      </c>
    </row>
    <row r="19" spans="1:100" x14ac:dyDescent="0.2">
      <c r="A19" s="1">
        <v>38471</v>
      </c>
      <c r="B19" s="38">
        <f>Data!B17</f>
        <v>1.1069066446740772E-2</v>
      </c>
      <c r="C19" s="38">
        <f>Data!C17</f>
        <v>-3.9577836411609502E-2</v>
      </c>
      <c r="D19" s="38">
        <f>Data!D17</f>
        <v>-4.4170461697952579E-2</v>
      </c>
      <c r="E19" s="38">
        <f>Data!E17</f>
        <v>-1.0610002179281874E-2</v>
      </c>
      <c r="F19" s="38">
        <f>Data!F17</f>
        <v>2.1743329173352199E-2</v>
      </c>
      <c r="G19" s="38">
        <f t="shared" si="5"/>
        <v>1.6815902716374367E-3</v>
      </c>
      <c r="H19" s="38"/>
      <c r="I19" s="38"/>
      <c r="J19" s="38"/>
      <c r="K19" s="38"/>
      <c r="N19" s="48" t="s">
        <v>171</v>
      </c>
      <c r="O19" s="49">
        <f>B2*M4*O4</f>
        <v>1.0209425108287293E-5</v>
      </c>
      <c r="P19" s="49">
        <f>C2*M4*P4</f>
        <v>-1.744917492122335E-6</v>
      </c>
      <c r="Q19" s="49">
        <f>D2*M4*Q4</f>
        <v>-8.3219033120396482E-7</v>
      </c>
      <c r="R19" s="49">
        <f>E2*M4*R4</f>
        <v>3.5299436123030363E-7</v>
      </c>
      <c r="S19" s="49">
        <f>F2*M4*S4</f>
        <v>9.5371237677629082E-6</v>
      </c>
      <c r="W19" s="60">
        <v>1.35339595976389E-2</v>
      </c>
      <c r="X19" s="60">
        <v>1.57712527247083E-2</v>
      </c>
      <c r="Y19" s="60">
        <v>-2.42616617774403E-2</v>
      </c>
      <c r="Z19" s="56">
        <f t="shared" si="0"/>
        <v>5.0177458480488504E-4</v>
      </c>
      <c r="AB19" t="s">
        <v>127</v>
      </c>
      <c r="AC19">
        <v>1.16593E-4</v>
      </c>
      <c r="AD19">
        <v>3.3168500000000002E-4</v>
      </c>
      <c r="AE19">
        <v>0.35151554299999999</v>
      </c>
      <c r="AF19">
        <v>0.72583930600000002</v>
      </c>
      <c r="AG19">
        <v>-5.4035200000000002E-4</v>
      </c>
      <c r="AH19">
        <v>7.7399999999999995E-4</v>
      </c>
      <c r="AI19">
        <v>-5.4000000000000001E-4</v>
      </c>
      <c r="AJ19">
        <v>7.7399999999999995E-4</v>
      </c>
      <c r="AM19">
        <v>-1.9043376817335599E-2</v>
      </c>
      <c r="AN19">
        <v>-1.1328093150875199E-3</v>
      </c>
      <c r="AO19">
        <v>-3.8302915145590498E-2</v>
      </c>
      <c r="AP19" s="56">
        <f t="shared" si="1"/>
        <v>-1.1424944005031919E-2</v>
      </c>
      <c r="AR19" t="s">
        <v>127</v>
      </c>
      <c r="AS19">
        <v>-2.7021658969361901E-3</v>
      </c>
      <c r="AT19">
        <v>1.59869911407063E-3</v>
      </c>
      <c r="AU19">
        <v>-1.6902279316687101</v>
      </c>
      <c r="AV19">
        <v>9.3669972176674998E-2</v>
      </c>
      <c r="AW19">
        <v>-5.86859093237279E-3</v>
      </c>
      <c r="AX19">
        <v>4.6425913850040203E-4</v>
      </c>
      <c r="AY19">
        <v>-5.86859093237279E-3</v>
      </c>
      <c r="AZ19">
        <v>4.6425913850040203E-4</v>
      </c>
      <c r="BC19">
        <v>-5.8346126220019001E-2</v>
      </c>
      <c r="BD19">
        <v>-1.7059994942389901E-2</v>
      </c>
      <c r="BE19" s="56">
        <f t="shared" si="2"/>
        <v>1.87961493425155E-2</v>
      </c>
      <c r="BG19" t="s">
        <v>127</v>
      </c>
      <c r="BH19">
        <v>-2.8003893071181E-3</v>
      </c>
      <c r="BI19">
        <v>4.52594925518204E-3</v>
      </c>
      <c r="BJ19">
        <v>-0.61874076557790902</v>
      </c>
      <c r="BK19">
        <v>0.53728994797496998</v>
      </c>
      <c r="BL19">
        <v>-1.1763794641306301E-2</v>
      </c>
      <c r="BM19">
        <v>6.1630160270701104E-3</v>
      </c>
      <c r="BN19">
        <v>-1.1763794641306301E-2</v>
      </c>
      <c r="BO19">
        <v>6.1630160270701104E-3</v>
      </c>
      <c r="BR19">
        <v>1.41006186529706E-2</v>
      </c>
      <c r="BS19">
        <v>-1.5129993096155901E-2</v>
      </c>
      <c r="BT19">
        <v>-6.6899932505322104E-3</v>
      </c>
      <c r="BU19">
        <v>-3.3539855990342201E-3</v>
      </c>
      <c r="BV19" s="56">
        <f t="shared" si="3"/>
        <v>-1.9311639436599536E-3</v>
      </c>
      <c r="BX19" t="s">
        <v>127</v>
      </c>
      <c r="BY19">
        <v>2.2418120502784599E-3</v>
      </c>
      <c r="BZ19">
        <v>8.7226811548798803E-4</v>
      </c>
      <c r="CA19">
        <v>2.5700951467477302</v>
      </c>
      <c r="CB19">
        <v>1.1444741811640499E-2</v>
      </c>
      <c r="CC19">
        <v>5.1401678925535905E-4</v>
      </c>
      <c r="CD19">
        <v>3.96960731130156E-3</v>
      </c>
      <c r="CE19">
        <v>5.1401678925535905E-4</v>
      </c>
      <c r="CF19">
        <v>3.96960731130156E-3</v>
      </c>
      <c r="CI19">
        <v>2.5283828043532401E-2</v>
      </c>
      <c r="CJ19">
        <v>-8.4399998456237101E-3</v>
      </c>
      <c r="CK19">
        <v>-1.07277021798014E-2</v>
      </c>
      <c r="CL19" s="56">
        <f t="shared" si="4"/>
        <v>-5.8978511188265831E-4</v>
      </c>
      <c r="CN19" t="s">
        <v>127</v>
      </c>
      <c r="CO19">
        <v>-1.37490228537868E-3</v>
      </c>
      <c r="CP19">
        <v>3.95474440244219E-4</v>
      </c>
      <c r="CQ19">
        <v>-3.4765894972368701</v>
      </c>
      <c r="CR19">
        <v>7.1550629534004797E-4</v>
      </c>
      <c r="CS19">
        <v>-2.1581892450343401E-3</v>
      </c>
      <c r="CT19">
        <v>-5.9161532572302698E-4</v>
      </c>
      <c r="CU19">
        <v>-2.1581892450343401E-3</v>
      </c>
      <c r="CV19">
        <v>-5.9161532572302698E-4</v>
      </c>
    </row>
    <row r="20" spans="1:100" x14ac:dyDescent="0.2">
      <c r="A20" s="1">
        <v>38503</v>
      </c>
      <c r="B20" s="38">
        <f>Data!B18</f>
        <v>7.8770382336241784E-3</v>
      </c>
      <c r="C20" s="38">
        <f>Data!C18</f>
        <v>7.7838827838828006E-2</v>
      </c>
      <c r="D20" s="38">
        <f>Data!D18</f>
        <v>-1.1698171676479574E-2</v>
      </c>
      <c r="E20" s="38">
        <f>Data!E18</f>
        <v>3.4500029695099244E-3</v>
      </c>
      <c r="F20" s="38">
        <f>Data!F18</f>
        <v>5.6782242644120018E-3</v>
      </c>
      <c r="G20" s="38">
        <f t="shared" si="5"/>
        <v>1.0349153622483013E-2</v>
      </c>
      <c r="H20" s="38"/>
      <c r="I20" s="38"/>
      <c r="J20" s="38"/>
      <c r="K20" s="38"/>
      <c r="N20" s="48" t="s">
        <v>172</v>
      </c>
      <c r="O20" s="49">
        <f>B2*M5*O5</f>
        <v>-1.744917492122335E-6</v>
      </c>
      <c r="P20" s="49">
        <f>C2*M5*P5</f>
        <v>1.4773353603515156E-5</v>
      </c>
      <c r="Q20" s="49">
        <f>D2*M5*Q5</f>
        <v>6.953370596152913E-6</v>
      </c>
      <c r="R20" s="49">
        <f>E2*M5*R5</f>
        <v>2.9492932538509897E-6</v>
      </c>
      <c r="S20" s="49">
        <f>F2*M5*S5</f>
        <v>2.1561341524021952E-6</v>
      </c>
      <c r="W20" s="60">
        <v>1.08187470266898E-2</v>
      </c>
      <c r="X20" s="60">
        <v>2.9916687705125102E-2</v>
      </c>
      <c r="Y20" s="60">
        <v>7.0841965285153297E-3</v>
      </c>
      <c r="Z20" s="56">
        <f t="shared" si="0"/>
        <v>3.7054657132951346E-4</v>
      </c>
      <c r="AB20" t="s">
        <v>7</v>
      </c>
      <c r="AC20">
        <v>0.59460301199999999</v>
      </c>
      <c r="AD20">
        <v>5.6770538000000002E-2</v>
      </c>
      <c r="AE20">
        <v>10.47379566</v>
      </c>
      <c r="AF20">
        <v>1.80018E-18</v>
      </c>
      <c r="AG20">
        <v>0.482161809</v>
      </c>
      <c r="AH20">
        <v>0.70704400000000001</v>
      </c>
      <c r="AI20">
        <v>0.48216199999999998</v>
      </c>
      <c r="AJ20">
        <v>0.70704400000000001</v>
      </c>
      <c r="AM20">
        <v>4.8382484297934999E-2</v>
      </c>
      <c r="AN20">
        <v>2.4309576317880902E-2</v>
      </c>
      <c r="AO20">
        <v>3.3632219756530399E-2</v>
      </c>
      <c r="AP20" s="56">
        <f t="shared" si="1"/>
        <v>7.7138067807940441E-3</v>
      </c>
      <c r="AR20" t="s">
        <v>25</v>
      </c>
      <c r="AS20">
        <v>1.1011339728542899</v>
      </c>
      <c r="AT20">
        <v>4.1448860673993101E-2</v>
      </c>
      <c r="AU20">
        <v>26.566085411008501</v>
      </c>
      <c r="AV20">
        <v>3.8429527616046201E-51</v>
      </c>
      <c r="AW20">
        <v>1.01903928163108</v>
      </c>
      <c r="AX20">
        <v>1.18322866407751</v>
      </c>
      <c r="AY20">
        <v>1.01903928163108</v>
      </c>
      <c r="AZ20">
        <v>1.18322866407751</v>
      </c>
      <c r="BC20">
        <v>-7.76245975747913E-3</v>
      </c>
      <c r="BD20">
        <v>1.2000003710082899E-2</v>
      </c>
      <c r="BE20" s="56">
        <f t="shared" si="2"/>
        <v>-2.2440871263605649E-2</v>
      </c>
      <c r="BG20" t="s">
        <v>151</v>
      </c>
      <c r="BH20">
        <v>0.68741538657185397</v>
      </c>
      <c r="BI20">
        <v>0.102037968739414</v>
      </c>
      <c r="BJ20">
        <v>6.7368587895686503</v>
      </c>
      <c r="BK20">
        <v>6.4073240789053197E-10</v>
      </c>
      <c r="BL20">
        <v>0.48533453640734903</v>
      </c>
      <c r="BM20">
        <v>0.88949623673635902</v>
      </c>
      <c r="BN20">
        <v>0.48533453640734903</v>
      </c>
      <c r="BO20">
        <v>0.88949623673635902</v>
      </c>
      <c r="BR20">
        <v>-3.9457630240106699E-2</v>
      </c>
      <c r="BS20">
        <v>2.1699911997266098E-3</v>
      </c>
      <c r="BT20">
        <v>3.20999521962151E-3</v>
      </c>
      <c r="BU20">
        <v>-1.6298994743119799E-2</v>
      </c>
      <c r="BV20" s="56">
        <f t="shared" si="3"/>
        <v>4.4257565187393105E-3</v>
      </c>
      <c r="BX20" t="s">
        <v>29</v>
      </c>
      <c r="BY20">
        <v>8.8277652570716306E-2</v>
      </c>
      <c r="BZ20">
        <v>1.4965432288189799E-2</v>
      </c>
      <c r="CA20">
        <v>5.8987706382783198</v>
      </c>
      <c r="CB20">
        <v>3.7589544983225298E-8</v>
      </c>
      <c r="CC20">
        <v>5.8634011438389998E-2</v>
      </c>
      <c r="CD20">
        <v>0.117921293703043</v>
      </c>
      <c r="CE20">
        <v>5.8634011438389998E-2</v>
      </c>
      <c r="CF20">
        <v>0.117921293703043</v>
      </c>
      <c r="CI20">
        <v>6.9189282107480201E-3</v>
      </c>
      <c r="CJ20">
        <v>-1.0400040198948999E-3</v>
      </c>
      <c r="CK20">
        <v>1.7902943555205199E-2</v>
      </c>
      <c r="CL20" s="56">
        <f t="shared" si="4"/>
        <v>-3.568704592880674E-3</v>
      </c>
      <c r="CN20" t="s">
        <v>16</v>
      </c>
      <c r="CO20">
        <v>0.90932564086687995</v>
      </c>
      <c r="CP20">
        <v>1.79456563381988E-2</v>
      </c>
      <c r="CQ20">
        <v>50.671071803114103</v>
      </c>
      <c r="CR20">
        <v>5.6433247448885004E-81</v>
      </c>
      <c r="CS20">
        <v>0.87378200729224897</v>
      </c>
      <c r="CT20">
        <v>0.94486927444151103</v>
      </c>
      <c r="CU20">
        <v>0.87378200729224897</v>
      </c>
      <c r="CV20">
        <v>0.94486927444151103</v>
      </c>
    </row>
    <row r="21" spans="1:100" ht="16" thickBot="1" x14ac:dyDescent="0.25">
      <c r="A21" s="1">
        <v>38533</v>
      </c>
      <c r="B21" s="38">
        <f>Data!B19</f>
        <v>3.6260632220390665E-3</v>
      </c>
      <c r="C21" s="38">
        <f>Data!C19</f>
        <v>-1.7417162276975429E-2</v>
      </c>
      <c r="D21" s="38">
        <f>Data!D19</f>
        <v>-4.1377842976965118E-3</v>
      </c>
      <c r="E21" s="38">
        <f>Data!E19</f>
        <v>1.0550001702261502E-2</v>
      </c>
      <c r="F21" s="38">
        <f>Data!F19</f>
        <v>3.1158728781699452E-3</v>
      </c>
      <c r="G21" s="38">
        <f t="shared" si="5"/>
        <v>3.2748957680401717E-3</v>
      </c>
      <c r="H21" s="38"/>
      <c r="I21" s="38"/>
      <c r="J21" s="38"/>
      <c r="K21" s="38"/>
      <c r="N21" s="48" t="s">
        <v>172</v>
      </c>
      <c r="O21" s="49">
        <f>B2*M6*O6</f>
        <v>-8.3219033120396482E-7</v>
      </c>
      <c r="P21" s="49">
        <f>C2*M6*P6</f>
        <v>6.953370596152913E-6</v>
      </c>
      <c r="Q21" s="49">
        <f>D2*M6*Q6</f>
        <v>1.3604466599278553E-5</v>
      </c>
      <c r="R21" s="49">
        <f>E2*M6*R6</f>
        <v>4.7813067933977707E-6</v>
      </c>
      <c r="S21" s="49">
        <f>F2*M6*S6</f>
        <v>3.7133342089442779E-6</v>
      </c>
      <c r="W21" s="60">
        <v>5.4529078117773197E-3</v>
      </c>
      <c r="X21" s="60">
        <v>1.77717857580586E-2</v>
      </c>
      <c r="Y21" s="60">
        <v>1.3578147492161199E-2</v>
      </c>
      <c r="Z21" s="56">
        <f t="shared" si="0"/>
        <v>3.9992242203382503E-4</v>
      </c>
      <c r="AB21" t="s">
        <v>15</v>
      </c>
      <c r="AC21">
        <v>5.2414433000000003E-2</v>
      </c>
      <c r="AD21">
        <v>2.5722588000000001E-2</v>
      </c>
      <c r="AE21">
        <v>2.0376811639999999</v>
      </c>
      <c r="AF21">
        <v>4.3856832999999998E-2</v>
      </c>
      <c r="AG21">
        <v>1.467606E-3</v>
      </c>
      <c r="AH21">
        <v>0.10336099999999999</v>
      </c>
      <c r="AI21">
        <v>1.4679999999999999E-3</v>
      </c>
      <c r="AJ21">
        <v>0.10336099999999999</v>
      </c>
      <c r="AM21">
        <v>-3.6864905444146099E-3</v>
      </c>
      <c r="AN21">
        <v>-1.46348315915533E-2</v>
      </c>
      <c r="AO21">
        <v>3.7151268662191997E-2</v>
      </c>
      <c r="AP21" s="56">
        <f t="shared" si="1"/>
        <v>-1.3211512580478656E-2</v>
      </c>
      <c r="AR21" t="s">
        <v>145</v>
      </c>
      <c r="AS21">
        <v>0.45214916703304903</v>
      </c>
      <c r="AT21">
        <v>9.1052421465137395E-2</v>
      </c>
      <c r="AU21">
        <v>4.9658115595110299</v>
      </c>
      <c r="AV21">
        <v>2.3756776891114101E-6</v>
      </c>
      <c r="AW21">
        <v>0.271808373492334</v>
      </c>
      <c r="AX21">
        <v>0.63248996057376405</v>
      </c>
      <c r="AY21">
        <v>0.271808373492334</v>
      </c>
      <c r="AZ21">
        <v>0.63248996057376405</v>
      </c>
      <c r="BC21">
        <v>1.6833418122208999E-2</v>
      </c>
      <c r="BD21">
        <v>1.32499943114504E-2</v>
      </c>
      <c r="BE21" s="56">
        <f t="shared" si="2"/>
        <v>-3.3462923785197184E-2</v>
      </c>
      <c r="BG21" s="4" t="s">
        <v>12</v>
      </c>
      <c r="BH21" s="4">
        <v>1.33989407424533</v>
      </c>
      <c r="BI21" s="4">
        <v>0.278306544559558</v>
      </c>
      <c r="BJ21" s="4">
        <v>4.8144540631116604</v>
      </c>
      <c r="BK21" s="4">
        <v>4.4548038594861002E-6</v>
      </c>
      <c r="BL21" s="4">
        <v>0.78872254637448003</v>
      </c>
      <c r="BM21" s="4">
        <v>1.89106560211619</v>
      </c>
      <c r="BN21" s="4">
        <v>0.78872254637448003</v>
      </c>
      <c r="BO21" s="4">
        <v>1.89106560211619</v>
      </c>
      <c r="BR21">
        <v>4.3738765727980897E-2</v>
      </c>
      <c r="BS21">
        <v>1.30400010497622E-2</v>
      </c>
      <c r="BT21">
        <v>3.4499910457253002E-3</v>
      </c>
      <c r="BU21">
        <v>1.8180603069193099E-2</v>
      </c>
      <c r="BV21" s="56">
        <f t="shared" si="3"/>
        <v>-6.7623672884998577E-4</v>
      </c>
      <c r="BX21" t="s">
        <v>13</v>
      </c>
      <c r="BY21">
        <v>0.31472457422392902</v>
      </c>
      <c r="BZ21">
        <v>6.0837686281572899E-2</v>
      </c>
      <c r="CA21">
        <v>5.1731844759397996</v>
      </c>
      <c r="CB21">
        <v>9.8495087261299497E-7</v>
      </c>
      <c r="CC21">
        <v>0.19421682645407501</v>
      </c>
      <c r="CD21">
        <v>0.43523232199378198</v>
      </c>
      <c r="CE21">
        <v>0.19421682645407501</v>
      </c>
      <c r="CF21">
        <v>0.43523232199378198</v>
      </c>
      <c r="CI21">
        <v>3.6562030971028E-3</v>
      </c>
      <c r="CJ21">
        <v>9.5900100040369196E-3</v>
      </c>
      <c r="CK21">
        <v>1.9031055303938602E-2</v>
      </c>
      <c r="CL21" s="56">
        <f t="shared" si="4"/>
        <v>-2.0371984400821778E-3</v>
      </c>
      <c r="CN21" t="s">
        <v>14</v>
      </c>
      <c r="CO21">
        <v>-0.122780401193907</v>
      </c>
      <c r="CP21">
        <v>4.8781905292294002E-2</v>
      </c>
      <c r="CQ21">
        <v>-2.5169250864275399</v>
      </c>
      <c r="CR21">
        <v>1.3203982314726701E-2</v>
      </c>
      <c r="CS21">
        <v>-0.21939911126532199</v>
      </c>
      <c r="CT21">
        <v>-2.6161691122492899E-2</v>
      </c>
      <c r="CU21">
        <v>-0.21939911126532199</v>
      </c>
      <c r="CV21">
        <v>-2.6161691122492899E-2</v>
      </c>
    </row>
    <row r="22" spans="1:100" ht="16" thickBot="1" x14ac:dyDescent="0.25">
      <c r="A22" s="1">
        <v>38562</v>
      </c>
      <c r="B22" s="38">
        <f>Data!B20</f>
        <v>-5.0122935591238038E-3</v>
      </c>
      <c r="C22" s="38">
        <f>Data!C20</f>
        <v>5.8509871739443664E-2</v>
      </c>
      <c r="D22" s="38">
        <f>Data!D20</f>
        <v>6.2487700931636914E-2</v>
      </c>
      <c r="E22" s="38">
        <f>Data!E20</f>
        <v>7.4099945559380487E-3</v>
      </c>
      <c r="F22" s="38">
        <f>Data!F20</f>
        <v>-1.6957947461352818E-2</v>
      </c>
      <c r="G22" s="38">
        <f t="shared" si="5"/>
        <v>3.4227945751371144E-3</v>
      </c>
      <c r="H22" s="38"/>
      <c r="I22" s="38"/>
      <c r="J22" s="38"/>
      <c r="K22" s="38"/>
      <c r="N22" s="48" t="s">
        <v>172</v>
      </c>
      <c r="O22" s="49">
        <f>B2*M7*O7</f>
        <v>3.5299436123030363E-7</v>
      </c>
      <c r="P22" s="49">
        <f>C2*M7*P7</f>
        <v>2.9492932538509897E-6</v>
      </c>
      <c r="Q22" s="49">
        <f>D2*M7*Q7</f>
        <v>4.7813067933977707E-6</v>
      </c>
      <c r="R22" s="49">
        <f>E2*M7*R7</f>
        <v>1.1327485799859001E-5</v>
      </c>
      <c r="S22" s="49">
        <f>F2*M7*S7</f>
        <v>2.2916919869547052E-6</v>
      </c>
      <c r="W22" s="60">
        <v>-9.0953845160560692E-3</v>
      </c>
      <c r="X22" s="60">
        <v>-2.4686897880541502E-3</v>
      </c>
      <c r="Y22" s="60">
        <v>2.4795568738883101E-2</v>
      </c>
      <c r="Z22" s="56">
        <f t="shared" si="0"/>
        <v>2.2558253776539042E-3</v>
      </c>
      <c r="AB22" s="4" t="s">
        <v>128</v>
      </c>
      <c r="AC22" s="4">
        <v>-6.9793960000000002E-2</v>
      </c>
      <c r="AD22" s="4">
        <v>1.7599310999999999E-2</v>
      </c>
      <c r="AE22" s="4">
        <v>-3.965720991</v>
      </c>
      <c r="AF22" s="4">
        <v>1.2701300000000001E-4</v>
      </c>
      <c r="AG22" s="4">
        <v>-0.10465161100000001</v>
      </c>
      <c r="AH22" s="4">
        <v>-3.4939999999999999E-2</v>
      </c>
      <c r="AI22" s="4">
        <v>-0.10465000000000001</v>
      </c>
      <c r="AJ22" s="4">
        <v>-3.4939999999999999E-2</v>
      </c>
      <c r="AM22">
        <v>4.8875218404193399E-2</v>
      </c>
      <c r="AN22">
        <v>1.9943220107235999E-2</v>
      </c>
      <c r="AO22">
        <v>2.6166996830751601E-2</v>
      </c>
      <c r="AP22" s="56">
        <f t="shared" si="1"/>
        <v>-8.8832210839950437E-3</v>
      </c>
      <c r="AR22" s="4" t="s">
        <v>146</v>
      </c>
      <c r="AS22" s="4">
        <v>0.17417432645952199</v>
      </c>
      <c r="AT22" s="4">
        <v>7.4656959588164595E-2</v>
      </c>
      <c r="AU22" s="4">
        <v>2.3329951744664101</v>
      </c>
      <c r="AV22" s="4">
        <v>2.1371477772040001E-2</v>
      </c>
      <c r="AW22" s="4">
        <v>2.6306811034665499E-2</v>
      </c>
      <c r="AX22" s="4">
        <v>0.32204184188437801</v>
      </c>
      <c r="AY22" s="4">
        <v>2.6306811034665499E-2</v>
      </c>
      <c r="AZ22" s="4">
        <v>0.32204184188437801</v>
      </c>
      <c r="BC22">
        <v>4.4831598920809901E-2</v>
      </c>
      <c r="BD22">
        <v>2.35099993288332E-2</v>
      </c>
      <c r="BE22" s="56">
        <f t="shared" si="2"/>
        <v>1.6886124263877644E-4</v>
      </c>
      <c r="BR22">
        <v>-1.3088404133180199E-2</v>
      </c>
      <c r="BS22">
        <v>1.8030012270868499E-2</v>
      </c>
      <c r="BT22">
        <v>4.6300243355219496E-3</v>
      </c>
      <c r="BU22">
        <v>-7.6985043331008196E-3</v>
      </c>
      <c r="BV22" s="56">
        <f t="shared" si="3"/>
        <v>-3.1656578058473876E-4</v>
      </c>
      <c r="BX22" t="s">
        <v>153</v>
      </c>
      <c r="BY22">
        <v>0.75331524631995705</v>
      </c>
      <c r="BZ22">
        <v>0.115220918484844</v>
      </c>
      <c r="CA22">
        <v>6.5380076484900203</v>
      </c>
      <c r="CB22">
        <v>1.7877033843850601E-9</v>
      </c>
      <c r="CC22">
        <v>0.52508478209225795</v>
      </c>
      <c r="CD22">
        <v>0.98154571054765505</v>
      </c>
      <c r="CE22">
        <v>0.52508478209225795</v>
      </c>
      <c r="CF22">
        <v>0.98154571054765505</v>
      </c>
      <c r="CI22">
        <v>-1.8193157898467101E-2</v>
      </c>
      <c r="CJ22">
        <v>1.3399987935346599E-2</v>
      </c>
      <c r="CK22">
        <v>1.5700184222826999E-2</v>
      </c>
      <c r="CL22" s="56">
        <f t="shared" si="4"/>
        <v>-1.2489500035537775E-3</v>
      </c>
      <c r="CN22" s="4" t="s">
        <v>17</v>
      </c>
      <c r="CO22" s="4">
        <v>0.15794486020787299</v>
      </c>
      <c r="CP22" s="4">
        <v>2.3757199100005299E-2</v>
      </c>
      <c r="CQ22" s="4">
        <v>6.6482946724067897</v>
      </c>
      <c r="CR22" s="4">
        <v>1.0171385517805601E-9</v>
      </c>
      <c r="CS22" s="4">
        <v>0.110890733924804</v>
      </c>
      <c r="CT22" s="4">
        <v>0.204998986490941</v>
      </c>
      <c r="CU22" s="4">
        <v>0.110890733924804</v>
      </c>
      <c r="CV22" s="4">
        <v>0.204998986490941</v>
      </c>
    </row>
    <row r="23" spans="1:100" ht="16" thickBot="1" x14ac:dyDescent="0.25">
      <c r="A23" s="1">
        <v>38595</v>
      </c>
      <c r="B23" s="38">
        <f>Data!B21</f>
        <v>8.8594016924239405E-3</v>
      </c>
      <c r="C23" s="38">
        <f>Data!C21</f>
        <v>-2.3144996596323741E-3</v>
      </c>
      <c r="D23" s="38">
        <f>Data!D21</f>
        <v>2.1669762347001909E-2</v>
      </c>
      <c r="E23" s="38">
        <f>Data!E21</f>
        <v>7.2499982455480616E-3</v>
      </c>
      <c r="F23" s="38">
        <f>Data!F21</f>
        <v>2.2609639154851147E-2</v>
      </c>
      <c r="G23" s="38">
        <f t="shared" si="5"/>
        <v>1.1307556162827248E-2</v>
      </c>
      <c r="H23" s="38"/>
      <c r="I23" s="38"/>
      <c r="J23" s="38"/>
      <c r="K23" s="38"/>
      <c r="N23" s="48" t="s">
        <v>172</v>
      </c>
      <c r="O23" s="49">
        <f>B2*M8*O8</f>
        <v>9.5371237677629082E-6</v>
      </c>
      <c r="P23" s="49">
        <f>C2*M8*P8</f>
        <v>2.1561341524021952E-6</v>
      </c>
      <c r="Q23" s="49">
        <f>D2*M8*Q8</f>
        <v>3.7133342089442779E-6</v>
      </c>
      <c r="R23" s="49">
        <f>E2*M8*R8</f>
        <v>2.2916919869547052E-6</v>
      </c>
      <c r="S23" s="49">
        <f>F2*M8*S8</f>
        <v>1.9746293042748511E-5</v>
      </c>
      <c r="T23" s="54">
        <f>SUM(O19:S23)</f>
        <v>1.2997730674842802E-4</v>
      </c>
      <c r="U23" s="54"/>
      <c r="V23" s="54"/>
      <c r="W23" s="60">
        <v>1.28113241354597E-2</v>
      </c>
      <c r="X23" s="60">
        <v>1.94060481680449E-2</v>
      </c>
      <c r="Y23" s="60">
        <v>-9.1915546250565007E-3</v>
      </c>
      <c r="Z23" s="56">
        <f t="shared" si="0"/>
        <v>-4.1692223356646317E-4</v>
      </c>
      <c r="AM23">
        <v>-1.2878843090505901E-2</v>
      </c>
      <c r="AN23">
        <v>-8.5300653654503105E-3</v>
      </c>
      <c r="AO23">
        <v>-9.4164056039929295E-3</v>
      </c>
      <c r="AP23" s="56">
        <f t="shared" si="1"/>
        <v>1.7363790051854368E-2</v>
      </c>
      <c r="BC23">
        <v>7.5479996736767196E-2</v>
      </c>
      <c r="BD23">
        <v>8.8700061158561994E-3</v>
      </c>
      <c r="BE23" s="56">
        <f t="shared" si="2"/>
        <v>-4.2101217421400744E-2</v>
      </c>
      <c r="BR23">
        <v>1.2563983248022201E-2</v>
      </c>
      <c r="BS23">
        <v>8.4599893882217891E-3</v>
      </c>
      <c r="BT23">
        <v>1.54999077652418E-3</v>
      </c>
      <c r="BU23">
        <v>1.65340635397969E-2</v>
      </c>
      <c r="BV23" s="56">
        <f t="shared" si="3"/>
        <v>1.7085053052445726E-3</v>
      </c>
      <c r="BX23" s="4" t="s">
        <v>154</v>
      </c>
      <c r="BY23" s="4">
        <v>3.6420311862406698E-2</v>
      </c>
      <c r="BZ23" s="4">
        <v>3.4908986180566003E-2</v>
      </c>
      <c r="CA23" s="4">
        <v>1.0432933134758899</v>
      </c>
      <c r="CB23" s="4">
        <v>0.29900066712902301</v>
      </c>
      <c r="CC23" s="4">
        <v>-3.2727671216350701E-2</v>
      </c>
      <c r="CD23" s="4">
        <v>0.105568294941164</v>
      </c>
      <c r="CE23" s="4">
        <v>-3.2727671216350701E-2</v>
      </c>
      <c r="CF23" s="4">
        <v>0.105568294941164</v>
      </c>
      <c r="CI23">
        <v>2.4976539377752099E-2</v>
      </c>
      <c r="CJ23">
        <v>6.9099986116976098E-3</v>
      </c>
      <c r="CK23">
        <v>3.6197695104032198E-3</v>
      </c>
      <c r="CL23" s="56">
        <f t="shared" si="4"/>
        <v>1.7451989102807222E-4</v>
      </c>
    </row>
    <row r="24" spans="1:100" x14ac:dyDescent="0.2">
      <c r="A24" s="1">
        <v>38625</v>
      </c>
      <c r="B24" s="38">
        <f>Data!B22</f>
        <v>-5.2610852957392096E-3</v>
      </c>
      <c r="C24" s="38">
        <f>Data!C22</f>
        <v>2.8657205240174566E-3</v>
      </c>
      <c r="D24" s="38">
        <f>Data!D22</f>
        <v>1.8200841154411895E-2</v>
      </c>
      <c r="E24" s="38">
        <f>Data!E22</f>
        <v>2.1080005550678793E-2</v>
      </c>
      <c r="F24" s="38">
        <f>Data!F22</f>
        <v>-3.3695137863297697E-3</v>
      </c>
      <c r="G24" s="38">
        <f t="shared" si="5"/>
        <v>3.2875680629789305E-3</v>
      </c>
      <c r="H24" s="38"/>
      <c r="I24" s="38"/>
      <c r="J24" s="38"/>
      <c r="K24" s="38"/>
      <c r="W24" s="60">
        <v>-1.03011539544047E-2</v>
      </c>
      <c r="X24" s="60">
        <v>1.6904994522900299E-2</v>
      </c>
      <c r="Y24" s="60">
        <v>2.8635717886849E-4</v>
      </c>
      <c r="Z24" s="56">
        <f t="shared" si="0"/>
        <v>-2.0678286727290884E-6</v>
      </c>
      <c r="AM24">
        <v>4.6048521083328397E-3</v>
      </c>
      <c r="AN24">
        <v>-9.4355618191159802E-3</v>
      </c>
      <c r="AO24">
        <v>-4.9627077149831901E-3</v>
      </c>
      <c r="AP24" s="56">
        <f t="shared" si="1"/>
        <v>2.9258191182372651E-3</v>
      </c>
      <c r="BC24">
        <v>4.6525663816047599E-2</v>
      </c>
      <c r="BD24">
        <v>9.9799919184655507E-3</v>
      </c>
      <c r="BE24" s="56">
        <f t="shared" si="2"/>
        <v>-2.7153748055776861E-2</v>
      </c>
      <c r="BH24" t="s">
        <v>151</v>
      </c>
      <c r="BI24" t="s">
        <v>12</v>
      </c>
      <c r="BJ24" t="s">
        <v>175</v>
      </c>
      <c r="BR24">
        <v>7.8354779411764705E-2</v>
      </c>
      <c r="BS24">
        <v>1.52599973717178E-2</v>
      </c>
      <c r="BT24">
        <v>3.50998328242036E-3</v>
      </c>
      <c r="BU24">
        <v>1.44306862444805E-2</v>
      </c>
      <c r="BV24" s="56">
        <f t="shared" si="3"/>
        <v>6.1906393666518074E-3</v>
      </c>
      <c r="CI24">
        <v>-5.2538911190929101E-3</v>
      </c>
      <c r="CJ24">
        <v>1.1750014089297401E-2</v>
      </c>
      <c r="CK24">
        <v>-1.0014796775536201E-2</v>
      </c>
      <c r="CL24" s="56">
        <f t="shared" si="4"/>
        <v>4.4324412432245174E-3</v>
      </c>
    </row>
    <row r="25" spans="1:100" x14ac:dyDescent="0.2">
      <c r="A25" s="1">
        <v>38656</v>
      </c>
      <c r="B25" s="38">
        <f>Data!B23</f>
        <v>-6.967427277477789E-3</v>
      </c>
      <c r="C25" s="38">
        <f>Data!C23</f>
        <v>-2.1907742550006826E-2</v>
      </c>
      <c r="D25" s="38">
        <f>Data!D23</f>
        <v>4.7735804905840951E-2</v>
      </c>
      <c r="E25" s="38">
        <f>Data!E23</f>
        <v>-6.3400048991615332E-3</v>
      </c>
      <c r="F25" s="38">
        <f>Data!F23</f>
        <v>-1.2013005697185886E-2</v>
      </c>
      <c r="G25" s="38">
        <f t="shared" si="5"/>
        <v>-6.1700989527141556E-3</v>
      </c>
      <c r="H25" s="38"/>
      <c r="I25" s="38"/>
      <c r="J25" s="38"/>
      <c r="K25" s="38"/>
      <c r="N25" s="15" t="s">
        <v>173</v>
      </c>
      <c r="O25" s="47">
        <f>SUM(O19:O23)</f>
        <v>1.7522435413954206E-5</v>
      </c>
      <c r="P25" s="47">
        <f>SUM(P19:P23)</f>
        <v>2.5087234113798916E-5</v>
      </c>
      <c r="Q25" s="47">
        <f>SUM(Q19:Q23)</f>
        <v>2.8220287866569551E-5</v>
      </c>
      <c r="R25" s="47">
        <f>SUM(R19:R23)</f>
        <v>2.1702772195292772E-5</v>
      </c>
      <c r="S25" s="47">
        <f>SUM(S19:S23)</f>
        <v>3.7444577158812594E-5</v>
      </c>
      <c r="W25" s="60">
        <v>-7.9139379560264605E-3</v>
      </c>
      <c r="X25" s="60">
        <v>-1.47897985326658E-2</v>
      </c>
      <c r="Y25" s="60">
        <v>6.1975345286024996E-4</v>
      </c>
      <c r="Z25" s="56">
        <f t="shared" si="0"/>
        <v>-1.4433219800706323E-3</v>
      </c>
      <c r="AC25" t="s">
        <v>7</v>
      </c>
      <c r="AD25" t="s">
        <v>15</v>
      </c>
      <c r="AE25" t="s">
        <v>128</v>
      </c>
      <c r="AF25" t="s">
        <v>175</v>
      </c>
      <c r="AM25">
        <v>-9.7199283778962604E-3</v>
      </c>
      <c r="AN25">
        <v>1.56776103553284E-2</v>
      </c>
      <c r="AO25">
        <v>-1.43784942743904E-2</v>
      </c>
      <c r="AP25" s="56">
        <f t="shared" si="1"/>
        <v>-1.5789053106881161E-2</v>
      </c>
      <c r="AS25" t="s">
        <v>25</v>
      </c>
      <c r="AT25" t="s">
        <v>145</v>
      </c>
      <c r="AU25" t="s">
        <v>146</v>
      </c>
      <c r="AV25" t="s">
        <v>175</v>
      </c>
      <c r="BC25">
        <v>-6.2839566867097796E-2</v>
      </c>
      <c r="BD25">
        <v>-1.7979998465396801E-2</v>
      </c>
      <c r="BE25" s="56">
        <f t="shared" si="2"/>
        <v>0.11502398345452015</v>
      </c>
      <c r="BF25">
        <f>BC2</f>
        <v>0.68741538657185397</v>
      </c>
      <c r="BG25" t="s">
        <v>151</v>
      </c>
      <c r="BH25">
        <f>_xlfn.VAR.S(BC4:BC123)</f>
        <v>2.7122132413887621E-3</v>
      </c>
      <c r="BI25">
        <f>_xlfn.COVARIANCE.S(BC4:BC123,BD4:BD123)</f>
        <v>5.8784476483935116E-4</v>
      </c>
      <c r="BJ25">
        <f>_xlfn.COVARIANCE.S(BC4:BC123,BE4:BE123)</f>
        <v>3.4841828037972609E-6</v>
      </c>
      <c r="BR25">
        <v>-8.7577242701897297E-3</v>
      </c>
      <c r="BS25">
        <v>-1.51000034412222E-2</v>
      </c>
      <c r="BT25">
        <v>-1.15500014348816E-2</v>
      </c>
      <c r="BU25">
        <v>-2.0591313627064101E-3</v>
      </c>
      <c r="BV25" s="56">
        <f t="shared" si="3"/>
        <v>7.9612349774000474E-3</v>
      </c>
      <c r="CI25">
        <v>-1.2573985443629501E-2</v>
      </c>
      <c r="CJ25">
        <v>-3.55000200634059E-3</v>
      </c>
      <c r="CK25">
        <v>-7.2941845031662097E-3</v>
      </c>
      <c r="CL25" s="56">
        <f t="shared" si="4"/>
        <v>1.3704995569867665E-4</v>
      </c>
      <c r="CO25" t="s">
        <v>16</v>
      </c>
      <c r="CP25" t="s">
        <v>14</v>
      </c>
      <c r="CQ25" t="s">
        <v>17</v>
      </c>
      <c r="CR25" t="s">
        <v>175</v>
      </c>
    </row>
    <row r="26" spans="1:100" x14ac:dyDescent="0.2">
      <c r="A26" s="1">
        <v>38686</v>
      </c>
      <c r="B26" s="38">
        <f>Data!B24</f>
        <v>3.2530178118670428E-3</v>
      </c>
      <c r="C26" s="38">
        <f>Data!C24</f>
        <v>6.3995548135781899E-2</v>
      </c>
      <c r="D26" s="38">
        <f>Data!D24</f>
        <v>9.2947379664604757E-2</v>
      </c>
      <c r="E26" s="38">
        <f>Data!E24</f>
        <v>1.4620007114644507E-2</v>
      </c>
      <c r="F26" s="38">
        <f>Data!F24</f>
        <v>1.4634572539424795E-3</v>
      </c>
      <c r="G26" s="38">
        <f t="shared" si="5"/>
        <v>1.4575887196254144E-2</v>
      </c>
      <c r="H26" s="38"/>
      <c r="I26" s="38"/>
      <c r="J26" s="38"/>
      <c r="K26" s="38"/>
      <c r="N26" s="15" t="s">
        <v>174</v>
      </c>
      <c r="O26" s="44">
        <f>O25/$T$23</f>
        <v>0.13481149788608102</v>
      </c>
      <c r="P26" s="44">
        <f>P25/$T$23</f>
        <v>0.19301241687024207</v>
      </c>
      <c r="Q26" s="44">
        <f>Q25/$T$23</f>
        <v>0.21711703813951241</v>
      </c>
      <c r="R26" s="44">
        <f>R25/$T$23</f>
        <v>0.16697354898496736</v>
      </c>
      <c r="S26" s="44">
        <f>S25/$T$23</f>
        <v>0.28808549811919731</v>
      </c>
      <c r="T26" s="55">
        <f>SUM(O26:S26)</f>
        <v>1.0000000000000002</v>
      </c>
      <c r="U26" s="55"/>
      <c r="V26" s="55"/>
      <c r="W26" s="60">
        <v>4.42260442260456E-3</v>
      </c>
      <c r="X26" s="60">
        <v>1.5277777777777699E-2</v>
      </c>
      <c r="Y26" s="60">
        <v>4.02072200553105E-4</v>
      </c>
      <c r="Z26" s="56">
        <f t="shared" si="0"/>
        <v>-1.4938994733785203E-4</v>
      </c>
      <c r="AA26">
        <f>AC20</f>
        <v>0.59460301199999999</v>
      </c>
      <c r="AB26" t="s">
        <v>7</v>
      </c>
      <c r="AC26">
        <f>_xlfn.VAR.S(W4:W123)</f>
        <v>9.4790591143548654E-5</v>
      </c>
      <c r="AD26">
        <f>_xlfn.COVARIANCE.S(W4:W123,X4:X123)</f>
        <v>1.6350774550107804E-4</v>
      </c>
      <c r="AE26">
        <f>_xlfn.COVARIANCE.S(W4:W123,Y4:Y123)</f>
        <v>-1.9878478924989346E-5</v>
      </c>
      <c r="AF26">
        <f>_xlfn.COVARIANCE.S(Z4:Z123,W4:W123)</f>
        <v>2.059980179790718E-7</v>
      </c>
      <c r="AM26">
        <v>4.3145157320720003E-2</v>
      </c>
      <c r="AN26">
        <v>1.04450967590386E-2</v>
      </c>
      <c r="AO26">
        <v>1.07236794810146E-2</v>
      </c>
      <c r="AP26" s="56">
        <f t="shared" si="1"/>
        <v>9.8964181958417149E-3</v>
      </c>
      <c r="AQ26">
        <f>AM2</f>
        <v>1.1011339728542899</v>
      </c>
      <c r="AR26" t="s">
        <v>25</v>
      </c>
      <c r="AS26">
        <f>_xlfn.VAR.S(AM4:AM123)</f>
        <v>1.8729898162653984E-3</v>
      </c>
      <c r="AT26">
        <f>_xlfn.COVARIANCE.S(AM4:AM123,AN4:AN123)</f>
        <v>9.0952622032217895E-5</v>
      </c>
      <c r="AU26">
        <f>_xlfn.COVARIANCE.S(AM4:AM123,AO4:AO123)</f>
        <v>4.6522194306655934E-4</v>
      </c>
      <c r="AV26">
        <f>_xlfn.COVARIANCE.S(AM4:AM123,AP4:AP123)</f>
        <v>-6.7123315220213129E-6</v>
      </c>
      <c r="BC26">
        <v>2.58258904551822E-3</v>
      </c>
      <c r="BD26">
        <v>1.29000046763252E-2</v>
      </c>
      <c r="BE26" s="56">
        <f t="shared" si="2"/>
        <v>7.3887428393978438E-2</v>
      </c>
      <c r="BF26">
        <f>BD2</f>
        <v>1.33989407424533</v>
      </c>
      <c r="BG26" t="s">
        <v>12</v>
      </c>
      <c r="BH26">
        <f>_xlfn.COVARIANCE.S(BC4:BC123,BD4:BD123)</f>
        <v>5.8784476483935116E-4</v>
      </c>
      <c r="BI26">
        <f>_xlfn.VAR.S(BD4:BD123)</f>
        <v>3.6458651616064956E-4</v>
      </c>
      <c r="BJ26">
        <f>_xlfn.COVARIANCE.S(BD4:BD123,BE4:BE123)</f>
        <v>-9.6680321827933498E-7</v>
      </c>
      <c r="BR26">
        <v>5.9953997291429403E-2</v>
      </c>
      <c r="BS26">
        <v>1.70200220336192E-2</v>
      </c>
      <c r="BT26">
        <v>8.7800296204909607E-3</v>
      </c>
      <c r="BU26">
        <v>-1.64722980932193E-2</v>
      </c>
      <c r="BV26" s="56">
        <f t="shared" si="3"/>
        <v>-2.0434141588977495E-3</v>
      </c>
      <c r="BY26" t="s">
        <v>29</v>
      </c>
      <c r="BZ26" t="s">
        <v>13</v>
      </c>
      <c r="CA26" t="s">
        <v>153</v>
      </c>
      <c r="CB26" t="s">
        <v>154</v>
      </c>
      <c r="CC26" t="s">
        <v>175</v>
      </c>
      <c r="CI26">
        <v>1.9717784724810898E-3</v>
      </c>
      <c r="CJ26">
        <v>8.2399924131282293E-3</v>
      </c>
      <c r="CK26">
        <v>4.82467662315766E-3</v>
      </c>
      <c r="CL26" s="56">
        <f t="shared" si="4"/>
        <v>-7.98547696681006E-5</v>
      </c>
      <c r="CM26">
        <f>CI2</f>
        <v>0.90932564086687995</v>
      </c>
      <c r="CN26" t="s">
        <v>16</v>
      </c>
      <c r="CO26">
        <f>_xlfn.VAR.S(CI4:CI123)</f>
        <v>4.4278173024128601E-4</v>
      </c>
      <c r="CP26">
        <f>_xlfn.COVARIANCE.S(CI4:CI123,CJ4:CJ123)</f>
        <v>5.9895428933853539E-5</v>
      </c>
      <c r="CQ26">
        <f>_xlfn.COVARIANCE.S(CI4:CI123,CK4:CK123)</f>
        <v>1.6375940033836776E-4</v>
      </c>
      <c r="CR26">
        <f>_xlfn.COVARIANCE.S(CI4:CI123,CL4:CL123)</f>
        <v>3.2955124120871896E-7</v>
      </c>
    </row>
    <row r="27" spans="1:100" x14ac:dyDescent="0.2">
      <c r="A27" s="1">
        <v>38716</v>
      </c>
      <c r="B27" s="38">
        <f>Data!B25</f>
        <v>9.7830406103471823E-3</v>
      </c>
      <c r="C27" s="38">
        <f>Data!C25</f>
        <v>-2.9288702928870425E-2</v>
      </c>
      <c r="D27" s="38">
        <f>Data!D25</f>
        <v>7.3452978543822933E-2</v>
      </c>
      <c r="E27" s="38">
        <f>Data!E25</f>
        <v>1.2749997693833448E-2</v>
      </c>
      <c r="F27" s="38">
        <f>Data!F25</f>
        <v>7.7500781551034237E-3</v>
      </c>
      <c r="G27" s="38">
        <f t="shared" si="5"/>
        <v>1.0525870017679207E-2</v>
      </c>
      <c r="H27" s="38"/>
      <c r="I27" s="38"/>
      <c r="J27" s="38"/>
      <c r="K27" s="38"/>
      <c r="W27" s="60">
        <v>9.50750163078928E-3</v>
      </c>
      <c r="X27" s="60">
        <v>1.84824053322468E-2</v>
      </c>
      <c r="Y27" s="60">
        <v>-3.5321919425168602E-4</v>
      </c>
      <c r="Z27" s="56">
        <f t="shared" si="0"/>
        <v>3.1364541418042371E-3</v>
      </c>
      <c r="AA27">
        <f>AC21</f>
        <v>5.2414433000000003E-2</v>
      </c>
      <c r="AB27" t="s">
        <v>15</v>
      </c>
      <c r="AC27">
        <f>_xlfn.COVARIANCE.S(W4:W123,X4:X123)</f>
        <v>1.6350774550107804E-4</v>
      </c>
      <c r="AD27">
        <f>_xlfn.VAR.S(X4:X123)</f>
        <v>6.7149675328381266E-4</v>
      </c>
      <c r="AE27">
        <f>_xlfn.COVARIANCE.S(Y4:Y123,X4:X123)</f>
        <v>4.2109376842566602E-4</v>
      </c>
      <c r="AF27">
        <f>_xlfn.COVARIANCE.S(X4:X123,Z4:Z123)</f>
        <v>-2.3274697968547044E-6</v>
      </c>
      <c r="AM27">
        <v>-3.1349221617339401E-3</v>
      </c>
      <c r="AN27">
        <v>-9.2760357063009797E-3</v>
      </c>
      <c r="AO27">
        <v>-4.9183165392930901E-3</v>
      </c>
      <c r="AP27" s="56">
        <f t="shared" si="1"/>
        <v>-2.0785937345812463E-2</v>
      </c>
      <c r="AQ27">
        <f>AN2</f>
        <v>0.45214916703304903</v>
      </c>
      <c r="AR27" t="s">
        <v>145</v>
      </c>
      <c r="AS27">
        <f>_xlfn.COVARIANCE.S(AM4:AM123,AN4:AN123)</f>
        <v>9.0952622032217895E-5</v>
      </c>
      <c r="AT27">
        <f>_xlfn.VAR.S(AN4:AN123)</f>
        <v>3.0984483281579781E-4</v>
      </c>
      <c r="AU27">
        <f>_xlfn.COVARIANCE.S(AN4:AN123,AO4:AO123)</f>
        <v>-1.5426569665196682E-5</v>
      </c>
      <c r="AV27">
        <f>_xlfn.COVARIANCE.S(AN4:AN123,AP4:AP123)</f>
        <v>-2.6322735066732256E-6</v>
      </c>
      <c r="BC27">
        <v>3.18839218632605E-2</v>
      </c>
      <c r="BD27">
        <v>1.5669995623428499E-2</v>
      </c>
      <c r="BE27" s="56">
        <f t="shared" si="2"/>
        <v>3.0539345791480828E-2</v>
      </c>
      <c r="BF27">
        <f>BE2</f>
        <v>1</v>
      </c>
      <c r="BG27" t="s">
        <v>175</v>
      </c>
      <c r="BH27">
        <f>_xlfn.COVARIANCE.S(BC4:BC123,BE4:BE123)</f>
        <v>3.4841828037972609E-6</v>
      </c>
      <c r="BI27">
        <f>_xlfn.COVARIANCE.S(BD4:BD123,BE4:BE123)</f>
        <v>-9.6680321827933498E-7</v>
      </c>
      <c r="BJ27">
        <f>_xlfn.VAR.S(BE4:BE123)</f>
        <v>2.1708205255396144E-3</v>
      </c>
      <c r="BR27">
        <v>4.8511397744788E-2</v>
      </c>
      <c r="BS27">
        <v>2.0079989311307101E-2</v>
      </c>
      <c r="BT27">
        <v>5.3299862399158703E-3</v>
      </c>
      <c r="BU27">
        <v>2.2811883108241799E-2</v>
      </c>
      <c r="BV27" s="56">
        <f t="shared" si="3"/>
        <v>-2.6981165025980903E-3</v>
      </c>
      <c r="BW27">
        <f>BR2</f>
        <v>8.8277652570716306E-2</v>
      </c>
      <c r="BX27" t="s">
        <v>29</v>
      </c>
      <c r="BY27">
        <f>_xlfn.VAR.S(BR4:BR123)</f>
        <v>3.0673613462140043E-3</v>
      </c>
      <c r="BZ27">
        <f>_xlfn.COVARIANCE.S(BR4:BR123,BS4:BS123)</f>
        <v>2.0984358482601276E-4</v>
      </c>
      <c r="CA27">
        <f>_xlfn.COVARIANCE.S(BR4:BR123,BT4:BT123)</f>
        <v>3.5502363632248837E-5</v>
      </c>
      <c r="CB27">
        <f>_xlfn.COVARIANCE.S(BR4:BR123,BU4:BU123)</f>
        <v>1.4366107696779995E-4</v>
      </c>
      <c r="CC27">
        <f>_xlfn.COVARIANCE.S(BR4:BR123,BV4:BV123)</f>
        <v>8.1990546821011753E-6</v>
      </c>
      <c r="CI27">
        <v>8.4798523002940201E-3</v>
      </c>
      <c r="CJ27">
        <v>1.47500030713912E-2</v>
      </c>
      <c r="CK27">
        <v>9.1542824365375992E-3</v>
      </c>
      <c r="CL27" s="56">
        <f t="shared" si="4"/>
        <v>4.0427046265653199E-4</v>
      </c>
      <c r="CM27">
        <f>CJ2</f>
        <v>-0.122780401193907</v>
      </c>
      <c r="CN27" t="s">
        <v>14</v>
      </c>
      <c r="CO27">
        <f>_xlfn.COVARIANCE.S(CI4:CI123,CJ4:CJ123)</f>
        <v>5.9895428933853539E-5</v>
      </c>
      <c r="CP27">
        <f>_xlfn.VAR.S(CJ4:CJ123)</f>
        <v>2.0509821418509009E-4</v>
      </c>
      <c r="CQ27">
        <f>_xlfn.COVARIANCE.S(CJ4:CJ123,CK4:CK123)</f>
        <v>3.6469526602740719E-4</v>
      </c>
      <c r="CR27">
        <f>_xlfn.COVARIANCE.S(CJ4:CJ123,CL4:CL123)</f>
        <v>-1.045115819046244E-6</v>
      </c>
    </row>
    <row r="28" spans="1:100" x14ac:dyDescent="0.2">
      <c r="A28" s="1">
        <v>38748</v>
      </c>
      <c r="B28" s="38">
        <f>Data!B26</f>
        <v>3.2189263424655667E-3</v>
      </c>
      <c r="C28" s="38">
        <f>Data!C26</f>
        <v>3.2058189655172598E-2</v>
      </c>
      <c r="D28" s="38">
        <f>Data!D26</f>
        <v>0.11698566078338057</v>
      </c>
      <c r="E28" s="38">
        <f>Data!E26</f>
        <v>2.4009993160515331E-2</v>
      </c>
      <c r="F28" s="38">
        <f>Data!F26</f>
        <v>1.0316492681061717E-3</v>
      </c>
      <c r="G28" s="38">
        <f t="shared" si="5"/>
        <v>1.5674573759109064E-2</v>
      </c>
      <c r="H28" s="38"/>
      <c r="I28" s="38"/>
      <c r="J28" s="38"/>
      <c r="K28" s="38"/>
      <c r="W28" s="60">
        <v>5.6540070755950501E-5</v>
      </c>
      <c r="X28" s="60">
        <v>1.1974165523548101E-2</v>
      </c>
      <c r="Y28" s="60">
        <v>1.5792999503792701E-2</v>
      </c>
      <c r="Z28" s="56">
        <f t="shared" si="0"/>
        <v>3.6599443251781913E-3</v>
      </c>
      <c r="AA28">
        <f>AC22</f>
        <v>-6.9793960000000002E-2</v>
      </c>
      <c r="AB28" t="s">
        <v>128</v>
      </c>
      <c r="AC28">
        <f>_xlfn.COVARIANCE.S(W4:W123,Y4:Y123)</f>
        <v>-1.9878478924989346E-5</v>
      </c>
      <c r="AD28">
        <f>_xlfn.COVARIANCE.S(Y4:Y123,X4:X123)</f>
        <v>4.2109376842566602E-4</v>
      </c>
      <c r="AE28">
        <f>_xlfn.VAR.S(Y4:Y123)</f>
        <v>8.3611769303901771E-4</v>
      </c>
      <c r="AF28">
        <f>_xlfn.COVARIANCE.S(Y4:Y123, Z4:Z123)</f>
        <v>-7.1775970698485389E-6</v>
      </c>
      <c r="AM28">
        <v>1.75559117995185E-2</v>
      </c>
      <c r="AN28">
        <v>-2.1283242067911198E-2</v>
      </c>
      <c r="AO28">
        <v>6.3194492052989701E-2</v>
      </c>
      <c r="AP28" s="56">
        <f t="shared" si="1"/>
        <v>1.1343120831776986E-2</v>
      </c>
      <c r="AQ28">
        <f>AO2</f>
        <v>0.17417432645952199</v>
      </c>
      <c r="AR28" t="s">
        <v>146</v>
      </c>
      <c r="AS28">
        <f>_xlfn.COVARIANCE.S(AM4:AM123,AO4:AO123)</f>
        <v>4.6522194306655934E-4</v>
      </c>
      <c r="AT28">
        <f>_xlfn.COVARIANCE.S(AN4:AN123,AO4:AO123)</f>
        <v>-1.5426569665196682E-5</v>
      </c>
      <c r="AU28">
        <f>_xlfn.VAR.S(AO4:AO123)</f>
        <v>5.6986314141481431E-4</v>
      </c>
      <c r="AV28">
        <f>_xlfn.COVARIANCE.S(AO4:AO123,AP4:AP123)</f>
        <v>-2.8565829177035715E-6</v>
      </c>
      <c r="BC28">
        <v>1.8495043068421899E-2</v>
      </c>
      <c r="BD28">
        <v>3.3220002740831603E-2</v>
      </c>
      <c r="BE28" s="56">
        <f t="shared" si="2"/>
        <v>5.9760598783984362E-2</v>
      </c>
      <c r="BR28">
        <v>0.10038684719535799</v>
      </c>
      <c r="BS28">
        <v>2.8360008065332301E-2</v>
      </c>
      <c r="BT28">
        <v>6.3700025238666597E-3</v>
      </c>
      <c r="BU28">
        <v>1.30424709052157E-2</v>
      </c>
      <c r="BV28" s="56">
        <f t="shared" si="3"/>
        <v>9.4885559963535024E-4</v>
      </c>
      <c r="BW28">
        <f>BS2</f>
        <v>0.31472457422392902</v>
      </c>
      <c r="BX28" t="s">
        <v>13</v>
      </c>
      <c r="BY28">
        <f>_xlfn.COVARIANCE.S(BR4:BR123,BS4:BS123)</f>
        <v>2.0984358482601276E-4</v>
      </c>
      <c r="BZ28">
        <f>_xlfn.VAR.S(BS4:BS123)</f>
        <v>2.3778375757623347E-4</v>
      </c>
      <c r="CA28">
        <f>_xlfn.COVARIANCE.S(BS4:BS123,BT4:BT123)</f>
        <v>4.606475956876853E-5</v>
      </c>
      <c r="CB28">
        <f>_xlfn.COVARIANCE.S(BS4:BS123,BU4:BU123)</f>
        <v>-8.5967102528840058E-5</v>
      </c>
      <c r="CC28">
        <f>_xlfn.COVARIANCE.S(BS4:BS123,BV4:BV123)</f>
        <v>1.1301252812442289E-6</v>
      </c>
      <c r="CI28">
        <v>7.8054041780206695E-4</v>
      </c>
      <c r="CJ28">
        <v>2.1990005541465699E-2</v>
      </c>
      <c r="CK28">
        <v>1.5849539574548599E-2</v>
      </c>
      <c r="CL28" s="56">
        <f t="shared" si="4"/>
        <v>5.1847224264197278E-4</v>
      </c>
      <c r="CM28">
        <f>CK2</f>
        <v>0.15794486020787299</v>
      </c>
      <c r="CN28" t="s">
        <v>17</v>
      </c>
      <c r="CO28">
        <f>_xlfn.COVARIANCE.S(CI4:CI123,CK4:CK123)</f>
        <v>1.6375940033836776E-4</v>
      </c>
      <c r="CP28">
        <f>_xlfn.COVARIANCE.S(CJ4:CJ123,CK4:CK123)</f>
        <v>3.6469526602740719E-4</v>
      </c>
      <c r="CQ28">
        <f>_xlfn.VAR.S(CK4:CK123)</f>
        <v>8.9115132633258809E-4</v>
      </c>
      <c r="CR28">
        <f>_xlfn.COVARIANCE.S(CK4:CK123,CL4:CL123)</f>
        <v>-6.9716010362074369E-6</v>
      </c>
    </row>
    <row r="29" spans="1:100" x14ac:dyDescent="0.2">
      <c r="A29" s="1">
        <v>38776</v>
      </c>
      <c r="B29" s="38">
        <f>Data!B27</f>
        <v>4.6599199811721004E-3</v>
      </c>
      <c r="C29" s="38">
        <f>Data!C27</f>
        <v>-9.1359958235448513E-3</v>
      </c>
      <c r="D29" s="38">
        <f>Data!D27</f>
        <v>-1.78204909711982E-2</v>
      </c>
      <c r="E29" s="38">
        <f>Data!E27</f>
        <v>-4.7199913832056684E-3</v>
      </c>
      <c r="F29" s="38">
        <f>Data!F27</f>
        <v>-2.9115858052984889E-3</v>
      </c>
      <c r="G29" s="38">
        <f t="shared" si="5"/>
        <v>-1.3876508989170177E-3</v>
      </c>
      <c r="H29" s="38"/>
      <c r="I29" s="38"/>
      <c r="J29" s="38"/>
      <c r="K29" s="38"/>
      <c r="W29" s="60">
        <v>3.3195221826463101E-3</v>
      </c>
      <c r="X29" s="60">
        <v>2.22247324277767E-2</v>
      </c>
      <c r="Y29" s="60">
        <v>3.0028342558992001E-3</v>
      </c>
      <c r="Z29" s="56">
        <f t="shared" si="0"/>
        <v>1.7308050381340196E-3</v>
      </c>
      <c r="AA29">
        <v>1</v>
      </c>
      <c r="AB29" t="s">
        <v>175</v>
      </c>
      <c r="AC29">
        <f>_xlfn.COVARIANCE.S(Z4:Z123,W4:W123)</f>
        <v>2.059980179790718E-7</v>
      </c>
      <c r="AD29">
        <f>_xlfn.COVARIANCE.S(X4:X123,Z4:Z123)</f>
        <v>-2.3274697968547044E-6</v>
      </c>
      <c r="AE29">
        <f>_xlfn.COVARIANCE.S(Y4:Y123, Z4:Z123)</f>
        <v>-7.1775970698485389E-6</v>
      </c>
      <c r="AF29">
        <f>_xlfn.VAR.S(Z4:Z123)</f>
        <v>9.427269378640074E-6</v>
      </c>
      <c r="AM29">
        <v>-1.5890373835297799E-3</v>
      </c>
      <c r="AN29">
        <v>-7.6931104759693199E-3</v>
      </c>
      <c r="AO29">
        <v>-5.4668283774368404E-3</v>
      </c>
      <c r="AP29" s="56">
        <f t="shared" si="1"/>
        <v>-2.9556381322921044E-3</v>
      </c>
      <c r="AQ29">
        <f>AP2</f>
        <v>1</v>
      </c>
      <c r="AR29" t="s">
        <v>175</v>
      </c>
      <c r="AS29">
        <f>_xlfn.COVARIANCE.S(AM4:AM123,AP4:AP123)</f>
        <v>-6.7123315220213129E-6</v>
      </c>
      <c r="AT29">
        <f>_xlfn.COVARIANCE.S(AN4:AN123,AP4:AP123)</f>
        <v>-2.6322735066732256E-6</v>
      </c>
      <c r="AU29">
        <f>_xlfn.COVARIANCE.S(AO4:AO123,AP4:AP123)</f>
        <v>-2.8565829177035715E-6</v>
      </c>
      <c r="AV29">
        <f>_xlfn.VAR.S(AP4:AP123)</f>
        <v>2.9124631118722784E-4</v>
      </c>
      <c r="BC29">
        <v>-6.2602923342056499E-2</v>
      </c>
      <c r="BD29">
        <v>9.6500029984780706E-3</v>
      </c>
      <c r="BE29" s="56">
        <f t="shared" si="2"/>
        <v>1.2283739944399276E-2</v>
      </c>
      <c r="BG29" t="s">
        <v>176</v>
      </c>
      <c r="BI29" s="62">
        <f>MMULT(MMULT(BC2:BE2,BH25:BJ27),BF25:BF27)</f>
        <v>5.1920819931654139E-3</v>
      </c>
      <c r="BR29">
        <v>-1.29196695377044E-2</v>
      </c>
      <c r="BS29">
        <v>3.4699830436075701E-3</v>
      </c>
      <c r="BT29">
        <v>-2.7600065209820702E-3</v>
      </c>
      <c r="BU29">
        <v>-2.51371649493093E-3</v>
      </c>
      <c r="BV29" s="56">
        <f t="shared" si="3"/>
        <v>-2.500856889514022E-3</v>
      </c>
      <c r="BW29">
        <f>BT2</f>
        <v>0.75331524631995705</v>
      </c>
      <c r="BX29" t="s">
        <v>153</v>
      </c>
      <c r="BY29">
        <f>_xlfn.COVARIANCE.S(BR4:BR123,BT4:BT123)</f>
        <v>3.5502363632248837E-5</v>
      </c>
      <c r="BZ29">
        <f>_xlfn.COVARIANCE.S(BS4:BS123,BT4:BT123)</f>
        <v>4.606475956876853E-5</v>
      </c>
      <c r="CA29">
        <f>_xlfn.VAR.S(BT4:BT123)</f>
        <v>5.9443975746393887E-5</v>
      </c>
      <c r="CB29">
        <f>_xlfn.COVARIANCE.S(BT4:BT123,BU4:BU123)</f>
        <v>2.6808181092499864E-5</v>
      </c>
      <c r="CC29">
        <f>_xlfn.COVARIANCE.S(BT4:BT123,BV4:BV123)</f>
        <v>2.1752411002902464E-6</v>
      </c>
      <c r="CI29">
        <v>-3.4033381074605202E-3</v>
      </c>
      <c r="CJ29">
        <v>6.2299895645896398E-3</v>
      </c>
      <c r="CK29">
        <v>6.3223564385455101E-3</v>
      </c>
      <c r="CL29" s="56">
        <f t="shared" si="4"/>
        <v>-5.0506285341523488E-5</v>
      </c>
      <c r="CM29">
        <f>CL2</f>
        <v>1</v>
      </c>
      <c r="CN29" t="s">
        <v>175</v>
      </c>
      <c r="CO29">
        <f>_xlfn.COVARIANCE.S(CI4:CI123,CL4:CL123)</f>
        <v>3.2955124120871896E-7</v>
      </c>
      <c r="CP29">
        <f>_xlfn.COVARIANCE.S(CJ4:CJ123,CL4:CL123)</f>
        <v>-1.045115819046244E-6</v>
      </c>
      <c r="CQ29">
        <f>_xlfn.COVARIANCE.S(CK4:CK123,CL4:CL123)</f>
        <v>-6.9716010362074369E-6</v>
      </c>
      <c r="CR29">
        <f>_xlfn.VAR.S(CL4:CL123)</f>
        <v>1.4413188866252609E-5</v>
      </c>
    </row>
    <row r="30" spans="1:100" x14ac:dyDescent="0.2">
      <c r="A30" s="1">
        <v>38807</v>
      </c>
      <c r="B30" s="38">
        <f>Data!B28</f>
        <v>-8.480134932533856E-3</v>
      </c>
      <c r="C30" s="38">
        <f>Data!C28</f>
        <v>1.8177028451000998E-2</v>
      </c>
      <c r="D30" s="38">
        <f>Data!D28</f>
        <v>7.6038083167360826E-2</v>
      </c>
      <c r="E30" s="38">
        <f>Data!E28</f>
        <v>1.1469992218373193E-2</v>
      </c>
      <c r="F30" s="38">
        <f>Data!F28</f>
        <v>-1.6747137735630857E-2</v>
      </c>
      <c r="G30" s="38">
        <f t="shared" si="5"/>
        <v>7.9523994747094122E-4</v>
      </c>
      <c r="H30" s="38"/>
      <c r="I30" s="38"/>
      <c r="J30" s="38"/>
      <c r="K30" s="38"/>
      <c r="W30" s="60">
        <v>-9.8129185986605104E-3</v>
      </c>
      <c r="X30" s="60">
        <v>-1.89789491132107E-2</v>
      </c>
      <c r="Y30" s="60">
        <v>1.6063403223981101E-2</v>
      </c>
      <c r="Z30" s="56">
        <f t="shared" si="0"/>
        <v>-5.2944459847629674E-4</v>
      </c>
      <c r="AM30">
        <v>1.4765655520604199E-2</v>
      </c>
      <c r="AN30">
        <v>1.2187249222725999E-3</v>
      </c>
      <c r="AO30">
        <v>3.6069976843303299E-2</v>
      </c>
      <c r="AP30" s="56">
        <f t="shared" si="1"/>
        <v>-4.9154458547406646E-3</v>
      </c>
      <c r="BC30">
        <v>2.2241968650842402E-2</v>
      </c>
      <c r="BD30">
        <v>2.4759997125974199E-2</v>
      </c>
      <c r="BE30" s="56">
        <f t="shared" si="2"/>
        <v>2.7572838261698707E-2</v>
      </c>
      <c r="BG30" t="s">
        <v>177</v>
      </c>
      <c r="BI30">
        <f>SQRT(BI29)</f>
        <v>7.2056103094501403E-2</v>
      </c>
      <c r="BR30">
        <v>3.9355355711868899E-2</v>
      </c>
      <c r="BS30">
        <v>1.66100142039807E-2</v>
      </c>
      <c r="BT30">
        <v>3.2700063212793801E-3</v>
      </c>
      <c r="BU30">
        <v>1.30129253872475E-2</v>
      </c>
      <c r="BV30" s="56">
        <f t="shared" si="3"/>
        <v>-1.6906626638553933E-4</v>
      </c>
      <c r="BW30">
        <f>BU2</f>
        <v>3.6420311862406698E-2</v>
      </c>
      <c r="BX30" t="s">
        <v>154</v>
      </c>
      <c r="BY30">
        <f>_xlfn.COVARIANCE.S(BR4:BR123,BU4:BU123)</f>
        <v>1.4366107696779995E-4</v>
      </c>
      <c r="BZ30">
        <f>_xlfn.COVARIANCE.S(BS4:BS123,BU4:BU123)</f>
        <v>-8.5967102528840058E-5</v>
      </c>
      <c r="CA30">
        <f>_xlfn.COVARIANCE.S(BT4:BT123,BU4:BU123)</f>
        <v>2.6808181092499864E-5</v>
      </c>
      <c r="CB30">
        <f>_xlfn.VAR.S(BU4:BU123)</f>
        <v>5.9806716150103681E-4</v>
      </c>
      <c r="CC30">
        <f>_xlfn.COVARIANCE.S(BU4:BU123,BV4:BV123)</f>
        <v>4.2906245725498724E-6</v>
      </c>
      <c r="CI30">
        <v>-2.0532449238037001E-2</v>
      </c>
      <c r="CJ30">
        <v>1.33400078827013E-2</v>
      </c>
      <c r="CK30">
        <v>6.2504846253206301E-3</v>
      </c>
      <c r="CL30" s="56">
        <f t="shared" si="4"/>
        <v>2.5742044257040381E-3</v>
      </c>
    </row>
    <row r="31" spans="1:100" x14ac:dyDescent="0.2">
      <c r="A31" s="1">
        <v>38835</v>
      </c>
      <c r="B31" s="38">
        <f>Data!B29</f>
        <v>5.5127659909448568E-5</v>
      </c>
      <c r="C31" s="38">
        <f>Data!C29</f>
        <v>-1.1384217335058122E-2</v>
      </c>
      <c r="D31" s="38">
        <f>Data!D29</f>
        <v>0.22182414762569147</v>
      </c>
      <c r="E31" s="38">
        <f>Data!E29</f>
        <v>2.7640000711400159E-2</v>
      </c>
      <c r="F31" s="38">
        <f>Data!F29</f>
        <v>2.5581651780792747E-3</v>
      </c>
      <c r="G31" s="38">
        <f t="shared" si="5"/>
        <v>1.7825161452258168E-2</v>
      </c>
      <c r="H31" s="38"/>
      <c r="I31" s="38"/>
      <c r="J31" s="38"/>
      <c r="K31" s="38"/>
      <c r="W31" s="60">
        <v>-1.8129344335596799E-3</v>
      </c>
      <c r="X31" s="60">
        <v>-8.44808650840578E-4</v>
      </c>
      <c r="Y31" s="60">
        <v>8.2388531200333608E-3</v>
      </c>
      <c r="Z31" s="56">
        <f t="shared" si="0"/>
        <v>1.7524062861953354E-3</v>
      </c>
      <c r="AB31" t="s">
        <v>176</v>
      </c>
      <c r="AD31" s="62">
        <f>MMULT(MMULT(W2:Z2,AC26:AF29),AA26:AA29)</f>
        <v>5.8622010285929886E-5</v>
      </c>
      <c r="AM31">
        <v>-1.3600246009989299E-3</v>
      </c>
      <c r="AN31">
        <v>-2.67715401020675E-2</v>
      </c>
      <c r="AO31">
        <v>-1.3590947316672E-2</v>
      </c>
      <c r="AP31" s="56">
        <f t="shared" si="1"/>
        <v>4.5852756091892821E-3</v>
      </c>
      <c r="AR31" t="s">
        <v>176</v>
      </c>
      <c r="AT31" s="62">
        <f>MMULT(MMULT(AM2:AP2,AS26:AV29),AQ26:AQ29)</f>
        <v>2.8912990965992108E-3</v>
      </c>
      <c r="BC31">
        <v>6.7798585878097603E-2</v>
      </c>
      <c r="BD31">
        <v>1.6289995721916899E-2</v>
      </c>
      <c r="BE31" s="56">
        <f t="shared" si="2"/>
        <v>0.15339148776799574</v>
      </c>
      <c r="BR31">
        <v>0.121254176304292</v>
      </c>
      <c r="BS31">
        <v>1.7169992265817498E-2</v>
      </c>
      <c r="BT31">
        <v>6.0199914344778501E-3</v>
      </c>
      <c r="BU31">
        <v>4.1719547542262703E-3</v>
      </c>
      <c r="BV31" s="56">
        <f t="shared" si="3"/>
        <v>6.8452529340414375E-3</v>
      </c>
      <c r="BW31">
        <f>BV2</f>
        <v>1</v>
      </c>
      <c r="BX31" t="s">
        <v>175</v>
      </c>
      <c r="BY31">
        <f>_xlfn.COVARIANCE.S(BR4:BR123,BV4:BV123)</f>
        <v>8.1990546821011753E-6</v>
      </c>
      <c r="BZ31">
        <f>_xlfn.COVARIANCE.S(BS4:BS123,BV4:BV123)</f>
        <v>1.1301252812442289E-6</v>
      </c>
      <c r="CA31">
        <f>_xlfn.COVARIANCE.S(BT4:BT123,BV4:BV123)</f>
        <v>2.1752411002902464E-6</v>
      </c>
      <c r="CB31">
        <f>_xlfn.COVARIANCE.S(BU4:BU123,BV4:BV123)</f>
        <v>4.2906245725498724E-6</v>
      </c>
      <c r="CC31">
        <f>_xlfn.VAR.S(BV4:BV123)</f>
        <v>7.0213567253584342E-5</v>
      </c>
      <c r="CI31">
        <v>1.0169097565238E-4</v>
      </c>
      <c r="CJ31">
        <v>1.11500008313397E-2</v>
      </c>
      <c r="CK31">
        <v>6.4259186864736896E-3</v>
      </c>
      <c r="CL31" s="56">
        <f t="shared" si="4"/>
        <v>2.8197557132158355E-3</v>
      </c>
      <c r="CN31" t="s">
        <v>176</v>
      </c>
      <c r="CP31" s="62">
        <f>MMULT(MMULT(CI2:CL2,CO26:CR29),CM26:CM29)</f>
        <v>4.2403452982928645E-4</v>
      </c>
    </row>
    <row r="32" spans="1:100" x14ac:dyDescent="0.2">
      <c r="A32" s="1">
        <v>38868</v>
      </c>
      <c r="B32" s="38">
        <f>Data!B30</f>
        <v>-1.897861952198987E-3</v>
      </c>
      <c r="C32" s="38">
        <f>Data!C30</f>
        <v>-7.0923841926197384E-2</v>
      </c>
      <c r="D32" s="38">
        <f>Data!D30</f>
        <v>8.8305502955184467E-2</v>
      </c>
      <c r="E32" s="38">
        <f>Data!E30</f>
        <v>-1.3640000732359936E-2</v>
      </c>
      <c r="F32" s="38">
        <f>Data!F30</f>
        <v>2.2510136893894028E-3</v>
      </c>
      <c r="G32" s="38">
        <f t="shared" si="5"/>
        <v>-4.1472359998876961E-3</v>
      </c>
      <c r="H32" s="38"/>
      <c r="I32" s="38"/>
      <c r="J32" s="38"/>
      <c r="K32" s="38"/>
      <c r="W32" s="60">
        <v>-1.0669316349300999E-3</v>
      </c>
      <c r="X32" s="60">
        <v>-2.0489839632479301E-2</v>
      </c>
      <c r="Y32" s="60">
        <v>4.3572578899297998E-4</v>
      </c>
      <c r="Z32" s="56">
        <f t="shared" si="0"/>
        <v>-1.5908683358618978E-4</v>
      </c>
      <c r="AB32" t="s">
        <v>177</v>
      </c>
      <c r="AD32">
        <f>SQRT(AD31)</f>
        <v>7.6565011778180958E-3</v>
      </c>
      <c r="AM32">
        <v>-3.3895547634328602E-2</v>
      </c>
      <c r="AN32">
        <v>-8.6361784064806803E-3</v>
      </c>
      <c r="AO32">
        <v>-2.7378886812217101E-2</v>
      </c>
      <c r="AP32" s="56">
        <f t="shared" si="1"/>
        <v>-2.4926762854968851E-2</v>
      </c>
      <c r="AR32" t="s">
        <v>177</v>
      </c>
      <c r="AT32">
        <f>SQRT(AT31)</f>
        <v>5.3770801524611951E-2</v>
      </c>
      <c r="BC32">
        <v>9.5660201987437504E-3</v>
      </c>
      <c r="BD32">
        <v>-5.4199986073308901E-3</v>
      </c>
      <c r="BE32" s="56">
        <f t="shared" si="2"/>
        <v>8.8991897498691463E-2</v>
      </c>
      <c r="BG32" t="s">
        <v>170</v>
      </c>
      <c r="BR32">
        <v>-1.40888114666421E-2</v>
      </c>
      <c r="BS32">
        <v>-1.9659986305596001E-2</v>
      </c>
      <c r="BT32">
        <v>-2.16999772446127E-2</v>
      </c>
      <c r="BU32">
        <v>5.5513250984435799E-3</v>
      </c>
      <c r="BV32" s="56">
        <f t="shared" si="3"/>
        <v>9.9359500025315538E-3</v>
      </c>
      <c r="CI32">
        <v>2.1352933486338301E-3</v>
      </c>
      <c r="CJ32">
        <v>2.03999093901675E-3</v>
      </c>
      <c r="CK32">
        <v>-6.3120584593712203E-4</v>
      </c>
      <c r="CL32" s="56">
        <f t="shared" si="4"/>
        <v>6.5950332172750171E-4</v>
      </c>
      <c r="CN32" t="s">
        <v>177</v>
      </c>
      <c r="CP32">
        <f>SQRT(CP31)</f>
        <v>2.0592098723279433E-2</v>
      </c>
    </row>
    <row r="33" spans="1:97" x14ac:dyDescent="0.2">
      <c r="A33" s="1">
        <v>38898</v>
      </c>
      <c r="B33" s="38">
        <f>Data!B31</f>
        <v>1.9330303604114807E-3</v>
      </c>
      <c r="C33" s="38">
        <f>Data!C31</f>
        <v>-1.6478873239436642E-2</v>
      </c>
      <c r="D33" s="38">
        <f>Data!D31</f>
        <v>-5.1785045792712148E-2</v>
      </c>
      <c r="E33" s="38">
        <f>Data!E31</f>
        <v>-4.839994333079245E-3</v>
      </c>
      <c r="F33" s="38">
        <f>Data!F31</f>
        <v>4.1114931597046045E-3</v>
      </c>
      <c r="G33" s="38">
        <f t="shared" si="5"/>
        <v>-3.3103888109951708E-3</v>
      </c>
      <c r="H33" s="38"/>
      <c r="I33" s="38"/>
      <c r="J33" s="38"/>
      <c r="K33" s="38"/>
      <c r="W33" s="60">
        <v>2.1198359573098E-3</v>
      </c>
      <c r="X33" s="60">
        <v>-5.75473326812626E-5</v>
      </c>
      <c r="Y33" s="60">
        <v>-5.9113317201404704E-3</v>
      </c>
      <c r="Z33" s="56">
        <f t="shared" si="0"/>
        <v>2.6301057644010587E-4</v>
      </c>
      <c r="AM33">
        <v>-3.9456266437060102E-3</v>
      </c>
      <c r="AN33">
        <v>-1.0341834374350999E-2</v>
      </c>
      <c r="AO33">
        <v>5.0737944709020599E-3</v>
      </c>
      <c r="AP33" s="56">
        <f t="shared" si="1"/>
        <v>-8.3418826344597609E-3</v>
      </c>
      <c r="BC33">
        <v>-1.55369020733376E-2</v>
      </c>
      <c r="BD33">
        <v>-1.1599962117382399E-3</v>
      </c>
      <c r="BE33" s="56">
        <f t="shared" si="2"/>
        <v>-3.9550468197584641E-2</v>
      </c>
      <c r="BH33" t="s">
        <v>151</v>
      </c>
      <c r="BI33" t="s">
        <v>12</v>
      </c>
      <c r="BJ33" t="s">
        <v>175</v>
      </c>
      <c r="BR33">
        <v>-4.5489770613763303E-2</v>
      </c>
      <c r="BS33">
        <v>-6.2600113383721699E-3</v>
      </c>
      <c r="BT33">
        <v>-1.1780019686965499E-2</v>
      </c>
      <c r="BU33">
        <v>-6.7056015019577603E-3</v>
      </c>
      <c r="BV33" s="56">
        <f t="shared" si="3"/>
        <v>1.0264203765856966E-2</v>
      </c>
      <c r="BX33" t="s">
        <v>176</v>
      </c>
      <c r="BZ33" s="62">
        <f>MMULT(MMULT(BR2:BV2,BY27:CC31),BW27:BW31)</f>
        <v>1.9659456657905808E-4</v>
      </c>
      <c r="CI33">
        <v>3.5947238730251701E-3</v>
      </c>
      <c r="CJ33">
        <v>5.5200083485933398E-3</v>
      </c>
      <c r="CK33">
        <v>-3.7914957628306699E-3</v>
      </c>
      <c r="CL33" s="56">
        <f t="shared" si="4"/>
        <v>2.1193146779995582E-3</v>
      </c>
    </row>
    <row r="34" spans="1:97" x14ac:dyDescent="0.2">
      <c r="A34" s="1">
        <v>38929</v>
      </c>
      <c r="B34" s="38">
        <f>Data!B32</f>
        <v>1.4324075313609796E-2</v>
      </c>
      <c r="C34" s="38">
        <f>Data!C32</f>
        <v>-3.7806100529858222E-2</v>
      </c>
      <c r="D34" s="38">
        <f>Data!D32</f>
        <v>6.4177382359074109E-2</v>
      </c>
      <c r="E34" s="38">
        <f>Data!E32</f>
        <v>-2.5999997582957235E-3</v>
      </c>
      <c r="F34" s="38">
        <f>Data!F32</f>
        <v>1.4702882289511221E-2</v>
      </c>
      <c r="G34" s="38">
        <f t="shared" si="5"/>
        <v>9.1473386723389637E-3</v>
      </c>
      <c r="H34" s="38"/>
      <c r="I34" s="38"/>
      <c r="J34" s="38"/>
      <c r="K34" s="38"/>
      <c r="W34" s="60">
        <v>1.3521979318368699E-2</v>
      </c>
      <c r="X34" s="60">
        <v>3.2717541436464E-2</v>
      </c>
      <c r="Y34" s="60">
        <v>-2.8526315591568302E-3</v>
      </c>
      <c r="Z34" s="56">
        <f t="shared" si="0"/>
        <v>4.3698978462252663E-3</v>
      </c>
      <c r="AB34" t="s">
        <v>170</v>
      </c>
      <c r="AM34">
        <v>-1.90462259275948E-2</v>
      </c>
      <c r="AN34">
        <v>-4.3349556362262599E-2</v>
      </c>
      <c r="AO34">
        <v>-3.8707189226529701E-2</v>
      </c>
      <c r="AP34" s="56">
        <f t="shared" si="1"/>
        <v>9.5086103067959504E-3</v>
      </c>
      <c r="AR34" t="s">
        <v>170</v>
      </c>
      <c r="BC34">
        <v>3.2100849829908497E-2</v>
      </c>
      <c r="BD34">
        <v>-4.3700025114713501E-3</v>
      </c>
      <c r="BE34" s="56">
        <f t="shared" si="2"/>
        <v>4.7966104733520198E-2</v>
      </c>
      <c r="BG34" t="s">
        <v>171</v>
      </c>
      <c r="BH34">
        <f>BC2*BF25*BH25</f>
        <v>1.2816290110102657E-3</v>
      </c>
      <c r="BI34">
        <f>BD2*BF25*BI25</f>
        <v>5.4144253468403321E-4</v>
      </c>
      <c r="BJ34">
        <f>BE2*BF25*BJ25</f>
        <v>2.3950808689593002E-6</v>
      </c>
      <c r="BR34">
        <v>3.3936835268328303E-2</v>
      </c>
      <c r="BS34">
        <v>-2.2099992923791901E-3</v>
      </c>
      <c r="BT34">
        <v>-6.3899906906006399E-3</v>
      </c>
      <c r="BU34">
        <v>-1.1588534564024901E-2</v>
      </c>
      <c r="BV34" s="56">
        <f t="shared" si="3"/>
        <v>3.3541262878850368E-4</v>
      </c>
      <c r="BX34" t="s">
        <v>177</v>
      </c>
      <c r="BZ34">
        <f>SQRT(BZ33)</f>
        <v>1.4021218441314509E-2</v>
      </c>
      <c r="CI34">
        <v>1.6696033969785501E-2</v>
      </c>
      <c r="CJ34">
        <v>4.1799913982214498E-3</v>
      </c>
      <c r="CK34">
        <v>1.0669347759211901E-2</v>
      </c>
      <c r="CL34" s="56">
        <f t="shared" si="4"/>
        <v>-1.6511971194763733E-3</v>
      </c>
      <c r="CN34" t="s">
        <v>170</v>
      </c>
    </row>
    <row r="35" spans="1:97" x14ac:dyDescent="0.2">
      <c r="A35" s="1">
        <v>38960</v>
      </c>
      <c r="B35" s="38">
        <f>Data!B33</f>
        <v>1.4533258803800964E-2</v>
      </c>
      <c r="C35" s="38">
        <f>Data!C33</f>
        <v>8.3792230986753813E-2</v>
      </c>
      <c r="D35" s="38">
        <f>Data!D33</f>
        <v>1.4740384263686179E-2</v>
      </c>
      <c r="E35" s="38">
        <f>Data!E33</f>
        <v>2.3199960805679876E-3</v>
      </c>
      <c r="F35" s="38">
        <f>Data!F33</f>
        <v>1.6141308250161579E-2</v>
      </c>
      <c r="G35" s="38">
        <f t="shared" si="5"/>
        <v>1.6919910215906837E-2</v>
      </c>
      <c r="H35" s="38"/>
      <c r="I35" s="38"/>
      <c r="J35" s="38"/>
      <c r="K35" s="38"/>
      <c r="W35" s="60">
        <v>1.5308293129329799E-2</v>
      </c>
      <c r="X35" s="60">
        <v>2.60246872300707E-2</v>
      </c>
      <c r="Y35" s="60">
        <v>8.7198764067197799E-4</v>
      </c>
      <c r="Z35" s="56">
        <f t="shared" si="0"/>
        <v>4.1276918458696167E-3</v>
      </c>
      <c r="AC35" t="s">
        <v>7</v>
      </c>
      <c r="AD35" t="s">
        <v>15</v>
      </c>
      <c r="AE35" t="s">
        <v>128</v>
      </c>
      <c r="AF35" t="s">
        <v>175</v>
      </c>
      <c r="AM35">
        <v>3.1199326197662601E-2</v>
      </c>
      <c r="AN35">
        <v>1.4460504500759501E-2</v>
      </c>
      <c r="AO35">
        <v>5.8143468033713397E-3</v>
      </c>
      <c r="AP35" s="56">
        <f t="shared" si="1"/>
        <v>4.1886577977169326E-2</v>
      </c>
      <c r="AS35" t="s">
        <v>25</v>
      </c>
      <c r="AT35" t="s">
        <v>145</v>
      </c>
      <c r="AU35" t="s">
        <v>146</v>
      </c>
      <c r="AV35" t="s">
        <v>175</v>
      </c>
      <c r="BC35">
        <v>-3.6037350895916601E-2</v>
      </c>
      <c r="BD35">
        <v>1.0550003534475201E-2</v>
      </c>
      <c r="BE35" s="56">
        <f t="shared" si="2"/>
        <v>2.5377126541717629E-2</v>
      </c>
      <c r="BG35" t="s">
        <v>172</v>
      </c>
      <c r="BH35">
        <f>BC2*BF26*BH26</f>
        <v>5.4144253468403321E-4</v>
      </c>
      <c r="BI35">
        <f>BD2*BF26*BI26</f>
        <v>6.5454805331581684E-4</v>
      </c>
      <c r="BJ35">
        <f>BE2*BF26*BJ26</f>
        <v>-1.2954139031337953E-6</v>
      </c>
      <c r="BR35">
        <v>-1.4840989399293399E-2</v>
      </c>
      <c r="BS35">
        <v>8.1299984132738902E-3</v>
      </c>
      <c r="BT35">
        <v>1.0199931029595301E-3</v>
      </c>
      <c r="BU35">
        <v>-1.349298767459E-2</v>
      </c>
      <c r="BV35" s="56">
        <f t="shared" si="3"/>
        <v>7.9445596096921209E-4</v>
      </c>
      <c r="CI35">
        <v>1.8765803903741701E-2</v>
      </c>
      <c r="CJ35">
        <v>7.1100053103143601E-3</v>
      </c>
      <c r="CK35">
        <v>1.61802807700018E-2</v>
      </c>
      <c r="CL35" s="56">
        <f t="shared" si="4"/>
        <v>-2.6055412908414025E-3</v>
      </c>
      <c r="CO35" t="s">
        <v>16</v>
      </c>
      <c r="CP35" t="s">
        <v>14</v>
      </c>
      <c r="CQ35" t="s">
        <v>17</v>
      </c>
      <c r="CR35" t="s">
        <v>175</v>
      </c>
    </row>
    <row r="36" spans="1:97" x14ac:dyDescent="0.2">
      <c r="A36" s="1">
        <v>38989</v>
      </c>
      <c r="B36" s="38">
        <f>Data!B34</f>
        <v>6.9941842669116738E-3</v>
      </c>
      <c r="C36" s="38">
        <f>Data!C34</f>
        <v>4.0098873935731971E-2</v>
      </c>
      <c r="D36" s="38">
        <f>Data!D34</f>
        <v>1.2227085478887734E-2</v>
      </c>
      <c r="E36" s="38">
        <f>Data!E34</f>
        <v>-7.6000033023650992E-3</v>
      </c>
      <c r="F36" s="38">
        <f>Data!F34</f>
        <v>3.1444763210333182E-3</v>
      </c>
      <c r="G36" s="38">
        <f t="shared" si="5"/>
        <v>5.2873730552363933E-3</v>
      </c>
      <c r="H36" s="38"/>
      <c r="I36" s="38"/>
      <c r="J36" s="38"/>
      <c r="K36" s="38"/>
      <c r="W36" s="60">
        <v>8.7839974699557306E-3</v>
      </c>
      <c r="X36" s="60">
        <v>5.5943296309370902E-3</v>
      </c>
      <c r="Y36" s="60">
        <v>4.36981187469154E-3</v>
      </c>
      <c r="Z36" s="56">
        <f t="shared" si="0"/>
        <v>1.7829557734446964E-3</v>
      </c>
      <c r="AB36" t="s">
        <v>171</v>
      </c>
      <c r="AC36">
        <f>W2*AA26*AC26</f>
        <v>3.351347340317763E-5</v>
      </c>
      <c r="AD36">
        <f>X2*AA26*AD26</f>
        <v>5.0958463811013322E-6</v>
      </c>
      <c r="AE36">
        <f>Y2*AA26*AE26</f>
        <v>8.2495088869305335E-7</v>
      </c>
      <c r="AF36">
        <f>Z2*AA26*AF26</f>
        <v>1.2248704195638624E-7</v>
      </c>
      <c r="AM36">
        <v>2.74785537256543E-2</v>
      </c>
      <c r="AN36">
        <v>7.5458035242990098E-3</v>
      </c>
      <c r="AO36">
        <v>-1.74447596840548E-2</v>
      </c>
      <c r="AP36" s="56">
        <f t="shared" si="1"/>
        <v>9.4679053936238232E-3</v>
      </c>
      <c r="AR36" t="s">
        <v>171</v>
      </c>
      <c r="AS36">
        <f>AM2*AQ26*AS26</f>
        <v>2.2709927092859268E-3</v>
      </c>
      <c r="AT36">
        <f>AN2*AQ26*AT26</f>
        <v>4.5283201192827033E-5</v>
      </c>
      <c r="AU36">
        <f>AO2*AQ26*AU26</f>
        <v>8.9224575947858197E-5</v>
      </c>
      <c r="AV36">
        <f>AP2*AQ26*AV26</f>
        <v>-7.3911762759584111E-6</v>
      </c>
      <c r="BC36">
        <v>-6.0212157247444199E-2</v>
      </c>
      <c r="BD36">
        <v>2.3299989251119898E-3</v>
      </c>
      <c r="BE36" s="56">
        <f t="shared" si="2"/>
        <v>5.0495897076709303E-2</v>
      </c>
      <c r="BG36" t="s">
        <v>172</v>
      </c>
      <c r="BH36">
        <f>BC2*BF27*BH27</f>
        <v>2.3950808689593002E-6</v>
      </c>
      <c r="BI36">
        <f>BD2*BF27*BI27</f>
        <v>-1.2954139031337953E-6</v>
      </c>
      <c r="BJ36">
        <f>BE2*BF27*BJ27</f>
        <v>2.1708205255396144E-3</v>
      </c>
      <c r="BK36" s="62">
        <f>SUM(BH34:BJ36)</f>
        <v>5.1920819931654148E-3</v>
      </c>
      <c r="BR36">
        <v>-4.6229874063446502E-2</v>
      </c>
      <c r="BS36">
        <v>7.4999311595447303E-4</v>
      </c>
      <c r="BT36">
        <v>-2.9499987938994602E-3</v>
      </c>
      <c r="BU36">
        <v>-2.4190310455007601E-2</v>
      </c>
      <c r="BV36" s="56">
        <f t="shared" si="3"/>
        <v>-6.516820866040874E-4</v>
      </c>
      <c r="BX36" t="s">
        <v>170</v>
      </c>
      <c r="CI36">
        <v>2.5169072021193899E-3</v>
      </c>
      <c r="CJ36">
        <v>3.6999919098539302E-3</v>
      </c>
      <c r="CK36">
        <v>1.3153809344647299E-2</v>
      </c>
      <c r="CL36" s="56">
        <f t="shared" si="4"/>
        <v>-7.6750202057161709E-4</v>
      </c>
      <c r="CN36" t="s">
        <v>171</v>
      </c>
      <c r="CO36">
        <f>CI2*CM26*CO26</f>
        <v>3.661243112674793E-4</v>
      </c>
      <c r="CP36">
        <f>CJ2*CM26*CP26</f>
        <v>-6.6871669358927305E-6</v>
      </c>
      <c r="CQ36">
        <f>CK2*CM26*CQ26</f>
        <v>2.3519667321660759E-5</v>
      </c>
      <c r="CR36">
        <f>CL2*CM26*CR26</f>
        <v>2.9966939361059408E-7</v>
      </c>
    </row>
    <row r="37" spans="1:97" x14ac:dyDescent="0.2">
      <c r="A37" s="1">
        <v>39021</v>
      </c>
      <c r="B37" s="38">
        <f>Data!B35</f>
        <v>7.249570649117798E-3</v>
      </c>
      <c r="C37" s="38">
        <f>Data!C35</f>
        <v>4.1193556905201989E-2</v>
      </c>
      <c r="D37" s="38">
        <f>Data!D35</f>
        <v>7.9672083612065681E-2</v>
      </c>
      <c r="E37" s="38">
        <f>Data!E35</f>
        <v>1.1370004912351961E-2</v>
      </c>
      <c r="F37" s="38">
        <f>Data!F35</f>
        <v>-2.1977557532595338E-3</v>
      </c>
      <c r="G37" s="38">
        <f t="shared" si="5"/>
        <v>1.2354803267665524E-2</v>
      </c>
      <c r="H37" s="38"/>
      <c r="I37" s="38"/>
      <c r="J37" s="38"/>
      <c r="K37" s="38"/>
      <c r="W37" s="60">
        <v>6.61488662993448E-3</v>
      </c>
      <c r="X37" s="60">
        <v>1.8553026006643599E-2</v>
      </c>
      <c r="Y37" s="60">
        <v>7.98696942821309E-3</v>
      </c>
      <c r="Z37" s="56">
        <f t="shared" si="0"/>
        <v>2.9013350211416758E-3</v>
      </c>
      <c r="AB37" t="s">
        <v>172</v>
      </c>
      <c r="AC37">
        <f>W2*AA27*AC27</f>
        <v>5.0958463811013322E-6</v>
      </c>
      <c r="AD37">
        <f>X2*AA27*AD27</f>
        <v>1.8447847566617374E-6</v>
      </c>
      <c r="AE37">
        <f>Y2*AA27*AE27</f>
        <v>-1.5404497884058326E-6</v>
      </c>
      <c r="AF37">
        <f>Z2*AA27*AF27</f>
        <v>-1.2199300972676452E-7</v>
      </c>
      <c r="AM37">
        <v>3.5153351092670697E-2</v>
      </c>
      <c r="AN37">
        <v>2.42028503565916E-3</v>
      </c>
      <c r="AO37">
        <v>2.4991520918881401E-2</v>
      </c>
      <c r="AP37" s="56">
        <f t="shared" si="1"/>
        <v>-2.9622034287132559E-3</v>
      </c>
      <c r="AR37" t="s">
        <v>172</v>
      </c>
      <c r="AS37">
        <f>AM2*AQ27*AS27</f>
        <v>4.5283201192827033E-5</v>
      </c>
      <c r="AT37">
        <f>AN2*AQ27*AT27</f>
        <v>6.3344327263408019E-5</v>
      </c>
      <c r="AU37">
        <f>AO2*AQ27*AU27</f>
        <v>-1.2148851949674087E-6</v>
      </c>
      <c r="AV37">
        <f>AP2*AQ27*AV27</f>
        <v>-1.190180273445462E-6</v>
      </c>
      <c r="BC37">
        <v>4.7435725313821599E-2</v>
      </c>
      <c r="BD37">
        <v>2.3289996694176401E-2</v>
      </c>
      <c r="BE37" s="56">
        <f t="shared" si="2"/>
        <v>1.585790759842845E-2</v>
      </c>
      <c r="BR37">
        <v>1.38726391442421E-2</v>
      </c>
      <c r="BS37">
        <v>1.62500185245671E-2</v>
      </c>
      <c r="BT37">
        <v>3.9800122674329402E-3</v>
      </c>
      <c r="BU37">
        <v>-1.3955950911594499E-2</v>
      </c>
      <c r="BV37" s="56">
        <f t="shared" si="3"/>
        <v>2.5411568954013114E-3</v>
      </c>
      <c r="BY37" t="s">
        <v>29</v>
      </c>
      <c r="BZ37" t="s">
        <v>13</v>
      </c>
      <c r="CA37" t="s">
        <v>153</v>
      </c>
      <c r="CB37" t="s">
        <v>154</v>
      </c>
      <c r="CC37" t="s">
        <v>175</v>
      </c>
      <c r="CI37">
        <v>-1.5995437822950999E-3</v>
      </c>
      <c r="CJ37">
        <v>1.2270006257134199E-2</v>
      </c>
      <c r="CK37">
        <v>1.4601856058147599E-2</v>
      </c>
      <c r="CL37" s="56">
        <f t="shared" si="4"/>
        <v>-1.5430214013063288E-3</v>
      </c>
      <c r="CN37" t="s">
        <v>172</v>
      </c>
      <c r="CO37">
        <f>CI2*CM27*CO27</f>
        <v>-6.6871669358927305E-6</v>
      </c>
      <c r="CP37">
        <f>CJ2*CM27*CP27</f>
        <v>3.0918610995379329E-6</v>
      </c>
      <c r="CQ37">
        <f>CK2*CM27*CQ27</f>
        <v>-7.0723650918239318E-6</v>
      </c>
      <c r="CR37">
        <f>CL2*CM27*CR27</f>
        <v>1.2831973955659655E-7</v>
      </c>
    </row>
    <row r="38" spans="1:97" x14ac:dyDescent="0.2">
      <c r="A38" s="1">
        <v>39051</v>
      </c>
      <c r="B38" s="38">
        <f>Data!B36</f>
        <v>1.1467543833177496E-2</v>
      </c>
      <c r="C38" s="38">
        <f>Data!C36</f>
        <v>3.2462591935074947E-2</v>
      </c>
      <c r="D38" s="38">
        <f>Data!D36</f>
        <v>6.8673552083529099E-3</v>
      </c>
      <c r="E38" s="38">
        <f>Data!E36</f>
        <v>2.3570003354294711E-2</v>
      </c>
      <c r="F38" s="38">
        <f>Data!F36</f>
        <v>1.1267128364783829E-2</v>
      </c>
      <c r="G38" s="38">
        <f t="shared" si="5"/>
        <v>1.5611936387585221E-2</v>
      </c>
      <c r="H38" s="38"/>
      <c r="I38" s="38"/>
      <c r="J38" s="38"/>
      <c r="K38" s="38"/>
      <c r="W38" s="60">
        <v>1.16011990501033E-2</v>
      </c>
      <c r="X38" s="60">
        <v>1.26736663484992E-2</v>
      </c>
      <c r="Y38" s="60">
        <v>4.3611621853807403E-3</v>
      </c>
      <c r="Z38" s="56">
        <f t="shared" si="0"/>
        <v>4.2095356786067449E-3</v>
      </c>
      <c r="AB38" t="s">
        <v>172</v>
      </c>
      <c r="AC38">
        <f>W2*AA28*AC28</f>
        <v>8.2495088869305335E-7</v>
      </c>
      <c r="AD38">
        <f>X2*AA28*AD28</f>
        <v>-1.5404497884058326E-6</v>
      </c>
      <c r="AE38">
        <f>Y2*AA28*AE28</f>
        <v>4.0728938746358397E-6</v>
      </c>
      <c r="AF38">
        <f>Z2*AA28*AF28</f>
        <v>5.0095292278912613E-7</v>
      </c>
      <c r="AM38">
        <v>1.9844377737549199E-2</v>
      </c>
      <c r="AN38">
        <v>-2.9841881146486201E-3</v>
      </c>
      <c r="AO38">
        <v>7.2892806854385501E-3</v>
      </c>
      <c r="AP38" s="56">
        <f t="shared" si="1"/>
        <v>1.0690966054653809E-2</v>
      </c>
      <c r="AR38" t="s">
        <v>172</v>
      </c>
      <c r="AS38">
        <f>AM2*AQ28*AS28</f>
        <v>8.9224575947858197E-5</v>
      </c>
      <c r="AT38">
        <f>AN2*AQ28*AT28</f>
        <v>-1.2148851949674087E-6</v>
      </c>
      <c r="AU38">
        <f>AO2*AQ28*AU28</f>
        <v>1.7287764881354599E-5</v>
      </c>
      <c r="AV38">
        <f>AP2*AQ28*AV28</f>
        <v>-4.9754340566679568E-7</v>
      </c>
      <c r="BC38">
        <v>5.4689127223438203E-2</v>
      </c>
      <c r="BD38">
        <v>1.86900041516396E-2</v>
      </c>
      <c r="BE38" s="56">
        <f t="shared" si="2"/>
        <v>-5.576941813362668E-2</v>
      </c>
      <c r="BG38" t="s">
        <v>173</v>
      </c>
      <c r="BH38">
        <f>SUM(BH34:BH36)</f>
        <v>1.8254666265632583E-3</v>
      </c>
      <c r="BI38">
        <f>SUM(BI34:BI36)</f>
        <v>1.1946951740967162E-3</v>
      </c>
      <c r="BJ38">
        <f>SUM(BJ34:BJ36)</f>
        <v>2.1719201925054399E-3</v>
      </c>
      <c r="BR38">
        <v>6.82492581602374E-2</v>
      </c>
      <c r="BS38">
        <v>1.7829984452331998E-2</v>
      </c>
      <c r="BT38">
        <v>4.0999812460860204E-3</v>
      </c>
      <c r="BU38">
        <v>9.8412905992528699E-4</v>
      </c>
      <c r="BV38" s="56">
        <f t="shared" si="3"/>
        <v>8.8091641194588555E-3</v>
      </c>
      <c r="BX38" t="s">
        <v>171</v>
      </c>
      <c r="BY38">
        <f>BR2*BW27*BY27</f>
        <v>2.3903775025185716E-5</v>
      </c>
      <c r="BZ38">
        <f>BS2*BW27*BZ27</f>
        <v>5.8301150842370968E-6</v>
      </c>
      <c r="CA38">
        <f>BT2*BW27*CA27</f>
        <v>2.360939190150991E-6</v>
      </c>
      <c r="CB38">
        <f>BU2*BW27*CB27</f>
        <v>4.6188467642552794E-7</v>
      </c>
      <c r="CC38">
        <f>BV2*BW27*CC27</f>
        <v>7.2379330063483235E-7</v>
      </c>
      <c r="CI38">
        <v>1.24128419278216E-2</v>
      </c>
      <c r="CJ38">
        <v>1.3730003206246E-2</v>
      </c>
      <c r="CK38">
        <v>1.5962361235484002E-2</v>
      </c>
      <c r="CL38" s="56">
        <f t="shared" si="4"/>
        <v>-8.5558468808140213E-4</v>
      </c>
      <c r="CN38" t="s">
        <v>172</v>
      </c>
      <c r="CO38">
        <f>CI2*CM28*CO28</f>
        <v>2.3519667321660759E-5</v>
      </c>
      <c r="CP38">
        <f>CJ2*CM28*CP28</f>
        <v>-7.0723650918239318E-6</v>
      </c>
      <c r="CQ38">
        <f>CK2*CM28*CQ28</f>
        <v>2.2231176843971749E-5</v>
      </c>
      <c r="CR38">
        <f>CL2*CM28*CR28</f>
        <v>-1.1011285510888462E-6</v>
      </c>
    </row>
    <row r="39" spans="1:97" x14ac:dyDescent="0.2">
      <c r="A39" s="1">
        <v>39080</v>
      </c>
      <c r="B39" s="38">
        <f>Data!B37</f>
        <v>-2.7523346361548739E-3</v>
      </c>
      <c r="C39" s="38">
        <f>Data!C37</f>
        <v>-1.3387374109555483E-2</v>
      </c>
      <c r="D39" s="38">
        <f>Data!D37</f>
        <v>-2.554359397922723E-2</v>
      </c>
      <c r="E39" s="38">
        <f>Data!E37</f>
        <v>1.2699995671763054E-2</v>
      </c>
      <c r="F39" s="38">
        <f>Data!F37</f>
        <v>-2.2653179473217655E-2</v>
      </c>
      <c r="G39" s="38">
        <f t="shared" si="5"/>
        <v>-5.2750750661366003E-3</v>
      </c>
      <c r="H39" s="38"/>
      <c r="I39" s="38"/>
      <c r="J39" s="38"/>
      <c r="K39" s="38"/>
      <c r="W39" s="60">
        <v>-5.8033480854339202E-3</v>
      </c>
      <c r="X39" s="60">
        <v>6.6502592030162101E-3</v>
      </c>
      <c r="Y39" s="60">
        <v>1.68122881492315E-2</v>
      </c>
      <c r="Z39" s="56">
        <f t="shared" si="0"/>
        <v>1.523180216295379E-3</v>
      </c>
      <c r="AB39" t="s">
        <v>172</v>
      </c>
      <c r="AC39">
        <f>W2*AA29*AC29</f>
        <v>1.2248704195638624E-7</v>
      </c>
      <c r="AD39">
        <f>X2*AA29*AD29</f>
        <v>-1.2199300972676452E-7</v>
      </c>
      <c r="AE39">
        <f>Y2*AA29*AE29</f>
        <v>5.0095292278912613E-7</v>
      </c>
      <c r="AF39">
        <f>Z2*AA29*AF29</f>
        <v>9.427269378640074E-6</v>
      </c>
      <c r="AG39" s="62">
        <f>SUM(AC36:AF39)</f>
        <v>5.8622010285929886E-5</v>
      </c>
      <c r="AM39">
        <v>3.3862167312690402E-3</v>
      </c>
      <c r="AN39">
        <v>-1.9062226737888599E-2</v>
      </c>
      <c r="AO39">
        <v>-1.06790342987142E-2</v>
      </c>
      <c r="AP39" s="56">
        <f t="shared" si="1"/>
        <v>-6.637068844255304E-3</v>
      </c>
      <c r="AR39" t="s">
        <v>172</v>
      </c>
      <c r="AS39">
        <f>AM2*AQ29*AS29</f>
        <v>-7.3911762759584111E-6</v>
      </c>
      <c r="AT39">
        <f>AN2*AQ29*AT29</f>
        <v>-1.190180273445462E-6</v>
      </c>
      <c r="AU39">
        <f>AO2*AQ29*AU29</f>
        <v>-4.9754340566679568E-7</v>
      </c>
      <c r="AV39">
        <f>AP2*AQ29*AV29</f>
        <v>2.9124631118722784E-4</v>
      </c>
      <c r="AW39" s="62">
        <f>SUM(AS36:AV39)</f>
        <v>2.8912990965992112E-3</v>
      </c>
      <c r="BC39">
        <v>-4.5928784104028599E-2</v>
      </c>
      <c r="BD39">
        <v>1.6500000131154199E-2</v>
      </c>
      <c r="BE39" s="56">
        <f t="shared" si="2"/>
        <v>-1.6079693500361869E-2</v>
      </c>
      <c r="BG39" t="s">
        <v>174</v>
      </c>
      <c r="BH39" s="63">
        <f>BH38/$BK$36</f>
        <v>0.35158663306284593</v>
      </c>
      <c r="BI39" s="63">
        <f>BI38/$BK$36</f>
        <v>0.23009944289580758</v>
      </c>
      <c r="BJ39" s="63">
        <f>BJ38/$BK$36</f>
        <v>0.41831392404134643</v>
      </c>
      <c r="BK39" s="39">
        <f>SUM(BH39:BJ39)</f>
        <v>1</v>
      </c>
      <c r="BR39">
        <v>-1.7438271604938198E-2</v>
      </c>
      <c r="BS39">
        <v>1.7860009511927202E-2</v>
      </c>
      <c r="BT39">
        <v>1.7500130235002E-3</v>
      </c>
      <c r="BU39">
        <v>-5.6765241684675295E-4</v>
      </c>
      <c r="BV39" s="56">
        <f t="shared" si="3"/>
        <v>7.3207840508507866E-3</v>
      </c>
      <c r="BX39" t="s">
        <v>172</v>
      </c>
      <c r="BY39">
        <f>BR2*BW28*BY28</f>
        <v>5.8301150842370968E-6</v>
      </c>
      <c r="BZ39">
        <f>BS2*BW28*BZ28</f>
        <v>2.3552851564765461E-5</v>
      </c>
      <c r="CA39">
        <f>BT2*BW28*CA28</f>
        <v>1.0921347367338267E-5</v>
      </c>
      <c r="CB39">
        <f>BU2*BW28*CB28</f>
        <v>-9.8538649149134045E-7</v>
      </c>
      <c r="CC39">
        <f>BV2*BW28*CC28</f>
        <v>3.5567819795928799E-7</v>
      </c>
      <c r="CI39">
        <v>-2.4954762183249098E-2</v>
      </c>
      <c r="CJ39">
        <v>1.6109996488427002E-2</v>
      </c>
      <c r="CK39">
        <v>1.1008940063797599E-2</v>
      </c>
      <c r="CL39" s="56">
        <f t="shared" si="4"/>
        <v>2.780119744140476E-4</v>
      </c>
      <c r="CN39" t="s">
        <v>172</v>
      </c>
      <c r="CO39">
        <f>CI2*CM29*CO29</f>
        <v>2.9966939361059408E-7</v>
      </c>
      <c r="CP39">
        <f>CJ2*CM29*CP29</f>
        <v>1.2831973955659655E-7</v>
      </c>
      <c r="CQ39">
        <f>CK2*CM29*CQ29</f>
        <v>-1.1011285510888462E-6</v>
      </c>
      <c r="CR39">
        <f>CL2*CM29*CR29</f>
        <v>1.4413188866252609E-5</v>
      </c>
      <c r="CS39" s="62">
        <f>SUM(CO36:CR39)</f>
        <v>4.2403452982928645E-4</v>
      </c>
    </row>
    <row r="40" spans="1:97" x14ac:dyDescent="0.2">
      <c r="A40" s="1">
        <v>39113</v>
      </c>
      <c r="B40" s="38">
        <f>Data!B38</f>
        <v>6.4323592547421704E-4</v>
      </c>
      <c r="C40" s="38">
        <f>Data!C38</f>
        <v>1.5809784638366686E-2</v>
      </c>
      <c r="D40" s="38">
        <f>Data!D38</f>
        <v>-4.1957403894638423E-2</v>
      </c>
      <c r="E40" s="38">
        <f>Data!E38</f>
        <v>3.7180278920005971E-3</v>
      </c>
      <c r="F40" s="38">
        <f>Data!F38</f>
        <v>2.6428193882945816E-3</v>
      </c>
      <c r="G40" s="38">
        <f t="shared" si="5"/>
        <v>7.165871065763444E-4</v>
      </c>
      <c r="H40" s="38"/>
      <c r="I40" s="38"/>
      <c r="J40" s="38"/>
      <c r="K40" s="38"/>
      <c r="W40" s="60">
        <v>-4.1030881544612497E-4</v>
      </c>
      <c r="X40" s="60">
        <v>-3.0430711610487399E-3</v>
      </c>
      <c r="Y40" s="60">
        <v>1.1154069010428799E-2</v>
      </c>
      <c r="Z40" s="56">
        <f t="shared" si="0"/>
        <v>1.8251942788247637E-3</v>
      </c>
      <c r="AM40">
        <v>2.5705948254719502E-2</v>
      </c>
      <c r="AN40">
        <v>1.29181296617631E-2</v>
      </c>
      <c r="AO40">
        <v>1.6108121746425401E-3</v>
      </c>
      <c r="AP40" s="56">
        <f t="shared" si="1"/>
        <v>-1.8617391981101669E-2</v>
      </c>
      <c r="BC40">
        <v>2.1049413577987099E-3</v>
      </c>
      <c r="BD40">
        <v>1.5743450899027098E-2</v>
      </c>
      <c r="BE40" s="56">
        <f t="shared" si="2"/>
        <v>-6.4498929539599431E-2</v>
      </c>
      <c r="BR40">
        <v>2.5914873566828901E-2</v>
      </c>
      <c r="BS40">
        <v>1.29422544488176E-2</v>
      </c>
      <c r="BT40">
        <v>-7.2645542786409201E-4</v>
      </c>
      <c r="BU40">
        <v>-3.5490453753015401E-3</v>
      </c>
      <c r="BV40" s="56">
        <f t="shared" si="3"/>
        <v>-1.9664145450836107E-3</v>
      </c>
      <c r="BX40" t="s">
        <v>172</v>
      </c>
      <c r="BY40">
        <f>BR2*BW29*BY29</f>
        <v>2.360939190150991E-6</v>
      </c>
      <c r="BZ40">
        <f>BS2*BW29*BZ29</f>
        <v>1.0921347367338267E-5</v>
      </c>
      <c r="CA40">
        <f>BT2*BW29*CA29</f>
        <v>3.3733496830407853E-5</v>
      </c>
      <c r="CB40">
        <f>BU2*BW29*CB29</f>
        <v>7.3550861846411531E-7</v>
      </c>
      <c r="CC40">
        <f>BV2*BW29*CC29</f>
        <v>1.6386422852704414E-6</v>
      </c>
      <c r="CI40">
        <v>2.3074317649383102E-3</v>
      </c>
      <c r="CJ40">
        <v>1.3668709876681701E-2</v>
      </c>
      <c r="CK40">
        <v>1.07437601949827E-2</v>
      </c>
      <c r="CL40" s="56">
        <f t="shared" si="4"/>
        <v>5.2594050024410257E-4</v>
      </c>
    </row>
    <row r="41" spans="1:97" x14ac:dyDescent="0.2">
      <c r="A41" s="1">
        <v>39141</v>
      </c>
      <c r="B41" s="38">
        <f>Data!B39</f>
        <v>1.23332212131404E-2</v>
      </c>
      <c r="C41" s="38">
        <f>Data!C39</f>
        <v>-3.0759803921568518E-2</v>
      </c>
      <c r="D41" s="38">
        <f>Data!D39</f>
        <v>5.6456706332895568E-2</v>
      </c>
      <c r="E41" s="38">
        <f>Data!E39</f>
        <v>2.2336360135390976E-3</v>
      </c>
      <c r="F41" s="38">
        <f>Data!F39</f>
        <v>2.0865984669307114E-2</v>
      </c>
      <c r="G41" s="38">
        <f t="shared" si="5"/>
        <v>1.0922625441234256E-2</v>
      </c>
      <c r="H41" s="38"/>
      <c r="I41" s="38"/>
      <c r="J41" s="38"/>
      <c r="K41" s="38"/>
      <c r="W41" s="60">
        <v>1.5420003407735401E-2</v>
      </c>
      <c r="X41" s="60">
        <v>1.71662622942266E-2</v>
      </c>
      <c r="Y41" s="60">
        <v>-1.4908488778080399E-3</v>
      </c>
      <c r="Z41" s="56">
        <f t="shared" si="0"/>
        <v>2.1606285900257205E-3</v>
      </c>
      <c r="AB41" t="s">
        <v>173</v>
      </c>
      <c r="AC41">
        <f>SUM(AC36:AC39)</f>
        <v>3.9556757714928397E-5</v>
      </c>
      <c r="AD41">
        <f>SUM(AD36:AD39)</f>
        <v>5.2781883396304727E-6</v>
      </c>
      <c r="AE41">
        <f>SUM(AE36:AE39)</f>
        <v>3.8583478977121865E-6</v>
      </c>
      <c r="AF41">
        <f>SUM(AF36:AF39)</f>
        <v>9.9287163336588216E-6</v>
      </c>
      <c r="AG41" s="63"/>
      <c r="AM41">
        <v>-1.8796556083841801E-2</v>
      </c>
      <c r="AN41">
        <v>-3.2067182550092901E-3</v>
      </c>
      <c r="AO41">
        <v>1.16239022556989E-2</v>
      </c>
      <c r="AP41" s="56">
        <f t="shared" si="1"/>
        <v>-1.0636947803294872E-2</v>
      </c>
      <c r="AR41" t="s">
        <v>173</v>
      </c>
      <c r="AS41">
        <f>SUM(AS36:AS39)</f>
        <v>2.3981093101506533E-3</v>
      </c>
      <c r="AT41">
        <f>SUM(AT36:AT39)</f>
        <v>1.0622246298782218E-4</v>
      </c>
      <c r="AU41">
        <f>SUM(AU36:AU39)</f>
        <v>1.0479991222857859E-4</v>
      </c>
      <c r="AV41">
        <f>SUM(AV36:AV39)</f>
        <v>2.8216741123215716E-4</v>
      </c>
      <c r="AW41" s="63"/>
      <c r="BC41">
        <v>3.3675051797994002E-2</v>
      </c>
      <c r="BD41">
        <v>1.02389260249252E-2</v>
      </c>
      <c r="BE41" s="56">
        <f t="shared" si="2"/>
        <v>1.958888127591675E-2</v>
      </c>
      <c r="BR41">
        <v>2.4724433557868901E-2</v>
      </c>
      <c r="BS41">
        <v>8.1972118953617095E-3</v>
      </c>
      <c r="BT41">
        <v>6.3454804920937103E-4</v>
      </c>
      <c r="BU41">
        <v>2.5829046521955099E-2</v>
      </c>
      <c r="BV41" s="56">
        <f t="shared" si="3"/>
        <v>-3.9475596151114746E-3</v>
      </c>
      <c r="BX41" t="s">
        <v>172</v>
      </c>
      <c r="BY41">
        <f>BR2*BW30*BY30</f>
        <v>4.6188467642552794E-7</v>
      </c>
      <c r="BZ41">
        <f>BS2*BW30*BZ30</f>
        <v>-9.8538649149134045E-7</v>
      </c>
      <c r="CA41">
        <f>BT2*BW30*CA30</f>
        <v>7.3550861846411531E-7</v>
      </c>
      <c r="CB41">
        <f>BU2*BW30*CB30</f>
        <v>7.9329967710274233E-7</v>
      </c>
      <c r="CC41">
        <f>BV2*BW30*CC30</f>
        <v>1.5626588501677179E-7</v>
      </c>
      <c r="CI41">
        <v>2.27536731834725E-2</v>
      </c>
      <c r="CJ41">
        <v>7.5626638461523399E-3</v>
      </c>
      <c r="CK41">
        <v>1.39291545299274E-2</v>
      </c>
      <c r="CL41" s="56">
        <f t="shared" si="4"/>
        <v>-1.0960052442475603E-3</v>
      </c>
      <c r="CN41" t="s">
        <v>173</v>
      </c>
      <c r="CO41">
        <f>SUM(CO36:CO39)</f>
        <v>3.832564810468579E-4</v>
      </c>
      <c r="CP41">
        <f>SUM(CP36:CP39)</f>
        <v>-1.0539351188622134E-5</v>
      </c>
      <c r="CQ41">
        <f>SUM(CQ36:CQ39)</f>
        <v>3.7577350522719733E-5</v>
      </c>
      <c r="CR41">
        <f>SUM(CR36:CR39)</f>
        <v>1.3740049448330954E-5</v>
      </c>
      <c r="CS41" s="63"/>
    </row>
    <row r="42" spans="1:97" x14ac:dyDescent="0.2">
      <c r="A42" s="1">
        <v>39171</v>
      </c>
      <c r="B42" s="38">
        <f>Data!B40</f>
        <v>2.6359508251192487E-3</v>
      </c>
      <c r="C42" s="38">
        <f>Data!C40</f>
        <v>5.6897205715009669E-3</v>
      </c>
      <c r="D42" s="38">
        <f>Data!D40</f>
        <v>5.7268659761530838E-2</v>
      </c>
      <c r="E42" s="38">
        <f>Data!E40</f>
        <v>-8.9686062517790877E-4</v>
      </c>
      <c r="F42" s="38">
        <f>Data!F40</f>
        <v>4.8289963084695575E-3</v>
      </c>
      <c r="G42" s="38">
        <f t="shared" si="5"/>
        <v>5.2870971348768806E-3</v>
      </c>
      <c r="H42" s="38"/>
      <c r="I42" s="38"/>
      <c r="J42" s="38"/>
      <c r="K42" s="38"/>
      <c r="W42" s="60">
        <v>3.05089658225732E-5</v>
      </c>
      <c r="X42" s="60">
        <v>9.7463387109184597E-3</v>
      </c>
      <c r="Y42" s="60">
        <v>2.2920381391797798E-3</v>
      </c>
      <c r="Z42" s="56">
        <f t="shared" si="0"/>
        <v>2.2669317029937876E-3</v>
      </c>
      <c r="AB42" t="s">
        <v>174</v>
      </c>
      <c r="AC42" s="63">
        <f>AC41/$AG$39</f>
        <v>0.67477654761393568</v>
      </c>
      <c r="AD42" s="63">
        <f>AD41/$AG$39</f>
        <v>9.0037655035813624E-2</v>
      </c>
      <c r="AE42" s="63">
        <f>AE41/$AG$39</f>
        <v>6.5817393141126126E-2</v>
      </c>
      <c r="AF42" s="63">
        <f>AF41/$AG$39</f>
        <v>0.16936840420912441</v>
      </c>
      <c r="AG42" s="63">
        <f>SUM(AC42:AF42)</f>
        <v>0.99999999999999978</v>
      </c>
      <c r="AM42">
        <v>5.4236959811313499E-3</v>
      </c>
      <c r="AN42">
        <v>-1.0037373126347501E-2</v>
      </c>
      <c r="AO42">
        <v>-4.7954754129397902E-4</v>
      </c>
      <c r="AP42" s="56">
        <f t="shared" si="1"/>
        <v>4.3394194365320889E-3</v>
      </c>
      <c r="AR42" t="s">
        <v>174</v>
      </c>
      <c r="AS42" s="63">
        <f>AS41/$AW$39</f>
        <v>0.82942277157397692</v>
      </c>
      <c r="AT42" s="63">
        <f>AT41/$AW$39</f>
        <v>3.6738662946618914E-2</v>
      </c>
      <c r="AU42" s="63">
        <f>AU41/$AW$39</f>
        <v>3.6246652015990248E-2</v>
      </c>
      <c r="AV42" s="63">
        <f>AV41/$AW$39</f>
        <v>9.7591913463413948E-2</v>
      </c>
      <c r="AW42" s="63">
        <f>SUM(AS42:AV42)</f>
        <v>1</v>
      </c>
      <c r="BC42">
        <v>9.7484943787062902E-3</v>
      </c>
      <c r="BD42">
        <v>1.3578598692956001E-2</v>
      </c>
      <c r="BE42" s="56">
        <f t="shared" si="2"/>
        <v>3.2373510804451777E-2</v>
      </c>
      <c r="BR42">
        <v>-8.30656607156211E-3</v>
      </c>
      <c r="BS42">
        <v>1.1549314300771701E-2</v>
      </c>
      <c r="BT42">
        <v>4.01458783040498E-3</v>
      </c>
      <c r="BU42">
        <v>-1.0966703826464899E-3</v>
      </c>
      <c r="BV42" s="56">
        <f t="shared" si="3"/>
        <v>-6.7827386403339369E-3</v>
      </c>
      <c r="BX42" t="s">
        <v>172</v>
      </c>
      <c r="BY42">
        <f>BR2*BW31*BY31</f>
        <v>7.2379330063483235E-7</v>
      </c>
      <c r="BZ42">
        <f>BS2*BW31*BZ31</f>
        <v>3.5567819795928799E-7</v>
      </c>
      <c r="CA42">
        <f>BT2*BW31*CA31</f>
        <v>1.6386422852704414E-6</v>
      </c>
      <c r="CB42">
        <f>BU2*BW31*CB31</f>
        <v>1.5626588501677179E-7</v>
      </c>
      <c r="CC42">
        <f>BV2*BW31*CC31</f>
        <v>7.0213567253584342E-5</v>
      </c>
      <c r="CD42" s="62">
        <f>SUM(BY38:CC42)</f>
        <v>1.9659456657905811E-4</v>
      </c>
      <c r="CI42">
        <v>3.0425055928411399E-3</v>
      </c>
      <c r="CJ42">
        <v>7.5347264703666799E-3</v>
      </c>
      <c r="CK42">
        <v>2.32254710500235E-3</v>
      </c>
      <c r="CL42" s="56">
        <f t="shared" si="4"/>
        <v>2.6206503215103968E-3</v>
      </c>
      <c r="CN42" t="s">
        <v>174</v>
      </c>
      <c r="CO42" s="63">
        <f>CO41/$CS$39</f>
        <v>0.90383318830462811</v>
      </c>
      <c r="CP42" s="63">
        <f>CP41/$CS$39</f>
        <v>-2.4854936207353698E-2</v>
      </c>
      <c r="CQ42" s="63">
        <f>CQ41/$CS$39</f>
        <v>8.8618609757672634E-2</v>
      </c>
      <c r="CR42" s="63">
        <f>CR41/$CS$39</f>
        <v>3.2403138145052975E-2</v>
      </c>
      <c r="CS42" s="63">
        <f>SUM(CO42:CR42)</f>
        <v>1</v>
      </c>
    </row>
    <row r="43" spans="1:97" x14ac:dyDescent="0.2">
      <c r="A43" s="1">
        <v>39202</v>
      </c>
      <c r="B43" s="38">
        <f>Data!B41</f>
        <v>4.9340167314715355E-3</v>
      </c>
      <c r="C43" s="38">
        <f>Data!C41</f>
        <v>5.4060849886849338E-2</v>
      </c>
      <c r="D43" s="38">
        <f>Data!D41</f>
        <v>9.0326301098141659E-2</v>
      </c>
      <c r="E43" s="38">
        <f>Data!E41</f>
        <v>1.6273215586270595E-2</v>
      </c>
      <c r="F43" s="38">
        <f>Data!F41</f>
        <v>7.9101067413001047E-3</v>
      </c>
      <c r="G43" s="38">
        <f t="shared" si="5"/>
        <v>1.6227978154006138E-2</v>
      </c>
      <c r="H43" s="38"/>
      <c r="I43" s="38"/>
      <c r="J43" s="38"/>
      <c r="K43" s="38"/>
      <c r="W43" s="60">
        <v>5.3922951957470202E-3</v>
      </c>
      <c r="X43" s="60">
        <v>8.6616373288628291E-3</v>
      </c>
      <c r="Y43" s="60">
        <v>7.8404704657482095E-3</v>
      </c>
      <c r="Z43" s="56">
        <f t="shared" si="0"/>
        <v>1.8209644391108601E-3</v>
      </c>
      <c r="AM43">
        <v>4.7079872963366999E-2</v>
      </c>
      <c r="AN43">
        <v>1.01274299633343E-2</v>
      </c>
      <c r="AO43">
        <v>-2.6332883781123601E-2</v>
      </c>
      <c r="AP43" s="56">
        <f t="shared" si="1"/>
        <v>2.2270056034286861E-3</v>
      </c>
      <c r="BC43">
        <v>1.15511551155114E-2</v>
      </c>
      <c r="BD43">
        <v>1.9871204607506202E-2</v>
      </c>
      <c r="BE43" s="56">
        <f t="shared" si="2"/>
        <v>5.5760550037346882E-2</v>
      </c>
      <c r="BR43">
        <v>2.20852980611339E-2</v>
      </c>
      <c r="BS43">
        <v>1.67607619123884E-2</v>
      </c>
      <c r="BT43">
        <v>2.5702188138221299E-3</v>
      </c>
      <c r="BU43">
        <v>-2.5716111725691399E-2</v>
      </c>
      <c r="BV43" s="56">
        <f t="shared" si="3"/>
        <v>8.0489574506715841E-3</v>
      </c>
      <c r="CI43">
        <v>7.8096584475386699E-3</v>
      </c>
      <c r="CJ43">
        <v>1.4190543098566301E-2</v>
      </c>
      <c r="CK43">
        <v>1.3232765661495199E-2</v>
      </c>
      <c r="CL43" s="56">
        <f t="shared" si="4"/>
        <v>4.6085732077355817E-4</v>
      </c>
    </row>
    <row r="44" spans="1:97" x14ac:dyDescent="0.2">
      <c r="A44" s="1">
        <v>39233</v>
      </c>
      <c r="B44" s="38">
        <f>Data!B42</f>
        <v>-5.7451891369024732E-3</v>
      </c>
      <c r="C44" s="38">
        <f>Data!C42</f>
        <v>3.9718511450381744E-2</v>
      </c>
      <c r="D44" s="38">
        <f>Data!D42</f>
        <v>-2.9418604411864502E-2</v>
      </c>
      <c r="E44" s="38">
        <f>Data!E42</f>
        <v>1.8107338955327679E-2</v>
      </c>
      <c r="F44" s="38">
        <f>Data!F42</f>
        <v>-1.449714742441377E-2</v>
      </c>
      <c r="G44" s="38">
        <f t="shared" si="5"/>
        <v>1.5434679046373795E-4</v>
      </c>
      <c r="H44" s="38"/>
      <c r="I44" s="38"/>
      <c r="J44" s="38"/>
      <c r="K44" s="38"/>
      <c r="W44" s="60">
        <v>-7.5785161583977701E-3</v>
      </c>
      <c r="X44" s="60">
        <v>-3.85293376983131E-3</v>
      </c>
      <c r="Y44" s="60">
        <v>1.4693511164106599E-2</v>
      </c>
      <c r="Z44" s="56">
        <f t="shared" si="0"/>
        <v>-1.1512933249019711E-5</v>
      </c>
      <c r="AM44">
        <v>3.5975204898190102E-2</v>
      </c>
      <c r="AN44">
        <v>-9.3881959599917395E-5</v>
      </c>
      <c r="AO44">
        <v>6.06042390152251E-3</v>
      </c>
      <c r="AP44" s="56">
        <f t="shared" si="1"/>
        <v>-9.0813044468376902E-4</v>
      </c>
      <c r="BC44">
        <v>1.29422175135296E-3</v>
      </c>
      <c r="BD44">
        <v>2.1749318823270501E-2</v>
      </c>
      <c r="BE44" s="56">
        <f t="shared" si="2"/>
        <v>-5.9450055767553051E-2</v>
      </c>
      <c r="BR44">
        <v>-2.6457366054978299E-2</v>
      </c>
      <c r="BS44">
        <v>2.14653475326003E-2</v>
      </c>
      <c r="BT44">
        <v>6.5919347317506798E-3</v>
      </c>
      <c r="BU44">
        <v>-1.25197713903116E-2</v>
      </c>
      <c r="BV44" s="56">
        <f t="shared" si="3"/>
        <v>9.1774298034063648E-3</v>
      </c>
      <c r="BX44" t="s">
        <v>173</v>
      </c>
      <c r="BY44">
        <f>SUM(BY38:BY42)</f>
        <v>3.3280507276634164E-5</v>
      </c>
      <c r="BZ44">
        <f>SUM(BZ38:BZ42)</f>
        <v>3.9674605722808771E-5</v>
      </c>
      <c r="CA44">
        <f>SUM(CA38:CA42)</f>
        <v>4.9389934291631668E-5</v>
      </c>
      <c r="CB44">
        <f>SUM(CB38:CB42)</f>
        <v>1.1615723655178169E-6</v>
      </c>
      <c r="CC44">
        <f>SUM(CC38:CC42)</f>
        <v>7.3087946922465678E-5</v>
      </c>
      <c r="CI44">
        <v>-1.6758026624902E-2</v>
      </c>
      <c r="CJ44">
        <v>1.4873412800849599E-2</v>
      </c>
      <c r="CK44">
        <v>7.1149950057087796E-3</v>
      </c>
      <c r="CL44" s="56">
        <f t="shared" si="4"/>
        <v>1.4437425751939979E-3</v>
      </c>
    </row>
    <row r="45" spans="1:97" x14ac:dyDescent="0.2">
      <c r="A45" s="1">
        <v>39262</v>
      </c>
      <c r="B45" s="38">
        <f>Data!B43</f>
        <v>-4.2011232476893978E-3</v>
      </c>
      <c r="C45" s="38">
        <f>Data!C43</f>
        <v>6.5389468853962462E-3</v>
      </c>
      <c r="D45" s="38">
        <f>Data!D43</f>
        <v>-4.967749596074833E-2</v>
      </c>
      <c r="E45" s="38">
        <f>Data!E43</f>
        <v>1.5065018810388242E-2</v>
      </c>
      <c r="F45" s="38">
        <f>Data!F43</f>
        <v>-1.6290516542215583E-3</v>
      </c>
      <c r="G45" s="38">
        <f t="shared" si="5"/>
        <v>-5.6642797965801117E-4</v>
      </c>
      <c r="H45" s="38"/>
      <c r="I45" s="38"/>
      <c r="J45" s="38"/>
      <c r="K45" s="38"/>
      <c r="W45" s="60">
        <v>-2.9582406494370601E-3</v>
      </c>
      <c r="X45" s="60">
        <v>-1.8884141871223802E-2</v>
      </c>
      <c r="Y45" s="60">
        <v>-1.3895784645628E-2</v>
      </c>
      <c r="Z45" s="56">
        <f t="shared" si="0"/>
        <v>-2.4221846961671057E-3</v>
      </c>
      <c r="AM45">
        <v>-1.49272645101458E-2</v>
      </c>
      <c r="AN45">
        <v>8.4383637363861803E-3</v>
      </c>
      <c r="AO45">
        <v>1.9844549717619201E-3</v>
      </c>
      <c r="AP45" s="56">
        <f t="shared" si="1"/>
        <v>1.8814824716675158E-2</v>
      </c>
      <c r="BC45">
        <v>-1.3968545972658101E-2</v>
      </c>
      <c r="BD45">
        <v>3.5466971581854502E-5</v>
      </c>
      <c r="BE45" s="56">
        <f t="shared" si="2"/>
        <v>-4.0122824516160803E-2</v>
      </c>
      <c r="BR45">
        <v>-1.64269492808479E-2</v>
      </c>
      <c r="BS45">
        <v>5.2586548845623398E-3</v>
      </c>
      <c r="BT45">
        <v>-3.6297874574997601E-4</v>
      </c>
      <c r="BU45">
        <v>2.5493860280509699E-2</v>
      </c>
      <c r="BV45" s="56">
        <f t="shared" si="3"/>
        <v>1.420506649353601E-2</v>
      </c>
      <c r="BX45" t="s">
        <v>174</v>
      </c>
      <c r="BY45" s="63">
        <f>BY44/$CD$42</f>
        <v>0.16928498002639769</v>
      </c>
      <c r="BZ45" s="63">
        <f>BZ44/$CD$42</f>
        <v>0.20180926875643895</v>
      </c>
      <c r="CA45" s="63">
        <f>CA44/$CD$42</f>
        <v>0.25122736172756893</v>
      </c>
      <c r="CB45" s="63">
        <f>CB44/$CD$42</f>
        <v>5.9084662701026618E-3</v>
      </c>
      <c r="CC45" s="63">
        <f>CC44/$CD$42</f>
        <v>0.3717699232194917</v>
      </c>
      <c r="CD45" s="39">
        <f>SUM(BY45:CC45)</f>
        <v>1</v>
      </c>
      <c r="CI45">
        <v>-2.3823704586062298E-3</v>
      </c>
      <c r="CJ45">
        <v>5.6216336303123197E-3</v>
      </c>
      <c r="CK45">
        <v>-1.6854025295065099E-2</v>
      </c>
      <c r="CL45" s="56">
        <f t="shared" si="4"/>
        <v>3.8895319914967934E-3</v>
      </c>
    </row>
    <row r="46" spans="1:97" x14ac:dyDescent="0.2">
      <c r="A46" s="1">
        <v>39294</v>
      </c>
      <c r="B46" s="38">
        <f>Data!B44</f>
        <v>6.7723598898659088E-3</v>
      </c>
      <c r="C46" s="38">
        <f>Data!C44</f>
        <v>-4.5589240939137854E-3</v>
      </c>
      <c r="D46" s="38">
        <f>Data!D44</f>
        <v>1.5794534943651461E-2</v>
      </c>
      <c r="E46" s="38">
        <f>Data!E44</f>
        <v>7.9307758838031983E-3</v>
      </c>
      <c r="F46" s="38">
        <f>Data!F44</f>
        <v>2.2829931019993754E-2</v>
      </c>
      <c r="G46" s="38">
        <f t="shared" si="5"/>
        <v>1.0181662502413751E-2</v>
      </c>
      <c r="H46" s="38"/>
      <c r="I46" s="38"/>
      <c r="J46" s="38"/>
      <c r="K46" s="38"/>
      <c r="W46" s="60">
        <v>8.3413833816337098E-3</v>
      </c>
      <c r="X46" s="60">
        <v>-9.0182942540581994E-3</v>
      </c>
      <c r="Y46" s="60">
        <v>-3.9741875194543301E-2</v>
      </c>
      <c r="Z46" s="56">
        <f t="shared" si="0"/>
        <v>-4.8850586079956897E-4</v>
      </c>
      <c r="AM46">
        <v>-1.5502960114456701E-2</v>
      </c>
      <c r="AN46">
        <v>3.07410803848778E-2</v>
      </c>
      <c r="AO46">
        <v>-3.73898644879175E-2</v>
      </c>
      <c r="AP46" s="56">
        <f t="shared" si="1"/>
        <v>5.1247125417968505E-3</v>
      </c>
      <c r="BC46">
        <v>2.0751214069487899E-2</v>
      </c>
      <c r="BD46">
        <v>-8.8229959797648805E-3</v>
      </c>
      <c r="BE46" s="56">
        <f t="shared" si="2"/>
        <v>1.3351711132616476E-2</v>
      </c>
      <c r="BR46">
        <v>2.2550604171476901E-2</v>
      </c>
      <c r="BS46">
        <v>1.91283438686418E-3</v>
      </c>
      <c r="BT46">
        <v>7.7167154955903898E-3</v>
      </c>
      <c r="BU46">
        <v>3.2678176144706701E-2</v>
      </c>
      <c r="BV46" s="56">
        <f t="shared" si="3"/>
        <v>-1.665223305099486E-3</v>
      </c>
      <c r="CI46">
        <v>2.3700104130510099E-2</v>
      </c>
      <c r="CJ46">
        <v>-5.8038811087262098E-3</v>
      </c>
      <c r="CK46">
        <v>-3.1400491812909603E-2</v>
      </c>
      <c r="CL46" s="56">
        <f t="shared" si="4"/>
        <v>5.5257620817431956E-3</v>
      </c>
    </row>
    <row r="47" spans="1:97" x14ac:dyDescent="0.2">
      <c r="A47" s="1">
        <v>39325</v>
      </c>
      <c r="B47" s="38">
        <f>Data!B45</f>
        <v>1.1770068297273228E-2</v>
      </c>
      <c r="C47" s="38">
        <f>Data!C45</f>
        <v>2.8394779024501826E-2</v>
      </c>
      <c r="D47" s="38">
        <f>Data!D45</f>
        <v>-7.4911261839076482E-2</v>
      </c>
      <c r="E47" s="38">
        <f>Data!E45</f>
        <v>-2.1109484891792651E-2</v>
      </c>
      <c r="F47" s="38">
        <f>Data!F45</f>
        <v>1.0194789634041967E-2</v>
      </c>
      <c r="G47" s="38">
        <f t="shared" si="5"/>
        <v>2.4092627802121003E-4</v>
      </c>
      <c r="H47" s="38"/>
      <c r="I47" s="38"/>
      <c r="J47" s="38"/>
      <c r="K47" s="38"/>
      <c r="W47" s="60">
        <v>1.22565046151975E-2</v>
      </c>
      <c r="X47" s="60">
        <v>1.21164846593862E-2</v>
      </c>
      <c r="Y47" s="60">
        <v>-1.1101181794070901E-3</v>
      </c>
      <c r="Z47" s="56">
        <f t="shared" si="0"/>
        <v>3.7697555193011573E-3</v>
      </c>
      <c r="AM47">
        <v>1.59344125063479E-2</v>
      </c>
      <c r="AN47">
        <v>4.7294606771688397E-3</v>
      </c>
      <c r="AO47">
        <v>7.6756891187503796E-3</v>
      </c>
      <c r="AP47" s="56">
        <f t="shared" si="1"/>
        <v>7.3735263882193994E-3</v>
      </c>
      <c r="BC47">
        <v>-3.6310313108506902E-2</v>
      </c>
      <c r="BD47">
        <v>-1.6983800572715101E-2</v>
      </c>
      <c r="BE47" s="56">
        <f t="shared" si="2"/>
        <v>-2.7194500171501747E-2</v>
      </c>
      <c r="BR47">
        <v>1.3548095739876601E-2</v>
      </c>
      <c r="BS47">
        <v>-2.1834293319518801E-2</v>
      </c>
      <c r="BT47">
        <v>-1.49529083640688E-2</v>
      </c>
      <c r="BU47">
        <v>-3.1664313031336197E-2</v>
      </c>
      <c r="BV47" s="56">
        <f t="shared" si="3"/>
        <v>-3.0162123090579779E-3</v>
      </c>
      <c r="CI47">
        <v>1.33456301198935E-2</v>
      </c>
      <c r="CJ47">
        <v>-6.8813849554499899E-3</v>
      </c>
      <c r="CK47">
        <v>1.11463864357904E-2</v>
      </c>
      <c r="CL47" s="56">
        <f t="shared" si="4"/>
        <v>-4.5461476805262364E-3</v>
      </c>
    </row>
    <row r="48" spans="1:97" x14ac:dyDescent="0.2">
      <c r="A48" s="1">
        <v>39353</v>
      </c>
      <c r="B48" s="38">
        <f>Data!B46</f>
        <v>7.6803464512003039E-3</v>
      </c>
      <c r="C48" s="38">
        <f>Data!C46</f>
        <v>3.7853484747272459E-2</v>
      </c>
      <c r="D48" s="38">
        <f>Data!D46</f>
        <v>2.8791429527954548E-2</v>
      </c>
      <c r="E48" s="38">
        <f>Data!E46</f>
        <v>3.2292342383925199E-2</v>
      </c>
      <c r="F48" s="38">
        <f>Data!F46</f>
        <v>1.0064794230873364E-2</v>
      </c>
      <c r="G48" s="38">
        <f t="shared" si="5"/>
        <v>1.7380686710601858E-2</v>
      </c>
      <c r="H48" s="38"/>
      <c r="I48" s="38"/>
      <c r="J48" s="38"/>
      <c r="K48" s="38"/>
      <c r="W48" s="60">
        <v>7.5863415806631798E-3</v>
      </c>
      <c r="X48" s="60">
        <v>2.2709756974772701E-2</v>
      </c>
      <c r="Y48" s="60">
        <v>1.68532278990106E-2</v>
      </c>
      <c r="Z48" s="56">
        <f t="shared" si="0"/>
        <v>3.1554193757310596E-3</v>
      </c>
      <c r="AM48">
        <v>4.1890197461662802E-2</v>
      </c>
      <c r="AN48">
        <v>7.5423621526020702E-3</v>
      </c>
      <c r="AO48">
        <v>-2.0233866446087299E-2</v>
      </c>
      <c r="AP48" s="56">
        <f t="shared" si="1"/>
        <v>-8.1592875121804381E-3</v>
      </c>
      <c r="BC48">
        <v>8.0045742195005598E-2</v>
      </c>
      <c r="BD48">
        <v>1.5478596362732E-2</v>
      </c>
      <c r="BE48" s="56">
        <f t="shared" si="2"/>
        <v>-4.6972924830516113E-2</v>
      </c>
      <c r="BR48">
        <v>0.104411109460864</v>
      </c>
      <c r="BS48">
        <v>1.8790037969382799E-2</v>
      </c>
      <c r="BT48">
        <v>5.2881996361964197E-3</v>
      </c>
      <c r="BU48">
        <v>-5.6349190990199203E-3</v>
      </c>
      <c r="BV48" s="56">
        <f t="shared" si="3"/>
        <v>1.3383032138225878E-2</v>
      </c>
      <c r="CI48">
        <v>8.8736013705232892E-3</v>
      </c>
      <c r="CJ48">
        <v>1.3501838333186401E-2</v>
      </c>
      <c r="CK48">
        <v>2.4439569479673701E-2</v>
      </c>
      <c r="CL48" s="56">
        <f t="shared" si="4"/>
        <v>-2.0654227977871462E-4</v>
      </c>
    </row>
    <row r="49" spans="1:90" x14ac:dyDescent="0.2">
      <c r="A49" s="1">
        <v>39386</v>
      </c>
      <c r="B49" s="38">
        <f>Data!B47</f>
        <v>1.0102321154303651E-2</v>
      </c>
      <c r="C49" s="38">
        <f>Data!C47</f>
        <v>7.1336623042265623E-2</v>
      </c>
      <c r="D49" s="38">
        <f>Data!D47</f>
        <v>-1.8156305317648891E-2</v>
      </c>
      <c r="E49" s="38">
        <f>Data!E47</f>
        <v>3.2576309155573968E-2</v>
      </c>
      <c r="F49" s="38">
        <f>Data!F47</f>
        <v>1.4191868696696641E-2</v>
      </c>
      <c r="G49" s="38">
        <f t="shared" si="5"/>
        <v>1.9348662200198253E-2</v>
      </c>
      <c r="H49" s="38"/>
      <c r="I49" s="38"/>
      <c r="J49" s="38"/>
      <c r="K49" s="38"/>
      <c r="W49" s="60">
        <v>8.9828840648855691E-3</v>
      </c>
      <c r="X49" s="60">
        <v>2.3838231600100498E-2</v>
      </c>
      <c r="Y49" s="60">
        <v>-2.92841222094009E-3</v>
      </c>
      <c r="Z49" s="56">
        <f t="shared" si="0"/>
        <v>3.3072183544221338E-3</v>
      </c>
      <c r="AM49">
        <v>3.4034179353612998E-2</v>
      </c>
      <c r="AN49">
        <v>3.3923203075998602E-2</v>
      </c>
      <c r="AO49">
        <v>1.27838716916484E-2</v>
      </c>
      <c r="AP49" s="56">
        <f t="shared" si="1"/>
        <v>1.6295461662442751E-2</v>
      </c>
      <c r="BC49">
        <v>3.3336489654440103E-2</v>
      </c>
      <c r="BD49">
        <v>2.2589973291420502E-2</v>
      </c>
      <c r="BE49" s="56">
        <f t="shared" si="2"/>
        <v>-7.1340492590939053E-2</v>
      </c>
      <c r="BR49">
        <v>7.1543840774609901E-2</v>
      </c>
      <c r="BS49">
        <v>3.0656165055060799E-2</v>
      </c>
      <c r="BT49">
        <v>9.6536195957961403E-3</v>
      </c>
      <c r="BU49">
        <v>1.5021690124762E-2</v>
      </c>
      <c r="BV49" s="56">
        <f t="shared" si="3"/>
        <v>8.793024879075205E-3</v>
      </c>
      <c r="CI49">
        <v>1.3770413510394E-2</v>
      </c>
      <c r="CJ49">
        <v>2.10025454592646E-2</v>
      </c>
      <c r="CK49">
        <v>6.05447184394548E-3</v>
      </c>
      <c r="CL49" s="56">
        <f t="shared" si="4"/>
        <v>3.2925068549129813E-3</v>
      </c>
    </row>
    <row r="50" spans="1:90" x14ac:dyDescent="0.2">
      <c r="A50" s="1">
        <v>39416</v>
      </c>
      <c r="B50" s="38">
        <f>Data!B48</f>
        <v>1.7432646592709933E-2</v>
      </c>
      <c r="C50" s="38">
        <f>Data!C48</f>
        <v>-8.0204265545208764E-2</v>
      </c>
      <c r="D50" s="38">
        <f>Data!D48</f>
        <v>-7.5402067574619314E-2</v>
      </c>
      <c r="E50" s="38">
        <f>Data!E48</f>
        <v>-8.9239256490659669E-3</v>
      </c>
      <c r="F50" s="38">
        <f>Data!F48</f>
        <v>4.4004393161488187E-2</v>
      </c>
      <c r="G50" s="38">
        <f t="shared" si="5"/>
        <v>5.0571749898327828E-3</v>
      </c>
      <c r="H50" s="38"/>
      <c r="I50" s="38"/>
      <c r="J50" s="38"/>
      <c r="K50" s="38"/>
      <c r="W50" s="60">
        <v>1.7983139882821401E-2</v>
      </c>
      <c r="X50" s="60">
        <v>-3.70470325572259E-3</v>
      </c>
      <c r="Y50" s="60">
        <v>-3.8446789715949399E-2</v>
      </c>
      <c r="Z50" s="56">
        <f t="shared" si="0"/>
        <v>4.2506436701855704E-3</v>
      </c>
      <c r="AM50">
        <v>-3.68370443720114E-2</v>
      </c>
      <c r="AN50">
        <v>1.20365507880299E-2</v>
      </c>
      <c r="AO50">
        <v>-2.9999415934236801E-2</v>
      </c>
      <c r="AP50" s="56">
        <f t="shared" si="1"/>
        <v>-3.9858932875880049E-2</v>
      </c>
      <c r="BC50">
        <v>-3.1361332870531E-2</v>
      </c>
      <c r="BD50">
        <v>-2.5234798615809701E-2</v>
      </c>
      <c r="BE50" s="56">
        <f t="shared" si="2"/>
        <v>-2.0031847685916981E-2</v>
      </c>
      <c r="BR50">
        <v>-1.6629016064256999E-2</v>
      </c>
      <c r="BS50">
        <v>-1.4675704327976101E-2</v>
      </c>
      <c r="BT50">
        <v>-9.3557817349954105E-3</v>
      </c>
      <c r="BU50">
        <v>1.2904033139819001E-2</v>
      </c>
      <c r="BV50" s="56">
        <f t="shared" si="3"/>
        <v>3.7407337606847058E-3</v>
      </c>
      <c r="CI50">
        <v>4.6900558776188601E-2</v>
      </c>
      <c r="CJ50">
        <v>-5.3199225929806398E-3</v>
      </c>
      <c r="CK50">
        <v>-2.0463649833128001E-2</v>
      </c>
      <c r="CL50" s="56">
        <f t="shared" si="4"/>
        <v>3.935458577265287E-3</v>
      </c>
    </row>
    <row r="51" spans="1:90" x14ac:dyDescent="0.2">
      <c r="A51" s="1">
        <v>39447</v>
      </c>
      <c r="B51" s="38">
        <f>Data!B49</f>
        <v>2.8346103112457666E-3</v>
      </c>
      <c r="C51" s="38">
        <f>Data!C49</f>
        <v>1.5131722185935059E-2</v>
      </c>
      <c r="D51" s="38">
        <f>Data!D49</f>
        <v>-4.563643389568528E-2</v>
      </c>
      <c r="E51" s="38">
        <f>Data!E49</f>
        <v>9.8463949227847181E-3</v>
      </c>
      <c r="F51" s="38">
        <f>Data!F49</f>
        <v>-2.008935644348564E-3</v>
      </c>
      <c r="G51" s="38">
        <f t="shared" si="5"/>
        <v>1.8663195612543678E-3</v>
      </c>
      <c r="H51" s="38"/>
      <c r="I51" s="38"/>
      <c r="J51" s="38"/>
      <c r="K51" s="38"/>
      <c r="W51" s="60">
        <v>2.8087645065066899E-3</v>
      </c>
      <c r="X51" s="60">
        <v>6.2302994483847103E-3</v>
      </c>
      <c r="Y51" s="60">
        <v>1.2305996429651199E-4</v>
      </c>
      <c r="Z51" s="56">
        <f t="shared" si="0"/>
        <v>8.4654170489660997E-4</v>
      </c>
      <c r="AM51">
        <v>-3.6159777309874301E-3</v>
      </c>
      <c r="AN51">
        <v>6.0546061181483398E-3</v>
      </c>
      <c r="AO51">
        <v>6.3138124493357104E-3</v>
      </c>
      <c r="AP51" s="56">
        <f t="shared" si="1"/>
        <v>1.5276108966821121E-2</v>
      </c>
      <c r="BC51">
        <v>4.6323291221250298E-2</v>
      </c>
      <c r="BD51">
        <v>-2.68164478682709E-3</v>
      </c>
      <c r="BE51" s="56">
        <f t="shared" si="2"/>
        <v>-7.3886657078721121E-2</v>
      </c>
      <c r="BR51">
        <v>6.4003573479676001E-2</v>
      </c>
      <c r="BS51">
        <v>3.3379196444245402E-3</v>
      </c>
      <c r="BT51">
        <v>-3.0985504013767398E-3</v>
      </c>
      <c r="BU51">
        <v>1.2219170967191301E-2</v>
      </c>
      <c r="BV51" s="56">
        <f t="shared" si="3"/>
        <v>5.0349436024991132E-3</v>
      </c>
      <c r="CI51">
        <v>-4.6936913288584403E-3</v>
      </c>
      <c r="CJ51">
        <v>6.43647004580128E-3</v>
      </c>
      <c r="CK51">
        <v>2.9318244708031998E-3</v>
      </c>
      <c r="CL51" s="56">
        <f t="shared" si="4"/>
        <v>2.5863639995979681E-3</v>
      </c>
    </row>
    <row r="52" spans="1:90" x14ac:dyDescent="0.2">
      <c r="A52" s="1">
        <v>39478</v>
      </c>
      <c r="B52" s="38">
        <f>Data!B50</f>
        <v>1.8456845404679401E-2</v>
      </c>
      <c r="C52" s="38">
        <f>Data!C50</f>
        <v>-0.12504021447721181</v>
      </c>
      <c r="D52" s="38">
        <f>Data!D50</f>
        <v>9.2744481175928595E-2</v>
      </c>
      <c r="E52" s="38">
        <f>Data!E50</f>
        <v>1.0826494312505597E-2</v>
      </c>
      <c r="F52" s="38">
        <f>Data!F50</f>
        <v>4.5834973774114385E-2</v>
      </c>
      <c r="G52" s="38">
        <f t="shared" si="5"/>
        <v>1.6068650476037165E-2</v>
      </c>
      <c r="H52" s="38"/>
      <c r="I52" s="38"/>
      <c r="J52" s="38"/>
      <c r="K52" s="38"/>
      <c r="W52" s="60">
        <v>1.67981472099588E-2</v>
      </c>
      <c r="X52" s="60">
        <v>8.4432588531850906E-3</v>
      </c>
      <c r="Y52" s="60">
        <v>-3.0385269319711899E-2</v>
      </c>
      <c r="Z52" s="56">
        <f t="shared" si="0"/>
        <v>5.9053595806673759E-3</v>
      </c>
      <c r="AM52">
        <v>-7.7976795890217304E-2</v>
      </c>
      <c r="AN52">
        <v>-3.7924347016984598E-2</v>
      </c>
      <c r="AO52">
        <v>-8.2128785200686893E-3</v>
      </c>
      <c r="AP52" s="56">
        <f t="shared" si="1"/>
        <v>-2.0599380929640018E-2</v>
      </c>
      <c r="BC52">
        <v>4.2236773610235798E-2</v>
      </c>
      <c r="BD52">
        <v>-2.5282621069873699E-2</v>
      </c>
      <c r="BE52" s="56">
        <f t="shared" si="2"/>
        <v>9.7586307270014369E-2</v>
      </c>
      <c r="BR52">
        <v>0.11083123425692699</v>
      </c>
      <c r="BS52">
        <v>-2.8342341803256801E-2</v>
      </c>
      <c r="BT52">
        <v>-1.54230609839677E-2</v>
      </c>
      <c r="BU52">
        <v>1.5242318009432401E-2</v>
      </c>
      <c r="BV52" s="56">
        <f t="shared" si="3"/>
        <v>2.1025901586063826E-2</v>
      </c>
      <c r="CI52">
        <v>4.7007554112690003E-2</v>
      </c>
      <c r="CJ52">
        <v>-1.29192808192891E-2</v>
      </c>
      <c r="CK52">
        <v>-1.3587122109753101E-2</v>
      </c>
      <c r="CL52" s="56">
        <f t="shared" si="4"/>
        <v>3.649581125131203E-3</v>
      </c>
    </row>
    <row r="53" spans="1:90" x14ac:dyDescent="0.2">
      <c r="A53" s="1">
        <v>39507</v>
      </c>
      <c r="B53" s="38">
        <f>Data!B51</f>
        <v>1.6487366555373306E-4</v>
      </c>
      <c r="C53" s="38">
        <f>Data!C51</f>
        <v>-4.0446133104547144E-2</v>
      </c>
      <c r="D53" s="38">
        <f>Data!D51</f>
        <v>0.14480769746448785</v>
      </c>
      <c r="E53" s="38">
        <f>Data!E51</f>
        <v>4.2192467737109718E-2</v>
      </c>
      <c r="F53" s="38">
        <f>Data!F51</f>
        <v>1.8889347646573018E-2</v>
      </c>
      <c r="G53" s="38">
        <f t="shared" si="5"/>
        <v>1.8872961940945853E-2</v>
      </c>
      <c r="H53" s="38"/>
      <c r="I53" s="38"/>
      <c r="J53" s="38"/>
      <c r="K53" s="38"/>
      <c r="W53" s="60">
        <v>1.3879892662163099E-3</v>
      </c>
      <c r="X53" s="60">
        <v>-1.67451342037572E-3</v>
      </c>
      <c r="Y53" s="60">
        <v>-1.3260944017200099E-2</v>
      </c>
      <c r="Z53" s="56">
        <f t="shared" si="0"/>
        <v>-1.4981940575809736E-3</v>
      </c>
      <c r="AM53">
        <v>-1.9860994839332E-2</v>
      </c>
      <c r="AN53">
        <v>2.2037328694160099E-2</v>
      </c>
      <c r="AO53">
        <v>-4.5811369785929701E-3</v>
      </c>
      <c r="AP53" s="56">
        <f t="shared" si="1"/>
        <v>-2.774276031730771E-2</v>
      </c>
      <c r="BC53">
        <v>0.122839807994616</v>
      </c>
      <c r="BD53">
        <v>4.0779079798907202E-3</v>
      </c>
      <c r="BE53" s="56">
        <f t="shared" si="2"/>
        <v>5.4901758627883254E-2</v>
      </c>
      <c r="BR53">
        <v>5.16142965122557E-2</v>
      </c>
      <c r="BS53">
        <v>1.24068771589985E-2</v>
      </c>
      <c r="BT53">
        <v>1.33293003452024E-2</v>
      </c>
      <c r="BU53">
        <v>4.5575744098495602E-2</v>
      </c>
      <c r="BV53" s="56">
        <f t="shared" si="3"/>
        <v>2.2030281684357195E-2</v>
      </c>
      <c r="CI53">
        <v>1.8790070590211101E-2</v>
      </c>
      <c r="CJ53">
        <v>-9.2242318620394702E-4</v>
      </c>
      <c r="CK53">
        <v>-1.1872954750983799E-2</v>
      </c>
      <c r="CL53" s="56">
        <f t="shared" si="4"/>
        <v>3.5650713547212502E-3</v>
      </c>
    </row>
    <row r="54" spans="1:90" x14ac:dyDescent="0.2">
      <c r="A54" s="1">
        <v>39538</v>
      </c>
      <c r="B54" s="38">
        <f>Data!B52</f>
        <v>5.6185177553402799E-3</v>
      </c>
      <c r="C54" s="38">
        <f>Data!C52</f>
        <v>9.4520372972282107E-3</v>
      </c>
      <c r="D54" s="38">
        <f>Data!D52</f>
        <v>-4.6352863515858767E-2</v>
      </c>
      <c r="E54" s="38">
        <f>Data!E52</f>
        <v>-1.221171641582508E-2</v>
      </c>
      <c r="F54" s="38">
        <f>Data!F52</f>
        <v>6.793518744748539E-3</v>
      </c>
      <c r="G54" s="38">
        <f t="shared" si="5"/>
        <v>-8.2105071494587641E-4</v>
      </c>
      <c r="H54" s="38"/>
      <c r="I54" s="38"/>
      <c r="J54" s="38"/>
      <c r="K54" s="38"/>
      <c r="W54" s="60">
        <v>3.4118533471703101E-3</v>
      </c>
      <c r="X54" s="60">
        <v>-4.1325327564001302E-4</v>
      </c>
      <c r="Y54" s="60">
        <v>-8.60432201001393E-3</v>
      </c>
      <c r="Z54" s="56">
        <f t="shared" si="0"/>
        <v>3.0109502085445641E-3</v>
      </c>
      <c r="AM54">
        <v>-6.0885267919185103E-3</v>
      </c>
      <c r="AN54">
        <v>1.4310134315653801E-3</v>
      </c>
      <c r="AO54">
        <v>8.50696953109043E-3</v>
      </c>
      <c r="AP54" s="56">
        <f t="shared" si="1"/>
        <v>1.4027593773058481E-2</v>
      </c>
      <c r="BC54">
        <v>-6.3420230138012595E-2</v>
      </c>
      <c r="BD54">
        <v>-1.41338359233302E-2</v>
      </c>
      <c r="BE54" s="56">
        <f t="shared" si="2"/>
        <v>1.6181021500965009E-2</v>
      </c>
      <c r="BR54">
        <v>-5.8527569565663899E-2</v>
      </c>
      <c r="BS54">
        <v>-2.5935990429313799E-2</v>
      </c>
      <c r="BT54">
        <v>-6.0066705310083401E-3</v>
      </c>
      <c r="BU54">
        <v>-2.4109025855368699E-2</v>
      </c>
      <c r="BV54" s="56">
        <f t="shared" si="3"/>
        <v>6.5206283120234389E-3</v>
      </c>
      <c r="CI54">
        <v>7.0818861482309101E-3</v>
      </c>
      <c r="CJ54">
        <v>-1.99293198983055E-2</v>
      </c>
      <c r="CK54">
        <v>-5.1924686628436198E-3</v>
      </c>
      <c r="CL54" s="56">
        <f t="shared" si="4"/>
        <v>-1.2730280710868784E-3</v>
      </c>
    </row>
    <row r="55" spans="1:90" x14ac:dyDescent="0.2">
      <c r="A55" s="1">
        <v>39568</v>
      </c>
      <c r="B55" s="38">
        <f>Data!B53</f>
        <v>9.5623189989635371E-4</v>
      </c>
      <c r="C55" s="38">
        <f>Data!C53</f>
        <v>6.9214222447171903E-2</v>
      </c>
      <c r="D55" s="38">
        <f>Data!D53</f>
        <v>-1.4643393837627583E-2</v>
      </c>
      <c r="E55" s="38">
        <f>Data!E53</f>
        <v>-3.2812755284550299E-4</v>
      </c>
      <c r="F55" s="38">
        <f>Data!F53</f>
        <v>-2.8683551646374372E-2</v>
      </c>
      <c r="G55" s="38">
        <f t="shared" si="5"/>
        <v>-1.6785343429336795E-3</v>
      </c>
      <c r="H55" s="38"/>
      <c r="I55" s="38"/>
      <c r="J55" s="38"/>
      <c r="K55" s="38"/>
      <c r="W55" s="60">
        <v>-2.08973832225889E-3</v>
      </c>
      <c r="X55" s="60">
        <v>1.01167315175097E-2</v>
      </c>
      <c r="Y55" s="60">
        <v>4.3746803771141901E-2</v>
      </c>
      <c r="Z55" s="56">
        <f t="shared" si="0"/>
        <v>4.7217965268307426E-3</v>
      </c>
      <c r="AM55">
        <v>5.2500067033054897E-2</v>
      </c>
      <c r="AN55">
        <v>3.7542386036695202E-3</v>
      </c>
      <c r="AO55">
        <v>-6.8327653463211603E-3</v>
      </c>
      <c r="AP55" s="56">
        <f t="shared" si="1"/>
        <v>1.089723150450659E-2</v>
      </c>
      <c r="BC55">
        <v>3.5635901871284903E-2</v>
      </c>
      <c r="BD55">
        <v>1.00005550063813E-2</v>
      </c>
      <c r="BE55" s="56">
        <f t="shared" si="2"/>
        <v>-5.2539745490528318E-2</v>
      </c>
      <c r="BR55">
        <v>-4.29163485658196E-2</v>
      </c>
      <c r="BS55">
        <v>9.7373502364541693E-3</v>
      </c>
      <c r="BT55">
        <v>-4.1186373351576001E-3</v>
      </c>
      <c r="BU55">
        <v>-2.4249927979682201E-2</v>
      </c>
      <c r="BV55" s="56">
        <f t="shared" si="3"/>
        <v>4.3816657865121122E-3</v>
      </c>
      <c r="CI55">
        <v>-3.33132639282646E-2</v>
      </c>
      <c r="CJ55">
        <v>1.38559875716118E-2</v>
      </c>
      <c r="CK55">
        <v>4.1657065448883E-2</v>
      </c>
      <c r="CL55" s="56">
        <f t="shared" si="4"/>
        <v>-3.2692222414514097E-3</v>
      </c>
    </row>
    <row r="56" spans="1:90" x14ac:dyDescent="0.2">
      <c r="A56" s="1">
        <v>39598</v>
      </c>
      <c r="B56" s="38">
        <f>Data!B54</f>
        <v>-5.302017086551869E-3</v>
      </c>
      <c r="C56" s="38">
        <f>Data!C54</f>
        <v>5.5621301775147902E-2</v>
      </c>
      <c r="D56" s="38">
        <f>Data!D54</f>
        <v>-6.7939604204954152E-2</v>
      </c>
      <c r="E56" s="38">
        <f>Data!E54</f>
        <v>1.20455535578603E-2</v>
      </c>
      <c r="F56" s="38">
        <f>Data!F54</f>
        <v>5.3625511118151614E-3</v>
      </c>
      <c r="G56" s="38">
        <f t="shared" si="5"/>
        <v>2.3439359513932412E-3</v>
      </c>
      <c r="H56" s="38"/>
      <c r="I56" s="38"/>
      <c r="J56" s="38"/>
      <c r="K56" s="38"/>
      <c r="W56" s="60">
        <v>-7.3329500039042202E-3</v>
      </c>
      <c r="X56" s="60">
        <v>1.22785053929109E-3</v>
      </c>
      <c r="Y56" s="60">
        <v>1.16164593309275E-2</v>
      </c>
      <c r="Z56" s="56">
        <f t="shared" si="0"/>
        <v>-1.9542131932631483E-4</v>
      </c>
      <c r="AM56">
        <v>3.6653489461042903E-2</v>
      </c>
      <c r="AN56">
        <v>3.82398780861282E-2</v>
      </c>
      <c r="AO56">
        <v>3.2984151395984498E-2</v>
      </c>
      <c r="AP56" s="56">
        <f t="shared" si="1"/>
        <v>-7.774222071385839E-3</v>
      </c>
      <c r="BC56">
        <v>2.73399597395136E-2</v>
      </c>
      <c r="BD56">
        <v>1.5184348414409601E-2</v>
      </c>
      <c r="BE56" s="56">
        <f t="shared" si="2"/>
        <v>-0.10707893165989471</v>
      </c>
      <c r="BR56">
        <v>1.01988490684293E-2</v>
      </c>
      <c r="BS56">
        <v>1.84622815983875E-2</v>
      </c>
      <c r="BT56">
        <v>5.7464236497848402E-3</v>
      </c>
      <c r="BU56">
        <v>1.0866501792561999E-2</v>
      </c>
      <c r="BV56" s="56">
        <f t="shared" si="3"/>
        <v>6.1005945658653728E-4</v>
      </c>
      <c r="CI56">
        <v>7.1172010110416304E-3</v>
      </c>
      <c r="CJ56">
        <v>1.27158579486026E-2</v>
      </c>
      <c r="CK56">
        <v>4.2835093270232596E-3</v>
      </c>
      <c r="CL56" s="56">
        <f t="shared" si="4"/>
        <v>-2.2460240013032554E-4</v>
      </c>
    </row>
    <row r="57" spans="1:90" x14ac:dyDescent="0.2">
      <c r="A57" s="1">
        <v>39629</v>
      </c>
      <c r="B57" s="38">
        <f>Data!B55</f>
        <v>-5.6938622908531134E-4</v>
      </c>
      <c r="C57" s="38">
        <f>Data!C55</f>
        <v>-9.2488789237668123E-2</v>
      </c>
      <c r="D57" s="38">
        <f>Data!D55</f>
        <v>4.7934880916490785E-2</v>
      </c>
      <c r="E57" s="38">
        <f>Data!E55</f>
        <v>1.1923114538996415E-2</v>
      </c>
      <c r="F57" s="38">
        <f>Data!F55</f>
        <v>1.5995781332395875E-2</v>
      </c>
      <c r="G57" s="38">
        <f t="shared" si="5"/>
        <v>1.9267242279730375E-3</v>
      </c>
      <c r="H57" s="38"/>
      <c r="I57" s="38"/>
      <c r="J57" s="38"/>
      <c r="K57" s="38"/>
      <c r="W57" s="60">
        <v>-8.0807791873460698E-4</v>
      </c>
      <c r="X57" s="60">
        <v>-1.9260826700651702E-2</v>
      </c>
      <c r="Y57" s="60">
        <v>-2.59865014228901E-2</v>
      </c>
      <c r="Z57" s="56">
        <f t="shared" si="0"/>
        <v>-8.9305619489823788E-4</v>
      </c>
      <c r="AM57">
        <v>-7.2021968817797002E-2</v>
      </c>
      <c r="AN57">
        <v>2.3699765745936099E-2</v>
      </c>
      <c r="AO57">
        <v>7.3160254268300803E-3</v>
      </c>
      <c r="AP57" s="56">
        <f t="shared" si="1"/>
        <v>-2.5173045722521784E-2</v>
      </c>
      <c r="BC57">
        <v>9.0990040622232204E-2</v>
      </c>
      <c r="BD57">
        <v>-1.5989686471403301E-2</v>
      </c>
      <c r="BE57" s="56">
        <f t="shared" si="2"/>
        <v>6.8114131200443448E-3</v>
      </c>
      <c r="BR57">
        <v>4.3880428652002298E-2</v>
      </c>
      <c r="BS57">
        <v>-8.0813378074526803E-3</v>
      </c>
      <c r="BT57">
        <v>-1.8010987760349599E-3</v>
      </c>
      <c r="BU57">
        <v>5.9907207281899202E-2</v>
      </c>
      <c r="BV57" s="56">
        <f t="shared" si="3"/>
        <v>9.767804900513875E-3</v>
      </c>
      <c r="CI57">
        <v>1.5442717245768499E-2</v>
      </c>
      <c r="CJ57">
        <v>-6.2802390314177199E-3</v>
      </c>
      <c r="CK57">
        <v>-2.67945793416247E-2</v>
      </c>
      <c r="CL57" s="56">
        <f t="shared" si="4"/>
        <v>5.414298396731989E-3</v>
      </c>
    </row>
    <row r="58" spans="1:90" x14ac:dyDescent="0.2">
      <c r="A58" s="1">
        <v>39660</v>
      </c>
      <c r="B58" s="38">
        <f>Data!B56</f>
        <v>-1.3933886112790228E-3</v>
      </c>
      <c r="C58" s="38">
        <f>Data!C56</f>
        <v>-1.2476837554045717E-2</v>
      </c>
      <c r="D58" s="38">
        <f>Data!D56</f>
        <v>-5.8785589665540705E-2</v>
      </c>
      <c r="E58" s="38">
        <f>Data!E56</f>
        <v>-2.6237454050332176E-2</v>
      </c>
      <c r="F58" s="38">
        <f>Data!F56</f>
        <v>-8.340293521059472E-3</v>
      </c>
      <c r="G58" s="38">
        <f t="shared" si="5"/>
        <v>-1.2633026910620949E-2</v>
      </c>
      <c r="H58" s="38"/>
      <c r="I58" s="38"/>
      <c r="J58" s="38"/>
      <c r="K58" s="38"/>
      <c r="W58" s="60">
        <v>-8.1588835212031995E-4</v>
      </c>
      <c r="X58" s="60">
        <v>1.1131270534006799E-2</v>
      </c>
      <c r="Y58" s="60">
        <v>-1.52110386685207E-2</v>
      </c>
      <c r="Z58" s="56">
        <f t="shared" si="0"/>
        <v>-2.5533367976513246E-3</v>
      </c>
      <c r="AM58">
        <v>-1.9012315578744301E-2</v>
      </c>
      <c r="AN58">
        <v>-1.5401811486000099E-2</v>
      </c>
      <c r="AO58">
        <v>4.5412567982266998E-2</v>
      </c>
      <c r="AP58" s="56">
        <f t="shared" si="1"/>
        <v>7.5124818254228877E-3</v>
      </c>
      <c r="BC58">
        <v>-0.118542414564656</v>
      </c>
      <c r="BD58">
        <v>-1.43163053221821E-2</v>
      </c>
      <c r="BE58" s="56">
        <f t="shared" si="2"/>
        <v>4.1884622733861954E-2</v>
      </c>
      <c r="BR58">
        <v>-1.22109358115409E-2</v>
      </c>
      <c r="BS58">
        <v>-2.6122942477532701E-2</v>
      </c>
      <c r="BT58">
        <v>-1.7971957154108702E-2</v>
      </c>
      <c r="BU58">
        <v>-2.00392483759309E-2</v>
      </c>
      <c r="BV58" s="56">
        <f t="shared" si="3"/>
        <v>-2.6695843467412425E-3</v>
      </c>
      <c r="CI58">
        <v>-9.2004044393724192E-3</v>
      </c>
      <c r="CJ58">
        <v>-8.1509853234239503E-3</v>
      </c>
      <c r="CK58">
        <v>-1.6026927020640999E-2</v>
      </c>
      <c r="CL58" s="56">
        <f t="shared" si="4"/>
        <v>1.5564596417086251E-3</v>
      </c>
    </row>
    <row r="59" spans="1:90" x14ac:dyDescent="0.2">
      <c r="A59" s="1">
        <v>39689</v>
      </c>
      <c r="B59" s="38">
        <f>Data!B57</f>
        <v>1.2509880743719393E-2</v>
      </c>
      <c r="C59" s="38">
        <f>Data!C57</f>
        <v>2.1391043282461997E-2</v>
      </c>
      <c r="D59" s="38">
        <f>Data!D57</f>
        <v>-6.2854029964060754E-2</v>
      </c>
      <c r="E59" s="38">
        <f>Data!E57</f>
        <v>-1.1787224054501944E-2</v>
      </c>
      <c r="F59" s="38">
        <f>Data!F57</f>
        <v>1.2032101647194704E-2</v>
      </c>
      <c r="G59" s="38">
        <f t="shared" si="5"/>
        <v>3.3132305116290836E-3</v>
      </c>
      <c r="H59" s="38"/>
      <c r="I59" s="38"/>
      <c r="J59" s="38"/>
      <c r="K59" s="38"/>
      <c r="W59" s="60">
        <v>9.4906561803869104E-3</v>
      </c>
      <c r="X59" s="60">
        <v>8.0746847720660798E-3</v>
      </c>
      <c r="Y59" s="60">
        <v>-6.2633825818201299E-3</v>
      </c>
      <c r="Z59" s="56">
        <f t="shared" si="0"/>
        <v>6.006331695643091E-3</v>
      </c>
      <c r="AM59">
        <v>1.0767427405425301E-2</v>
      </c>
      <c r="AN59">
        <v>-6.22046026783618E-3</v>
      </c>
      <c r="AO59">
        <v>2.1679028818660101E-2</v>
      </c>
      <c r="AP59" s="56">
        <f t="shared" si="1"/>
        <v>8.5713088519834921E-3</v>
      </c>
      <c r="BC59">
        <v>-7.2841922156990702E-2</v>
      </c>
      <c r="BD59">
        <v>-5.0456983866700202E-3</v>
      </c>
      <c r="BE59" s="56">
        <f t="shared" si="2"/>
        <v>-6.0206705171477123E-3</v>
      </c>
      <c r="BR59">
        <v>-9.0744995077125107E-2</v>
      </c>
      <c r="BS59">
        <v>-1.38977807261679E-2</v>
      </c>
      <c r="BT59">
        <v>-1.2457661602195601E-2</v>
      </c>
      <c r="BU59">
        <v>-3.6208466341929098E-2</v>
      </c>
      <c r="BV59" s="56">
        <f t="shared" si="3"/>
        <v>1.1300774269809754E-2</v>
      </c>
      <c r="CI59">
        <v>1.31947221111555E-2</v>
      </c>
      <c r="CJ59">
        <v>-1.4401191239722399E-3</v>
      </c>
      <c r="CK59">
        <v>3.22727359856678E-3</v>
      </c>
      <c r="CL59" s="56">
        <f t="shared" si="4"/>
        <v>-6.5274717377868108E-4</v>
      </c>
    </row>
    <row r="60" spans="1:90" x14ac:dyDescent="0.2">
      <c r="A60" s="1">
        <v>39721</v>
      </c>
      <c r="B60" s="38">
        <f>Data!B58</f>
        <v>7.5218084925834372E-3</v>
      </c>
      <c r="C60" s="38">
        <f>Data!C58</f>
        <v>-0.12725045927740353</v>
      </c>
      <c r="D60" s="38">
        <f>Data!D58</f>
        <v>-0.1329293216233064</v>
      </c>
      <c r="E60" s="38">
        <f>Data!E58</f>
        <v>-1.2144327791636989E-2</v>
      </c>
      <c r="F60" s="38">
        <f>Data!F58</f>
        <v>-4.1338231622498833E-2</v>
      </c>
      <c r="G60" s="38">
        <f t="shared" si="5"/>
        <v>-2.4700286632827376E-2</v>
      </c>
      <c r="H60" s="38"/>
      <c r="I60" s="38"/>
      <c r="J60" s="38"/>
      <c r="K60" s="38"/>
      <c r="W60" s="60">
        <v>-1.34316285406141E-2</v>
      </c>
      <c r="X60" s="60">
        <v>-6.8433839270680599E-2</v>
      </c>
      <c r="Y60" s="60">
        <v>-6.9542294139341695E-2</v>
      </c>
      <c r="Z60" s="56">
        <f t="shared" si="0"/>
        <v>1.4241584066814153E-2</v>
      </c>
      <c r="AM60">
        <v>-0.115804624848029</v>
      </c>
      <c r="AN60">
        <v>-4.2334276305783798E-2</v>
      </c>
      <c r="AO60">
        <v>9.4270843044443903E-3</v>
      </c>
      <c r="AP60" s="56">
        <f t="shared" si="1"/>
        <v>1.776539906581065E-2</v>
      </c>
      <c r="BC60">
        <v>-0.115279212429117</v>
      </c>
      <c r="BD60">
        <v>-6.0063508319736503E-2</v>
      </c>
      <c r="BE60" s="56">
        <f t="shared" si="2"/>
        <v>2.6794121628353956E-2</v>
      </c>
      <c r="BR60">
        <v>4.7885459904951001E-2</v>
      </c>
      <c r="BS60">
        <v>-6.5295530508631502E-2</v>
      </c>
      <c r="BT60">
        <v>-6.3147057827476196E-3</v>
      </c>
      <c r="BU60">
        <v>7.7036919078825603E-3</v>
      </c>
      <c r="BV60" s="56">
        <f t="shared" si="3"/>
        <v>8.6549575341309977E-3</v>
      </c>
      <c r="CI60">
        <v>-4.6319311100378097E-2</v>
      </c>
      <c r="CJ60">
        <v>-5.8980824725883799E-2</v>
      </c>
      <c r="CK60">
        <v>-8.2973922679955694E-2</v>
      </c>
      <c r="CL60" s="56">
        <f t="shared" si="4"/>
        <v>6.6447209243578054E-3</v>
      </c>
    </row>
    <row r="61" spans="1:90" x14ac:dyDescent="0.2">
      <c r="A61" s="1">
        <v>39752</v>
      </c>
      <c r="B61" s="38">
        <f>Data!B59</f>
        <v>-1.2566284624662361E-2</v>
      </c>
      <c r="C61" s="38">
        <f>Data!C59</f>
        <v>-0.17793993825428023</v>
      </c>
      <c r="D61" s="38">
        <f>Data!D59</f>
        <v>-0.26884656103916593</v>
      </c>
      <c r="E61" s="38">
        <f>Data!E59</f>
        <v>1.6317118143144516E-2</v>
      </c>
      <c r="F61" s="38">
        <f>Data!F59</f>
        <v>-9.4290249770568213E-2</v>
      </c>
      <c r="G61" s="38">
        <f t="shared" si="5"/>
        <v>-4.8357923528342443E-2</v>
      </c>
      <c r="H61" s="38"/>
      <c r="I61" s="38"/>
      <c r="J61" s="38"/>
      <c r="K61" s="38"/>
      <c r="W61" s="60">
        <v>-2.3604208769948998E-2</v>
      </c>
      <c r="X61" s="60">
        <v>-0.148910349101425</v>
      </c>
      <c r="Y61" s="60">
        <v>-0.13937960384583101</v>
      </c>
      <c r="Z61" s="56">
        <f t="shared" si="0"/>
        <v>-4.5395397382239425E-4</v>
      </c>
      <c r="AM61">
        <v>-0.17605926158179799</v>
      </c>
      <c r="AN61">
        <v>-2.9459230305323202E-3</v>
      </c>
      <c r="AO61">
        <v>-4.0081752802784601E-2</v>
      </c>
      <c r="AP61" s="56">
        <f t="shared" si="1"/>
        <v>2.4238104851218384E-2</v>
      </c>
      <c r="BC61">
        <v>-0.21283224323004199</v>
      </c>
      <c r="BD61">
        <v>-8.1909506896957196E-2</v>
      </c>
      <c r="BE61" s="56">
        <f t="shared" si="2"/>
        <v>-1.2792339368641825E-2</v>
      </c>
      <c r="BR61">
        <v>-0.16889603306734</v>
      </c>
      <c r="BS61">
        <v>-5.71962731304606E-2</v>
      </c>
      <c r="BT61">
        <v>2.3115465795631999E-2</v>
      </c>
      <c r="BU61">
        <v>7.3364066075285894E-2</v>
      </c>
      <c r="BV61" s="56">
        <f t="shared" si="3"/>
        <v>2.9142761203421949E-2</v>
      </c>
      <c r="CI61">
        <v>-7.6398581963264295E-2</v>
      </c>
      <c r="CJ61">
        <v>-8.0311738926092599E-2</v>
      </c>
      <c r="CK61">
        <v>-0.16298381261577999</v>
      </c>
      <c r="CL61" s="56">
        <f t="shared" si="4"/>
        <v>-8.9373122916824865E-3</v>
      </c>
    </row>
    <row r="62" spans="1:90" x14ac:dyDescent="0.2">
      <c r="A62" s="1">
        <v>39780</v>
      </c>
      <c r="B62" s="38">
        <f>Data!B60</f>
        <v>3.9284057100745118E-2</v>
      </c>
      <c r="C62" s="38">
        <f>Data!C60</f>
        <v>-0.11283714578354387</v>
      </c>
      <c r="D62" s="38">
        <f>Data!D60</f>
        <v>-0.10498954460966547</v>
      </c>
      <c r="E62" s="38">
        <f>Data!E60</f>
        <v>7.3284540037825696E-3</v>
      </c>
      <c r="F62" s="38">
        <f>Data!F60</f>
        <v>1.5157946625405705E-2</v>
      </c>
      <c r="G62" s="38">
        <f t="shared" si="5"/>
        <v>8.0176831353058146E-3</v>
      </c>
      <c r="H62" s="38"/>
      <c r="I62" s="38"/>
      <c r="J62" s="38"/>
      <c r="K62" s="38"/>
      <c r="W62" s="60">
        <v>3.2549848631050302E-2</v>
      </c>
      <c r="X62" s="60">
        <v>2.4786869330420701E-2</v>
      </c>
      <c r="Y62" s="60">
        <v>-0.11687285675966</v>
      </c>
      <c r="Z62" s="56">
        <f t="shared" si="0"/>
        <v>1.0473609873009999E-2</v>
      </c>
      <c r="AM62">
        <v>-7.9529317520706203E-2</v>
      </c>
      <c r="AN62">
        <v>-7.8204886478645506E-3</v>
      </c>
      <c r="AO62">
        <v>-4.6531929123046302E-2</v>
      </c>
      <c r="AP62" s="56">
        <f t="shared" si="1"/>
        <v>-1.3624017581786177E-2</v>
      </c>
      <c r="BC62">
        <v>-6.95826554163987E-2</v>
      </c>
      <c r="BD62">
        <v>-3.65664475743235E-2</v>
      </c>
      <c r="BE62" s="56">
        <f t="shared" si="2"/>
        <v>-8.1621902168670657E-3</v>
      </c>
      <c r="BR62">
        <v>0.130137459418388</v>
      </c>
      <c r="BS62">
        <v>-2.64230823147962E-2</v>
      </c>
      <c r="BT62">
        <v>1.6013293299830299E-3</v>
      </c>
      <c r="BU62">
        <v>3.4038239747914603E-2</v>
      </c>
      <c r="BV62" s="56">
        <f t="shared" si="3"/>
        <v>1.7102288004965296E-3</v>
      </c>
      <c r="CI62">
        <v>4.6875835874391501E-2</v>
      </c>
      <c r="CJ62">
        <v>-2.8024411644779201E-2</v>
      </c>
      <c r="CK62">
        <v>-8.4323008128609503E-2</v>
      </c>
      <c r="CL62" s="56">
        <f t="shared" si="4"/>
        <v>-1.7589915646034654E-2</v>
      </c>
    </row>
    <row r="63" spans="1:90" x14ac:dyDescent="0.2">
      <c r="A63" s="1">
        <v>39813</v>
      </c>
      <c r="B63" s="38">
        <f>Data!B61</f>
        <v>1.6696759791208438E-2</v>
      </c>
      <c r="C63" s="38">
        <f>Data!C61</f>
        <v>1.7317683278814666E-2</v>
      </c>
      <c r="D63" s="38">
        <f>Data!D61</f>
        <v>-9.9717688288931461E-2</v>
      </c>
      <c r="E63" s="38">
        <f>Data!E61</f>
        <v>1.1127579298419121E-2</v>
      </c>
      <c r="F63" s="38">
        <f>Data!F61</f>
        <v>6.1945291213682641E-2</v>
      </c>
      <c r="G63" s="38">
        <f t="shared" si="5"/>
        <v>1.9220239691529487E-2</v>
      </c>
      <c r="H63" s="38"/>
      <c r="I63" s="38"/>
      <c r="J63" s="38"/>
      <c r="K63" s="38"/>
      <c r="W63" s="60">
        <v>3.7309173919246597E-2</v>
      </c>
      <c r="X63" s="60">
        <v>7.7683699449345694E-2</v>
      </c>
      <c r="Y63" s="60">
        <v>3.7434915801340299E-2</v>
      </c>
      <c r="Z63" s="56">
        <f t="shared" si="0"/>
        <v>-6.9464034403451877E-3</v>
      </c>
      <c r="AM63">
        <v>1.8073274640504299E-2</v>
      </c>
      <c r="AN63">
        <v>4.1926088948296397E-3</v>
      </c>
      <c r="AO63">
        <v>4.74007748221719E-2</v>
      </c>
      <c r="AP63" s="56">
        <f t="shared" si="1"/>
        <v>-1.2735096076374353E-2</v>
      </c>
      <c r="BC63">
        <v>-4.4839365595770703E-2</v>
      </c>
      <c r="BD63">
        <v>-1.49884313072153E-2</v>
      </c>
      <c r="BE63" s="56">
        <f t="shared" si="2"/>
        <v>-4.8811508163507086E-2</v>
      </c>
      <c r="BR63">
        <v>7.8234826722082901E-2</v>
      </c>
      <c r="BS63">
        <v>-1.7190822580770201E-2</v>
      </c>
      <c r="BT63">
        <v>-1.4831622188643499E-2</v>
      </c>
      <c r="BU63">
        <v>-8.44601693643998E-3</v>
      </c>
      <c r="BV63" s="56">
        <f t="shared" si="3"/>
        <v>2.1112060456591732E-2</v>
      </c>
      <c r="CI63">
        <v>3.4186287159702101E-2</v>
      </c>
      <c r="CJ63">
        <v>-2.3592003921266702E-3</v>
      </c>
      <c r="CK63">
        <v>7.4744089720586895E-2</v>
      </c>
      <c r="CL63" s="56">
        <f t="shared" si="4"/>
        <v>1.8763715360402389E-2</v>
      </c>
    </row>
    <row r="64" spans="1:90" x14ac:dyDescent="0.2">
      <c r="A64" s="1">
        <v>39843</v>
      </c>
      <c r="B64" s="38">
        <f>Data!B62</f>
        <v>1.8921781359786394E-3</v>
      </c>
      <c r="C64" s="38">
        <f>Data!C62</f>
        <v>-3.0641195384906283E-2</v>
      </c>
      <c r="D64" s="38">
        <f>Data!D62</f>
        <v>-5.6099645740649295E-2</v>
      </c>
      <c r="E64" s="38">
        <f>Data!E62</f>
        <v>-9.9477657619539972E-4</v>
      </c>
      <c r="F64" s="38">
        <f>Data!F62</f>
        <v>1.1437752840385729E-2</v>
      </c>
      <c r="G64" s="38">
        <f t="shared" si="5"/>
        <v>-2.0514061816638922E-3</v>
      </c>
      <c r="H64" s="38"/>
      <c r="I64" s="38"/>
      <c r="J64" s="38"/>
      <c r="K64" s="38"/>
      <c r="W64" s="60">
        <v>-8.8233271439377408E-3</v>
      </c>
      <c r="X64" s="60">
        <v>8.5160156035384293E-3</v>
      </c>
      <c r="Y64" s="60">
        <v>6.1902581555519899E-2</v>
      </c>
      <c r="Z64" s="56">
        <f t="shared" si="0"/>
        <v>1.1012619203329452E-2</v>
      </c>
      <c r="AM64">
        <v>-4.8104662647895202E-2</v>
      </c>
      <c r="AN64">
        <v>6.6884874725580107E-2</v>
      </c>
      <c r="AO64">
        <v>-2.6935101076665899E-2</v>
      </c>
      <c r="AP64" s="56">
        <f t="shared" si="1"/>
        <v>-3.2220543967475257E-3</v>
      </c>
      <c r="BC64">
        <v>-5.3752224597017999E-2</v>
      </c>
      <c r="BD64">
        <v>3.6957216704314199E-3</v>
      </c>
      <c r="BE64" s="56">
        <f t="shared" si="2"/>
        <v>-2.4101415056464168E-2</v>
      </c>
      <c r="BR64">
        <v>5.1924494076299503E-2</v>
      </c>
      <c r="BS64">
        <v>1.11361601112237E-2</v>
      </c>
      <c r="BT64">
        <v>-9.4108660552010299E-3</v>
      </c>
      <c r="BU64">
        <v>7.5474662323863004E-2</v>
      </c>
      <c r="BV64" s="56">
        <f t="shared" si="3"/>
        <v>-4.7428341327546046E-3</v>
      </c>
      <c r="CI64">
        <v>1.0796388027621E-2</v>
      </c>
      <c r="CJ64">
        <v>2.05470261664247E-2</v>
      </c>
      <c r="CK64">
        <v>5.3079254411582101E-2</v>
      </c>
      <c r="CL64" s="56">
        <f t="shared" si="4"/>
        <v>-4.2405029237983782E-3</v>
      </c>
    </row>
    <row r="65" spans="1:90" x14ac:dyDescent="0.2">
      <c r="A65" s="1">
        <v>39871</v>
      </c>
      <c r="B65" s="38">
        <f>Data!B63</f>
        <v>5.7624999194281212E-3</v>
      </c>
      <c r="C65" s="38">
        <f>Data!C63</f>
        <v>-4.1365853658536511E-2</v>
      </c>
      <c r="D65" s="38">
        <f>Data!D63</f>
        <v>-1.4510700277666766E-3</v>
      </c>
      <c r="E65" s="38">
        <f>Data!E63</f>
        <v>-1.2248652649369252E-3</v>
      </c>
      <c r="F65" s="38">
        <f>Data!F63</f>
        <v>-3.5237533121523001E-2</v>
      </c>
      <c r="G65" s="38">
        <f t="shared" si="5"/>
        <v>-8.5602087173081483E-3</v>
      </c>
      <c r="H65" s="38"/>
      <c r="I65" s="38"/>
      <c r="J65" s="38"/>
      <c r="K65" s="38"/>
      <c r="W65" s="60">
        <v>-3.77444892351886E-3</v>
      </c>
      <c r="X65" s="60">
        <v>-1.1930703857049399E-2</v>
      </c>
      <c r="Y65" s="60">
        <v>-3.0892258503532801E-2</v>
      </c>
      <c r="Z65" s="56">
        <f t="shared" si="0"/>
        <v>6.4760466416455224E-3</v>
      </c>
      <c r="AM65">
        <v>-7.5228636117543699E-2</v>
      </c>
      <c r="AN65">
        <v>5.8381002966660801E-2</v>
      </c>
      <c r="AO65">
        <v>-1.50455863969647E-2</v>
      </c>
      <c r="AP65" s="56">
        <f t="shared" si="1"/>
        <v>1.7694586316934338E-2</v>
      </c>
      <c r="BC65">
        <v>-4.4333157854478597E-2</v>
      </c>
      <c r="BD65">
        <v>-1.4119806964453601E-2</v>
      </c>
      <c r="BE65" s="56">
        <f t="shared" si="2"/>
        <v>4.7943270497880074E-2</v>
      </c>
      <c r="BR65">
        <v>1.5595193188554299E-2</v>
      </c>
      <c r="BS65">
        <v>-2.1065470394521198E-3</v>
      </c>
      <c r="BT65">
        <v>-7.29002447808225E-3</v>
      </c>
      <c r="BU65">
        <v>8.4438320359566901E-2</v>
      </c>
      <c r="BV65" s="56">
        <f t="shared" si="3"/>
        <v>4.7782643381673881E-4</v>
      </c>
      <c r="CI65">
        <v>-3.9271878475319898E-2</v>
      </c>
      <c r="CJ65">
        <v>5.1834774386301198E-3</v>
      </c>
      <c r="CK65">
        <v>-3.4666707427051698E-2</v>
      </c>
      <c r="CL65" s="56">
        <f t="shared" si="4"/>
        <v>6.5852506390209758E-3</v>
      </c>
    </row>
    <row r="66" spans="1:90" x14ac:dyDescent="0.2">
      <c r="A66" s="1">
        <v>39903</v>
      </c>
      <c r="B66" s="38">
        <f>Data!B64</f>
        <v>1.4176306597878829E-2</v>
      </c>
      <c r="C66" s="38">
        <f>Data!C64</f>
        <v>0.1213108080602483</v>
      </c>
      <c r="D66" s="38">
        <f>Data!D64</f>
        <v>0.11037056056641181</v>
      </c>
      <c r="E66" s="38">
        <f>Data!E64</f>
        <v>-6.1455318507339651E-3</v>
      </c>
      <c r="F66" s="38">
        <f>Data!F64</f>
        <v>7.2092417832736677E-2</v>
      </c>
      <c r="G66" s="38">
        <f t="shared" si="5"/>
        <v>3.4463153512161809E-2</v>
      </c>
      <c r="H66" s="38"/>
      <c r="I66" s="38"/>
      <c r="J66" s="38"/>
      <c r="K66" s="38"/>
      <c r="W66" s="60">
        <v>1.39013671534931E-2</v>
      </c>
      <c r="X66" s="60">
        <v>3.73821469923361E-2</v>
      </c>
      <c r="Y66" s="60">
        <v>1.9135266073148999E-2</v>
      </c>
      <c r="Z66" s="56">
        <f t="shared" si="0"/>
        <v>5.286673773466732E-3</v>
      </c>
      <c r="AM66">
        <v>8.9196058338934403E-2</v>
      </c>
      <c r="AN66">
        <v>3.6943077386530901E-3</v>
      </c>
      <c r="AO66">
        <v>1.67156365339261E-3</v>
      </c>
      <c r="AP66" s="56">
        <f t="shared" si="1"/>
        <v>2.113247633829482E-2</v>
      </c>
      <c r="BC66">
        <v>3.60317520103959E-2</v>
      </c>
      <c r="BD66">
        <v>1.2767254166768299E-2</v>
      </c>
      <c r="BE66" s="56">
        <f t="shared" si="2"/>
        <v>6.8495011626887495E-2</v>
      </c>
      <c r="BR66">
        <v>-2.4376008150097699E-2</v>
      </c>
      <c r="BS66">
        <v>3.4840468824759397E-4</v>
      </c>
      <c r="BT66">
        <v>-9.6086353601596598E-3</v>
      </c>
      <c r="BU66">
        <v>-5.85957749845245E-2</v>
      </c>
      <c r="BV66" s="56">
        <f t="shared" si="3"/>
        <v>5.269081322528079E-3</v>
      </c>
      <c r="CI66">
        <v>6.6101878176140202E-2</v>
      </c>
      <c r="CJ66">
        <v>9.9570400484072508E-3</v>
      </c>
      <c r="CK66">
        <v>3.3036633226642097E-2</v>
      </c>
      <c r="CL66" s="56">
        <f t="shared" si="4"/>
        <v>7.9888480528400446E-3</v>
      </c>
    </row>
    <row r="67" spans="1:90" x14ac:dyDescent="0.2">
      <c r="A67" s="1">
        <v>39933</v>
      </c>
      <c r="B67" s="38">
        <f>Data!B65</f>
        <v>2.8436558039015569E-3</v>
      </c>
      <c r="C67" s="38">
        <f>Data!C65</f>
        <v>0.12071156289707741</v>
      </c>
      <c r="D67" s="38">
        <f>Data!D65</f>
        <v>9.6127921279212769E-2</v>
      </c>
      <c r="E67" s="38">
        <f>Data!E65</f>
        <v>-8.9184079217896617E-4</v>
      </c>
      <c r="F67" s="38">
        <f>Data!F65</f>
        <v>-8.4260625155561097E-3</v>
      </c>
      <c r="G67" s="38">
        <f t="shared" si="5"/>
        <v>1.2756848449437572E-2</v>
      </c>
      <c r="H67" s="38"/>
      <c r="I67" s="38"/>
      <c r="J67" s="38"/>
      <c r="K67" s="38"/>
      <c r="W67" s="60">
        <v>4.7809093344506302E-3</v>
      </c>
      <c r="X67" s="60">
        <v>5.38665958012223E-2</v>
      </c>
      <c r="Y67" s="60">
        <v>0.10987892556449599</v>
      </c>
      <c r="Z67" s="56">
        <f t="shared" si="0"/>
        <v>4.8464109726684603E-3</v>
      </c>
      <c r="AM67">
        <v>9.6005988740762493E-2</v>
      </c>
      <c r="AN67">
        <v>-1.1185677783797299E-2</v>
      </c>
      <c r="AO67">
        <v>5.8873252998914001E-2</v>
      </c>
      <c r="AP67" s="56">
        <f t="shared" si="1"/>
        <v>9.7994928022345218E-3</v>
      </c>
      <c r="BC67">
        <v>7.3301855495822004E-3</v>
      </c>
      <c r="BD67">
        <v>3.1902162062693799E-2</v>
      </c>
      <c r="BE67" s="56">
        <f t="shared" si="2"/>
        <v>4.8343521042585706E-2</v>
      </c>
      <c r="BR67">
        <v>-3.3882634470006001E-2</v>
      </c>
      <c r="BS67">
        <v>7.9822961908986301E-3</v>
      </c>
      <c r="BT67">
        <v>-2.3014830486682399E-2</v>
      </c>
      <c r="BU67">
        <v>-4.1266514243392297E-2</v>
      </c>
      <c r="BV67" s="56">
        <f t="shared" si="3"/>
        <v>1.8427375887040943E-2</v>
      </c>
      <c r="CI67">
        <v>-1.30533349242334E-2</v>
      </c>
      <c r="CJ67">
        <v>3.0997126677581002E-2</v>
      </c>
      <c r="CK67">
        <v>0.114659834898947</v>
      </c>
      <c r="CL67" s="56">
        <f t="shared" si="4"/>
        <v>-1.0860422315367775E-2</v>
      </c>
    </row>
    <row r="68" spans="1:90" x14ac:dyDescent="0.2">
      <c r="A68" s="1">
        <v>39962</v>
      </c>
      <c r="B68" s="38">
        <f>Data!B66</f>
        <v>2.9238107840727778E-3</v>
      </c>
      <c r="C68" s="38">
        <f>Data!C66</f>
        <v>2.5591188856495029E-2</v>
      </c>
      <c r="D68" s="38">
        <f>Data!D66</f>
        <v>5.6807368439951711E-2</v>
      </c>
      <c r="E68" s="38">
        <f>Data!E66</f>
        <v>3.5352452713481419E-2</v>
      </c>
      <c r="F68" s="38">
        <f>Data!F66</f>
        <v>6.9977164057573038E-3</v>
      </c>
      <c r="G68" s="38">
        <f t="shared" si="5"/>
        <v>1.6020246954364881E-2</v>
      </c>
      <c r="H68" s="38"/>
      <c r="I68" s="38"/>
      <c r="J68" s="38"/>
      <c r="K68" s="38"/>
      <c r="W68" s="60">
        <v>7.2534609468466503E-3</v>
      </c>
      <c r="X68" s="60">
        <v>3.7849559976800999E-2</v>
      </c>
      <c r="Y68" s="60">
        <v>6.3876517405155403E-2</v>
      </c>
      <c r="Z68" s="56">
        <f t="shared" ref="Z68:Z123" si="6">B68-SUMPRODUCT(W68:Y68, W$2:Y$2)</f>
        <v>1.0852129328845902E-3</v>
      </c>
      <c r="AM68">
        <v>4.9571774959488203E-2</v>
      </c>
      <c r="AN68">
        <v>-1.2264569074484E-2</v>
      </c>
      <c r="AO68">
        <v>-2.57841460729198E-2</v>
      </c>
      <c r="AP68" s="56">
        <f t="shared" ref="AP68:AP123" si="7">C68-SUMPRODUCT(AM68:AO68, AM$2:AO$2)</f>
        <v>-1.8957625679453055E-2</v>
      </c>
      <c r="BC68">
        <v>0.13004484304932701</v>
      </c>
      <c r="BD68">
        <v>4.7429671110515298E-2</v>
      </c>
      <c r="BE68" s="56">
        <f t="shared" ref="BE68:BE123" si="8">D68-SUMPRODUCT(BC68:BD68, BC$2:BD$2)</f>
        <v>-9.6138192880861867E-2</v>
      </c>
      <c r="BR68">
        <v>0.102420625985138</v>
      </c>
      <c r="BS68">
        <v>2.8634142135389298E-2</v>
      </c>
      <c r="BT68">
        <v>-1.06949387370421E-2</v>
      </c>
      <c r="BU68">
        <v>7.8112778279792999E-3</v>
      </c>
      <c r="BV68" s="56">
        <f t="shared" ref="BV68:BV123" si="9">E68-SUMPRODUCT(BR68:BU68, BR$2:BU$2)</f>
        <v>2.5071303319395076E-2</v>
      </c>
      <c r="CI68">
        <v>3.2823153924270701E-3</v>
      </c>
      <c r="CJ68">
        <v>3.93290808724314E-2</v>
      </c>
      <c r="CK68">
        <v>7.1129978352002105E-2</v>
      </c>
      <c r="CL68" s="56">
        <f t="shared" ref="CL68:CL123" si="10">F68-SUMPRODUCT(CI68:CK68, CI$2:CK$2)</f>
        <v>-2.3927513012799301E-3</v>
      </c>
    </row>
    <row r="69" spans="1:90" x14ac:dyDescent="0.2">
      <c r="A69" s="1">
        <v>39994</v>
      </c>
      <c r="B69" s="38">
        <f>Data!B67</f>
        <v>1.2503062936273235E-3</v>
      </c>
      <c r="C69" s="38">
        <f>Data!C67</f>
        <v>4.0587492103600686E-2</v>
      </c>
      <c r="D69" s="38">
        <f>Data!D67</f>
        <v>5.7130357961978406E-2</v>
      </c>
      <c r="E69" s="38">
        <f>Data!E67</f>
        <v>-1.169011057235525E-2</v>
      </c>
      <c r="F69" s="38">
        <f>Data!F67</f>
        <v>-3.9761189674250019E-3</v>
      </c>
      <c r="G69" s="38">
        <f t="shared" ref="G69:G123" si="11">SUMPRODUCT($B$2:$F$2,B69:F69)</f>
        <v>2.6945763080507743E-3</v>
      </c>
      <c r="H69" s="38"/>
      <c r="I69" s="38"/>
      <c r="J69" s="38"/>
      <c r="K69" s="38"/>
      <c r="W69" s="60">
        <v>5.6876798609981601E-3</v>
      </c>
      <c r="X69" s="60">
        <v>1.31930608873123E-2</v>
      </c>
      <c r="Y69" s="60">
        <v>2.6109819694262199E-2</v>
      </c>
      <c r="Z69" s="56">
        <f t="shared" si="6"/>
        <v>-1.0008043776083267E-3</v>
      </c>
      <c r="AM69">
        <v>1.1187199152019401E-2</v>
      </c>
      <c r="AN69">
        <v>1.8572288896193698E-2</v>
      </c>
      <c r="AO69">
        <v>1.27037720663044E-2</v>
      </c>
      <c r="AP69" s="56">
        <f t="shared" si="7"/>
        <v>1.7658771158770434E-2</v>
      </c>
      <c r="BC69">
        <v>-1.9026859570119101E-2</v>
      </c>
      <c r="BD69">
        <v>1.5277816528962001E-2</v>
      </c>
      <c r="BE69" s="56">
        <f t="shared" si="8"/>
        <v>4.9739058154056666E-2</v>
      </c>
      <c r="BR69">
        <v>-5.3790455181429102E-2</v>
      </c>
      <c r="BS69">
        <v>4.5975071043335997E-3</v>
      </c>
      <c r="BT69">
        <v>-1.08628734721803E-2</v>
      </c>
      <c r="BU69">
        <v>-1.6251685186863301E-4</v>
      </c>
      <c r="BV69" s="56">
        <f t="shared" si="9"/>
        <v>-1.9947680426526254E-4</v>
      </c>
      <c r="CI69">
        <v>-5.3682783551739499E-3</v>
      </c>
      <c r="CJ69">
        <v>1.54603805765139E-2</v>
      </c>
      <c r="CK69">
        <v>3.1797499555260303E-2</v>
      </c>
      <c r="CL69" s="56">
        <f t="shared" si="10"/>
        <v>-2.2186257041752781E-3</v>
      </c>
    </row>
    <row r="70" spans="1:90" x14ac:dyDescent="0.2">
      <c r="A70" s="1">
        <v>40025</v>
      </c>
      <c r="B70" s="38">
        <f>Data!B68</f>
        <v>8.1827309236948143E-3</v>
      </c>
      <c r="C70" s="38">
        <f>Data!C68</f>
        <v>9.1516163302473919E-2</v>
      </c>
      <c r="D70" s="38">
        <f>Data!D68</f>
        <v>0.15322525562988387</v>
      </c>
      <c r="E70" s="38">
        <f>Data!E68</f>
        <v>4.9194060562660624E-3</v>
      </c>
      <c r="F70" s="38">
        <f>Data!F68</f>
        <v>9.2475034792587341E-3</v>
      </c>
      <c r="G70" s="38">
        <f t="shared" si="11"/>
        <v>2.1064223534247407E-2</v>
      </c>
      <c r="H70" s="38"/>
      <c r="I70" s="38"/>
      <c r="J70" s="38"/>
      <c r="K70" s="38"/>
      <c r="W70" s="60">
        <v>1.6129685369903099E-2</v>
      </c>
      <c r="X70" s="60">
        <v>3.08625692429438E-2</v>
      </c>
      <c r="Y70" s="60">
        <v>4.5700990366542397E-2</v>
      </c>
      <c r="Z70" s="56">
        <f t="shared" si="6"/>
        <v>1.6398044594880673E-4</v>
      </c>
      <c r="AM70">
        <v>7.1026387980158506E-2</v>
      </c>
      <c r="AN70">
        <v>-1.08244355590772E-2</v>
      </c>
      <c r="AO70">
        <v>2.06737511819171E-2</v>
      </c>
      <c r="AP70" s="56">
        <f t="shared" si="7"/>
        <v>1.4600017362529305E-2</v>
      </c>
      <c r="BC70">
        <v>3.2317008652053898E-2</v>
      </c>
      <c r="BD70">
        <v>2.7961021759713701E-2</v>
      </c>
      <c r="BE70" s="56">
        <f t="shared" si="8"/>
        <v>9.3545239268801178E-2</v>
      </c>
      <c r="BR70">
        <v>2.96815974096061E-2</v>
      </c>
      <c r="BS70">
        <v>1.47341599114002E-2</v>
      </c>
      <c r="BT70">
        <v>-1.4958338659874599E-2</v>
      </c>
      <c r="BU70">
        <v>-4.36063663505366E-2</v>
      </c>
      <c r="BV70" s="56">
        <f t="shared" si="9"/>
        <v>1.0518484141507942E-2</v>
      </c>
      <c r="CI70">
        <v>9.7768408810061692E-3</v>
      </c>
      <c r="CJ70">
        <v>2.9692498571274799E-2</v>
      </c>
      <c r="CK70">
        <v>6.1830675736445503E-2</v>
      </c>
      <c r="CL70" s="56">
        <f t="shared" si="10"/>
        <v>-5.7630091692362911E-3</v>
      </c>
    </row>
    <row r="71" spans="1:90" x14ac:dyDescent="0.2">
      <c r="A71" s="1">
        <v>40056</v>
      </c>
      <c r="B71" s="38">
        <f>Data!B69</f>
        <v>6.6785340835531226E-3</v>
      </c>
      <c r="C71" s="38">
        <f>Data!C69</f>
        <v>2.502780867630694E-2</v>
      </c>
      <c r="D71" s="38">
        <f>Data!D69</f>
        <v>4.8938794280777076E-2</v>
      </c>
      <c r="E71" s="38">
        <f>Data!E69</f>
        <v>3.7467987639923095E-3</v>
      </c>
      <c r="F71" s="38">
        <f>Data!F69</f>
        <v>4.7295621828562506E-3</v>
      </c>
      <c r="G71" s="38">
        <f t="shared" si="11"/>
        <v>9.0389400971032843E-3</v>
      </c>
      <c r="H71" s="38"/>
      <c r="I71" s="38"/>
      <c r="J71" s="38"/>
      <c r="K71" s="38"/>
      <c r="W71" s="60">
        <v>1.03544007863765E-2</v>
      </c>
      <c r="X71" s="60">
        <v>1.9005303805713199E-2</v>
      </c>
      <c r="Y71" s="60">
        <v>9.9841737055359498E-3</v>
      </c>
      <c r="Z71" s="56">
        <f t="shared" si="6"/>
        <v>2.2245898578651495E-4</v>
      </c>
      <c r="AM71">
        <v>2.0739067816497401E-2</v>
      </c>
      <c r="AN71">
        <v>-3.1566914558429901E-2</v>
      </c>
      <c r="AO71">
        <v>-7.4294528244644997E-3</v>
      </c>
      <c r="AP71" s="56">
        <f t="shared" si="7"/>
        <v>1.7758290603294018E-2</v>
      </c>
      <c r="BC71">
        <v>-5.82662824298386E-3</v>
      </c>
      <c r="BD71">
        <v>2.3002813232854101E-2</v>
      </c>
      <c r="BE71" s="56">
        <f t="shared" si="8"/>
        <v>2.2122775045165036E-2</v>
      </c>
      <c r="BR71">
        <v>-2.9454926624737899E-3</v>
      </c>
      <c r="BS71">
        <v>1.1457930825694599E-2</v>
      </c>
      <c r="BT71">
        <v>-6.0643564508266997E-3</v>
      </c>
      <c r="BU71">
        <v>-2.2431393367512899E-2</v>
      </c>
      <c r="BV71" s="56">
        <f t="shared" si="9"/>
        <v>5.7860580567754769E-3</v>
      </c>
      <c r="CI71">
        <v>1.4577259475219201E-3</v>
      </c>
      <c r="CJ71">
        <v>1.75222872765213E-2</v>
      </c>
      <c r="CK71">
        <v>2.0338574491912498E-2</v>
      </c>
      <c r="CL71" s="56">
        <f t="shared" si="10"/>
        <v>2.3430347581112473E-3</v>
      </c>
    </row>
    <row r="72" spans="1:90" x14ac:dyDescent="0.2">
      <c r="A72" s="1">
        <v>40086</v>
      </c>
      <c r="B72" s="38">
        <f>Data!B70</f>
        <v>8.037740282062833E-3</v>
      </c>
      <c r="C72" s="38">
        <f>Data!C70</f>
        <v>4.4899620184481792E-2</v>
      </c>
      <c r="D72" s="38">
        <f>Data!D70</f>
        <v>-7.1144118321104788E-3</v>
      </c>
      <c r="E72" s="38">
        <f>Data!E70</f>
        <v>1.7088998695201196E-2</v>
      </c>
      <c r="F72" s="38">
        <f>Data!F70</f>
        <v>2.0502633559067007E-2</v>
      </c>
      <c r="G72" s="38">
        <f t="shared" si="11"/>
        <v>1.4787768922235139E-2</v>
      </c>
      <c r="H72" s="38"/>
      <c r="I72" s="38"/>
      <c r="J72" s="38"/>
      <c r="K72" s="38"/>
      <c r="W72" s="60">
        <v>1.05046574153811E-2</v>
      </c>
      <c r="X72" s="60">
        <v>4.91724688962447E-2</v>
      </c>
      <c r="Y72" s="60">
        <v>4.92554555884233E-2</v>
      </c>
      <c r="Z72" s="56">
        <f t="shared" si="6"/>
        <v>2.6520255635624863E-3</v>
      </c>
      <c r="AM72">
        <v>4.2535588851809497E-2</v>
      </c>
      <c r="AN72">
        <v>3.8995669501176201E-3</v>
      </c>
      <c r="AO72">
        <v>2.03617329607957E-2</v>
      </c>
      <c r="AP72" s="56">
        <f t="shared" si="7"/>
        <v>-7.2474388278883708E-3</v>
      </c>
      <c r="BC72">
        <v>1.57344806392135E-2</v>
      </c>
      <c r="BD72">
        <v>3.7618026010251902E-2</v>
      </c>
      <c r="BE72" s="56">
        <f t="shared" si="8"/>
        <v>-6.8334706059166E-2</v>
      </c>
      <c r="BR72">
        <v>5.9409791944827102E-2</v>
      </c>
      <c r="BS72">
        <v>1.6931328115874701E-2</v>
      </c>
      <c r="BT72">
        <v>-7.5793043747116604E-3</v>
      </c>
      <c r="BU72">
        <v>-5.1461525082594503E-3</v>
      </c>
      <c r="BV72" s="56">
        <f t="shared" si="9"/>
        <v>1.2412766711495063E-2</v>
      </c>
      <c r="CI72">
        <v>1.96476599517195E-2</v>
      </c>
      <c r="CJ72">
        <v>2.4510632490586399E-2</v>
      </c>
      <c r="CK72">
        <v>5.9760113003804398E-2</v>
      </c>
      <c r="CL72" s="56">
        <f t="shared" si="10"/>
        <v>-3.7928648217468233E-3</v>
      </c>
    </row>
    <row r="73" spans="1:90" x14ac:dyDescent="0.2">
      <c r="A73" s="1">
        <v>40116</v>
      </c>
      <c r="B73" s="38">
        <f>Data!B71</f>
        <v>7.1456172525254935E-3</v>
      </c>
      <c r="C73" s="38">
        <f>Data!C71</f>
        <v>-3.7647669739063749E-3</v>
      </c>
      <c r="D73" s="38">
        <f>Data!D71</f>
        <v>3.8873073590756535E-2</v>
      </c>
      <c r="E73" s="38">
        <f>Data!E71</f>
        <v>-5.1555780354856084E-3</v>
      </c>
      <c r="F73" s="38">
        <f>Data!F71</f>
        <v>1.7955418183104976E-2</v>
      </c>
      <c r="G73" s="38">
        <f t="shared" si="11"/>
        <v>7.3706834589003165E-3</v>
      </c>
      <c r="H73" s="38"/>
      <c r="I73" s="38"/>
      <c r="J73" s="38"/>
      <c r="K73" s="38"/>
      <c r="W73" s="60">
        <v>4.9375166698108998E-3</v>
      </c>
      <c r="X73" s="60">
        <v>1.4795796253182E-3</v>
      </c>
      <c r="Y73" s="60">
        <v>1.2925735559806001E-2</v>
      </c>
      <c r="Z73" s="56">
        <f t="shared" si="6"/>
        <v>5.0343419123479952E-3</v>
      </c>
      <c r="AM73">
        <v>-1.35448500040061E-2</v>
      </c>
      <c r="AN73">
        <v>1.7059864552080001E-2</v>
      </c>
      <c r="AO73">
        <v>-4.9318150319945499E-2</v>
      </c>
      <c r="AP73" s="56">
        <f t="shared" si="7"/>
        <v>1.2026279590006662E-2</v>
      </c>
      <c r="BC73">
        <v>3.2796414642811002E-2</v>
      </c>
      <c r="BD73">
        <v>5.3664050280093399E-3</v>
      </c>
      <c r="BE73" s="56">
        <f t="shared" si="8"/>
        <v>9.1378992438677399E-3</v>
      </c>
      <c r="BR73">
        <v>3.7461546095068E-2</v>
      </c>
      <c r="BS73">
        <v>-3.96905698611283E-4</v>
      </c>
      <c r="BT73">
        <v>-1.29540706604048E-2</v>
      </c>
      <c r="BU73">
        <v>1.1406547680002E-2</v>
      </c>
      <c r="BV73" s="56">
        <f t="shared" si="9"/>
        <v>1.0053894971844791E-3</v>
      </c>
      <c r="CI73">
        <v>1.8705095141022601E-2</v>
      </c>
      <c r="CJ73">
        <v>1.25571649617935E-2</v>
      </c>
      <c r="CK73">
        <v>1.7863252229616901E-2</v>
      </c>
      <c r="CL73" s="56">
        <f t="shared" si="10"/>
        <v>-3.3323956787910392E-4</v>
      </c>
    </row>
    <row r="74" spans="1:90" x14ac:dyDescent="0.2">
      <c r="A74" s="1">
        <v>40147</v>
      </c>
      <c r="B74" s="38">
        <f>Data!B72</f>
        <v>1.2825665948039466E-2</v>
      </c>
      <c r="C74" s="38">
        <f>Data!C72</f>
        <v>5.1472504560854837E-2</v>
      </c>
      <c r="D74" s="38">
        <f>Data!D72</f>
        <v>4.6495078529715794E-2</v>
      </c>
      <c r="E74" s="38">
        <f>Data!E72</f>
        <v>2.1699879795544774E-2</v>
      </c>
      <c r="F74" s="38">
        <f>Data!F72</f>
        <v>2.5548312327973388E-2</v>
      </c>
      <c r="G74" s="38">
        <f t="shared" si="11"/>
        <v>2.2226567520990826E-2</v>
      </c>
      <c r="H74" s="38"/>
      <c r="I74" s="38"/>
      <c r="J74" s="38"/>
      <c r="K74" s="38"/>
      <c r="W74" s="60">
        <v>1.2946659761781601E-2</v>
      </c>
      <c r="X74" s="60">
        <v>1.0472114193842599E-2</v>
      </c>
      <c r="Y74" s="60">
        <v>-2.81437119079619E-3</v>
      </c>
      <c r="Z74" s="56">
        <f t="shared" si="6"/>
        <v>4.3822270202478319E-3</v>
      </c>
      <c r="AM74">
        <v>6.1432536293766202E-2</v>
      </c>
      <c r="AN74">
        <v>5.0692674864318797E-3</v>
      </c>
      <c r="AO74">
        <v>-2.85933380110979E-2</v>
      </c>
      <c r="AP74" s="56">
        <f t="shared" si="7"/>
        <v>-1.3484787872960771E-2</v>
      </c>
      <c r="BC74">
        <v>3.5174306634678097E-2</v>
      </c>
      <c r="BD74">
        <v>1.2591315316613699E-2</v>
      </c>
      <c r="BE74" s="56">
        <f t="shared" si="8"/>
        <v>5.4446901573564632E-3</v>
      </c>
      <c r="BR74">
        <v>0.12834664498541301</v>
      </c>
      <c r="BS74">
        <v>7.9809861968849205E-3</v>
      </c>
      <c r="BT74">
        <v>1.8764205720722699E-3</v>
      </c>
      <c r="BU74">
        <v>-4.4320231785777799E-2</v>
      </c>
      <c r="BV74" s="56">
        <f t="shared" si="9"/>
        <v>8.0585472162054764E-3</v>
      </c>
      <c r="CI74">
        <v>2.64986592082119E-2</v>
      </c>
      <c r="CJ74">
        <v>6.1045656248126497E-3</v>
      </c>
      <c r="CK74">
        <v>1.0132288570985399E-2</v>
      </c>
      <c r="CL74" s="56">
        <f t="shared" si="10"/>
        <v>6.0158017595196567E-4</v>
      </c>
    </row>
    <row r="75" spans="1:90" x14ac:dyDescent="0.2">
      <c r="A75" s="1">
        <v>40178</v>
      </c>
      <c r="B75" s="38">
        <f>Data!B73</f>
        <v>-1.4076292180772887E-2</v>
      </c>
      <c r="C75" s="38">
        <f>Data!C73</f>
        <v>5.6016854628826218E-2</v>
      </c>
      <c r="D75" s="38">
        <f>Data!D73</f>
        <v>7.5519158638387429E-2</v>
      </c>
      <c r="E75" s="38">
        <f>Data!E73</f>
        <v>-1.3023219320867363E-2</v>
      </c>
      <c r="F75" s="38">
        <f>Data!F73</f>
        <v>-2.1973737739004684E-2</v>
      </c>
      <c r="G75" s="38">
        <f t="shared" si="11"/>
        <v>-5.8970075040465589E-3</v>
      </c>
      <c r="H75" s="38"/>
      <c r="I75" s="38"/>
      <c r="J75" s="38"/>
      <c r="K75" s="38"/>
      <c r="W75" s="60">
        <v>-1.5631390593047099E-2</v>
      </c>
      <c r="X75" s="60">
        <v>3.2036810079769701E-3</v>
      </c>
      <c r="Y75" s="60">
        <v>4.6977564128499197E-2</v>
      </c>
      <c r="Z75" s="56">
        <f t="shared" si="6"/>
        <v>-1.6709891442626881E-3</v>
      </c>
      <c r="AM75">
        <v>3.0908449162891E-2</v>
      </c>
      <c r="AN75">
        <v>1.32127822221002E-2</v>
      </c>
      <c r="AO75">
        <v>6.1179131660279003E-2</v>
      </c>
      <c r="AP75" s="56">
        <f t="shared" si="7"/>
        <v>5.3525286811080056E-3</v>
      </c>
      <c r="BC75">
        <v>1.97893517622547E-2</v>
      </c>
      <c r="BD75">
        <v>2.3586033376995299E-2</v>
      </c>
      <c r="BE75" s="56">
        <f t="shared" si="8"/>
        <v>3.0312867389942141E-2</v>
      </c>
      <c r="BR75">
        <v>-7.0072819443384796E-2</v>
      </c>
      <c r="BS75">
        <v>8.0929851153905795E-3</v>
      </c>
      <c r="BT75">
        <v>-1.24192433300312E-2</v>
      </c>
      <c r="BU75">
        <v>1.36577195397436E-3</v>
      </c>
      <c r="BV75" s="56">
        <f t="shared" si="9"/>
        <v>-7.8553098262339541E-5</v>
      </c>
      <c r="CI75">
        <v>-2.7483146067415799E-2</v>
      </c>
      <c r="CJ75">
        <v>2.0512228445421801E-2</v>
      </c>
      <c r="CK75">
        <v>3.1346173535452097E-2</v>
      </c>
      <c r="CL75" s="56">
        <f t="shared" si="10"/>
        <v>5.8492431258751199E-4</v>
      </c>
    </row>
    <row r="76" spans="1:90" x14ac:dyDescent="0.2">
      <c r="A76" s="1">
        <v>40207</v>
      </c>
      <c r="B76" s="38">
        <f>Data!B74</f>
        <v>1.3264864271469223E-2</v>
      </c>
      <c r="C76" s="38">
        <f>Data!C74</f>
        <v>-8.4379767632906888E-2</v>
      </c>
      <c r="D76" s="38">
        <f>Data!D74</f>
        <v>-8.7558666306193467E-2</v>
      </c>
      <c r="E76" s="38">
        <f>Data!E74</f>
        <v>-1.9530570866210351E-2</v>
      </c>
      <c r="F76" s="38">
        <f>Data!F74</f>
        <v>1.9399751581501423E-2</v>
      </c>
      <c r="G76" s="38">
        <f t="shared" si="11"/>
        <v>-5.5025366846182472E-3</v>
      </c>
      <c r="H76" s="38"/>
      <c r="I76" s="38"/>
      <c r="J76" s="38"/>
      <c r="K76" s="38"/>
      <c r="W76" s="60">
        <v>1.5275848189360701E-2</v>
      </c>
      <c r="X76" s="60">
        <v>3.6863989026534299E-3</v>
      </c>
      <c r="Y76" s="60">
        <v>-1.20727551330191E-4</v>
      </c>
      <c r="Z76" s="56">
        <f t="shared" si="6"/>
        <v>3.9801523650377646E-3</v>
      </c>
      <c r="AM76">
        <v>-4.3636116005124598E-2</v>
      </c>
      <c r="AN76">
        <v>-1.55127941971411E-2</v>
      </c>
      <c r="AO76">
        <v>-8.3801280553308399E-4</v>
      </c>
      <c r="AP76" s="56">
        <f t="shared" si="7"/>
        <v>-2.9170500565692724E-2</v>
      </c>
      <c r="BC76">
        <v>-7.2779218193712594E-2</v>
      </c>
      <c r="BD76">
        <v>6.9215520360277304E-3</v>
      </c>
      <c r="BE76" s="56">
        <f t="shared" si="8"/>
        <v>-4.6803258454819467E-2</v>
      </c>
      <c r="BR76">
        <v>-1.43759628795682E-2</v>
      </c>
      <c r="BS76">
        <v>-1.18120192092897E-3</v>
      </c>
      <c r="BT76">
        <v>-1.64988587599115E-2</v>
      </c>
      <c r="BU76">
        <v>2.32603814001358E-2</v>
      </c>
      <c r="BV76" s="56">
        <f t="shared" si="9"/>
        <v>-6.3080498320320141E-3</v>
      </c>
      <c r="CI76">
        <v>2.0513205628856002E-2</v>
      </c>
      <c r="CJ76">
        <v>1.5317656838982599E-2</v>
      </c>
      <c r="CK76">
        <v>1.5155120638030499E-2</v>
      </c>
      <c r="CL76" s="56">
        <f t="shared" si="10"/>
        <v>2.3360236824154779E-4</v>
      </c>
    </row>
    <row r="77" spans="1:90" x14ac:dyDescent="0.2">
      <c r="A77" s="1">
        <v>40235</v>
      </c>
      <c r="B77" s="38">
        <f>Data!B75</f>
        <v>1.7755895559219415E-3</v>
      </c>
      <c r="C77" s="38">
        <f>Data!C75</f>
        <v>4.1655985644706517E-2</v>
      </c>
      <c r="D77" s="38">
        <f>Data!D75</f>
        <v>6.0623913572412258E-2</v>
      </c>
      <c r="E77" s="38">
        <f>Data!E75</f>
        <v>1.5972913859152449E-3</v>
      </c>
      <c r="F77" s="38">
        <f>Data!F75</f>
        <v>-1.2994961831195861E-2</v>
      </c>
      <c r="G77" s="38">
        <f t="shared" si="11"/>
        <v>4.4194604292123385E-3</v>
      </c>
      <c r="H77" s="38"/>
      <c r="I77" s="38"/>
      <c r="J77" s="38"/>
      <c r="K77" s="38"/>
      <c r="W77" s="60">
        <v>3.7343257431885499E-3</v>
      </c>
      <c r="X77" s="60">
        <v>1.41575912876362E-2</v>
      </c>
      <c r="Y77" s="60">
        <v>-2.1854966407328699E-3</v>
      </c>
      <c r="Z77" s="56">
        <f t="shared" si="6"/>
        <v>-1.3394483638777444E-3</v>
      </c>
      <c r="AM77">
        <v>3.4366251735177697E-2</v>
      </c>
      <c r="AN77">
        <v>2.8005335449292602E-3</v>
      </c>
      <c r="AO77">
        <v>1.40685762264494E-2</v>
      </c>
      <c r="AP77" s="56">
        <f t="shared" si="7"/>
        <v>9.7494641365519774E-5</v>
      </c>
      <c r="BC77">
        <v>3.7127172014093802E-2</v>
      </c>
      <c r="BD77">
        <v>8.0574999639675404E-3</v>
      </c>
      <c r="BE77" s="56">
        <f t="shared" si="8"/>
        <v>2.4305927815072181E-2</v>
      </c>
      <c r="BR77">
        <v>3.36570477247502E-2</v>
      </c>
      <c r="BS77">
        <v>1.24729761544984E-3</v>
      </c>
      <c r="BT77">
        <v>-4.3769582493360399E-3</v>
      </c>
      <c r="BU77">
        <v>-2.1807780263803301E-2</v>
      </c>
      <c r="BV77" s="56">
        <f t="shared" si="9"/>
        <v>2.3250465493260572E-3</v>
      </c>
      <c r="CI77">
        <v>-1.80856905110977E-2</v>
      </c>
      <c r="CJ77">
        <v>5.6242558647858799E-3</v>
      </c>
      <c r="CK77">
        <v>1.5488291024556801E-3</v>
      </c>
      <c r="CL77" s="56">
        <f t="shared" si="10"/>
        <v>3.8967390787504504E-3</v>
      </c>
    </row>
    <row r="78" spans="1:90" x14ac:dyDescent="0.2">
      <c r="A78" s="1">
        <v>40268</v>
      </c>
      <c r="B78" s="38">
        <f>Data!B76</f>
        <v>3.3045536749654048E-4</v>
      </c>
      <c r="C78" s="38">
        <f>Data!C76</f>
        <v>6.767564907099799E-2</v>
      </c>
      <c r="D78" s="38">
        <f>Data!D76</f>
        <v>9.6605879972317954E-2</v>
      </c>
      <c r="E78" s="38">
        <f>Data!E76</f>
        <v>1.5901781507143165E-2</v>
      </c>
      <c r="F78" s="38">
        <f>Data!F76</f>
        <v>-4.3810289389067947E-3</v>
      </c>
      <c r="G78" s="38">
        <f t="shared" si="11"/>
        <v>1.2845809550596948E-2</v>
      </c>
      <c r="H78" s="38"/>
      <c r="I78" s="38"/>
      <c r="J78" s="38"/>
      <c r="K78" s="38"/>
      <c r="W78" s="60">
        <v>-1.22952647304286E-3</v>
      </c>
      <c r="X78" s="60">
        <v>2.3329753858463399E-2</v>
      </c>
      <c r="Y78" s="60">
        <v>3.2186922720535402E-2</v>
      </c>
      <c r="Z78" s="56">
        <f t="shared" si="6"/>
        <v>2.0851724880607794E-3</v>
      </c>
      <c r="AM78">
        <v>5.7842717601568103E-2</v>
      </c>
      <c r="AN78">
        <v>-7.2568682389424497E-3</v>
      </c>
      <c r="AO78">
        <v>2.10437099643817E-2</v>
      </c>
      <c r="AP78" s="56">
        <f t="shared" si="7"/>
        <v>3.5989805579452472E-3</v>
      </c>
      <c r="BC78">
        <v>-1.2423696993752901E-2</v>
      </c>
      <c r="BD78">
        <v>3.0363647811136901E-2</v>
      </c>
      <c r="BE78" s="56">
        <f t="shared" si="8"/>
        <v>6.4462048669315666E-2</v>
      </c>
      <c r="BR78">
        <v>-3.8833561502875698E-3</v>
      </c>
      <c r="BS78">
        <v>1.5559272311045201E-2</v>
      </c>
      <c r="BT78">
        <v>-6.4636733003187196E-4</v>
      </c>
      <c r="BU78">
        <v>-2.8806190249837799E-2</v>
      </c>
      <c r="BV78" s="56">
        <f t="shared" si="9"/>
        <v>1.2883758515761781E-2</v>
      </c>
      <c r="CI78">
        <v>-7.8633030484711597E-3</v>
      </c>
      <c r="CJ78">
        <v>1.6205639641077001E-2</v>
      </c>
      <c r="CK78">
        <v>3.09573962474925E-2</v>
      </c>
      <c r="CL78" s="56">
        <f t="shared" si="10"/>
        <v>-1.3055254099988457E-4</v>
      </c>
    </row>
    <row r="79" spans="1:90" x14ac:dyDescent="0.2">
      <c r="A79" s="1">
        <v>40298</v>
      </c>
      <c r="B79" s="38">
        <f>Data!B77</f>
        <v>6.0243134805275655E-3</v>
      </c>
      <c r="C79" s="38">
        <f>Data!C77</f>
        <v>1.7863316814567209E-2</v>
      </c>
      <c r="D79" s="38">
        <f>Data!D77</f>
        <v>-3.2228402163962167E-2</v>
      </c>
      <c r="E79" s="38">
        <f>Data!E77</f>
        <v>8.1760635077161581E-3</v>
      </c>
      <c r="F79" s="38">
        <f>Data!F77</f>
        <v>2.8230015513532658E-2</v>
      </c>
      <c r="G79" s="38">
        <f t="shared" si="11"/>
        <v>1.0238480769325257E-2</v>
      </c>
      <c r="H79" s="38"/>
      <c r="I79" s="38"/>
      <c r="J79" s="38"/>
      <c r="K79" s="38"/>
      <c r="W79" s="60">
        <v>1.04096237992575E-2</v>
      </c>
      <c r="X79" s="60">
        <v>7.6130120779407404E-3</v>
      </c>
      <c r="Y79" s="60">
        <v>1.1980317161827601E-2</v>
      </c>
      <c r="Z79" s="56">
        <f t="shared" si="6"/>
        <v>2.718418809946662E-4</v>
      </c>
      <c r="AM79">
        <v>1.11738976238325E-2</v>
      </c>
      <c r="AN79">
        <v>-1.4701560670037099E-2</v>
      </c>
      <c r="AO79">
        <v>4.08068108460065E-2</v>
      </c>
      <c r="AP79" s="56">
        <f t="shared" si="7"/>
        <v>5.0991581487482285E-3</v>
      </c>
      <c r="BC79">
        <v>1.9442689159781E-2</v>
      </c>
      <c r="BD79">
        <v>1.74100333738492E-2</v>
      </c>
      <c r="BE79" s="56">
        <f t="shared" si="8"/>
        <v>-6.8921206398763396E-2</v>
      </c>
      <c r="BR79">
        <v>5.9088255108915397E-2</v>
      </c>
      <c r="BS79">
        <v>8.7067818642223606E-3</v>
      </c>
      <c r="BT79">
        <v>-5.1907659473655601E-3</v>
      </c>
      <c r="BU79">
        <v>-3.8900121766480798E-3</v>
      </c>
      <c r="BV79" s="56">
        <f t="shared" si="9"/>
        <v>4.271611421974476E-3</v>
      </c>
      <c r="CI79">
        <v>3.2550842533410902E-2</v>
      </c>
      <c r="CJ79">
        <v>1.3897547811587901E-2</v>
      </c>
      <c r="CK79">
        <v>2.2389940961085E-2</v>
      </c>
      <c r="CL79" s="56">
        <f t="shared" si="10"/>
        <v>-3.1993298331609368E-3</v>
      </c>
    </row>
    <row r="80" spans="1:90" x14ac:dyDescent="0.2">
      <c r="A80" s="1">
        <v>40329</v>
      </c>
      <c r="B80" s="38">
        <f>Data!B78</f>
        <v>1.1200334338338447E-2</v>
      </c>
      <c r="C80" s="38">
        <f>Data!C78</f>
        <v>-8.1521739130434701E-2</v>
      </c>
      <c r="D80" s="38">
        <f>Data!D78</f>
        <v>-0.1131751190339898</v>
      </c>
      <c r="E80" s="38">
        <f>Data!E78</f>
        <v>-1.5831179029406006E-2</v>
      </c>
      <c r="F80" s="38">
        <f>Data!F78</f>
        <v>1.2731922912974092E-3</v>
      </c>
      <c r="G80" s="38">
        <f t="shared" si="11"/>
        <v>-1.0515636103995307E-2</v>
      </c>
      <c r="H80" s="38"/>
      <c r="I80" s="38"/>
      <c r="J80" s="38"/>
      <c r="K80" s="38"/>
      <c r="W80" s="60">
        <v>8.4148727984345601E-3</v>
      </c>
      <c r="X80" s="60">
        <v>-1.5784852259500399E-2</v>
      </c>
      <c r="Y80" s="60">
        <v>-4.3620988778093402E-2</v>
      </c>
      <c r="Z80" s="56">
        <f t="shared" si="6"/>
        <v>3.9796981620241704E-3</v>
      </c>
      <c r="AM80">
        <v>-7.6341502846614201E-2</v>
      </c>
      <c r="AN80">
        <v>5.8545360438296799E-3</v>
      </c>
      <c r="AO80">
        <v>3.9972566955445198E-3</v>
      </c>
      <c r="AP80" s="56">
        <f t="shared" si="7"/>
        <v>-8.0285989549015724E-4</v>
      </c>
      <c r="BC80">
        <v>-6.9229506086817702E-2</v>
      </c>
      <c r="BD80">
        <v>-2.6637600426999399E-2</v>
      </c>
      <c r="BE80" s="56">
        <f t="shared" si="8"/>
        <v>-2.9894128380890117E-2</v>
      </c>
      <c r="BR80">
        <v>3.1610730855024902E-2</v>
      </c>
      <c r="BS80">
        <v>-2.2999867538602201E-2</v>
      </c>
      <c r="BT80">
        <v>-5.10550524466169E-3</v>
      </c>
      <c r="BU80">
        <v>3.9387055521053399E-2</v>
      </c>
      <c r="BV80" s="56">
        <f t="shared" si="9"/>
        <v>-8.9715105314875105E-3</v>
      </c>
      <c r="CI80">
        <v>3.7703571147202899E-3</v>
      </c>
      <c r="CJ80">
        <v>-1.7894362293940501E-2</v>
      </c>
      <c r="CK80">
        <v>-3.5206115979658802E-2</v>
      </c>
      <c r="CL80" s="56">
        <f t="shared" si="10"/>
        <v>1.208257976967617E-3</v>
      </c>
    </row>
    <row r="81" spans="1:90" x14ac:dyDescent="0.2">
      <c r="A81" s="1">
        <v>40359</v>
      </c>
      <c r="B81" s="38">
        <f>Data!B79</f>
        <v>1.122388130199381E-2</v>
      </c>
      <c r="C81" s="38">
        <f>Data!C79</f>
        <v>-6.2006903353057252E-2</v>
      </c>
      <c r="D81" s="38">
        <f>Data!D79</f>
        <v>-5.6963880126232436E-2</v>
      </c>
      <c r="E81" s="38">
        <f>Data!E79</f>
        <v>-1.1593779014537064E-3</v>
      </c>
      <c r="F81" s="38">
        <f>Data!F79</f>
        <v>1.7432318128602464E-2</v>
      </c>
      <c r="G81" s="38">
        <f t="shared" si="11"/>
        <v>8.2269612018872219E-4</v>
      </c>
      <c r="H81" s="38"/>
      <c r="I81" s="38"/>
      <c r="J81" s="38"/>
      <c r="K81" s="38"/>
      <c r="W81" s="60">
        <v>1.56814383102859E-2</v>
      </c>
      <c r="X81" s="60">
        <v>2.00630731565625E-2</v>
      </c>
      <c r="Y81" s="60">
        <v>-2.6433562101859701E-3</v>
      </c>
      <c r="Z81" s="56">
        <f t="shared" si="6"/>
        <v>6.635659488674079E-4</v>
      </c>
      <c r="AM81">
        <v>-5.5065373540875699E-2</v>
      </c>
      <c r="AN81">
        <v>1.2291304575335899E-3</v>
      </c>
      <c r="AO81">
        <v>-2.5145327453668601E-2</v>
      </c>
      <c r="AP81" s="56">
        <f t="shared" si="7"/>
        <v>2.4513703410107973E-3</v>
      </c>
      <c r="BC81">
        <v>3.1823571296878401E-3</v>
      </c>
      <c r="BD81">
        <v>-1.09030082726644E-2</v>
      </c>
      <c r="BE81" s="56">
        <f t="shared" si="8"/>
        <v>-4.4542605206755653E-2</v>
      </c>
      <c r="BR81">
        <v>2.1442078434596799E-2</v>
      </c>
      <c r="BS81">
        <v>-1.0224874718030399E-2</v>
      </c>
      <c r="BT81">
        <v>-1.3880931583502299E-2</v>
      </c>
      <c r="BU81">
        <v>3.3895079875668102E-2</v>
      </c>
      <c r="BV81" s="56">
        <f t="shared" si="9"/>
        <v>9.3880331055315302E-3</v>
      </c>
      <c r="CI81">
        <v>1.92350817392863E-2</v>
      </c>
      <c r="CJ81">
        <v>3.6560568654719901E-3</v>
      </c>
      <c r="CK81">
        <v>1.30380821000999E-2</v>
      </c>
      <c r="CL81" s="56">
        <f t="shared" si="10"/>
        <v>-1.6690408270495297E-3</v>
      </c>
    </row>
    <row r="82" spans="1:90" x14ac:dyDescent="0.2">
      <c r="A82" s="1">
        <v>40389</v>
      </c>
      <c r="B82" s="38">
        <f>Data!B80</f>
        <v>8.5770003269654005E-3</v>
      </c>
      <c r="C82" s="38">
        <f>Data!C80</f>
        <v>7.1888553029307412E-2</v>
      </c>
      <c r="D82" s="38">
        <f>Data!D80</f>
        <v>0.10671765875183525</v>
      </c>
      <c r="E82" s="38">
        <f>Data!E80</f>
        <v>-6.2309587989517468E-4</v>
      </c>
      <c r="F82" s="38">
        <f>Data!F80</f>
        <v>4.1237453958851145E-3</v>
      </c>
      <c r="G82" s="38">
        <f t="shared" si="11"/>
        <v>1.4983624140041004E-2</v>
      </c>
      <c r="H82" s="38"/>
      <c r="I82" s="38"/>
      <c r="J82" s="38"/>
      <c r="K82" s="38"/>
      <c r="W82" s="60">
        <v>1.06688526206795E-2</v>
      </c>
      <c r="X82" s="60">
        <v>4.1167497203295197E-2</v>
      </c>
      <c r="Y82" s="60">
        <v>2.3982218439034801E-2</v>
      </c>
      <c r="Z82" s="56">
        <f t="shared" si="6"/>
        <v>1.7493113946307299E-3</v>
      </c>
      <c r="AM82">
        <v>7.1331945358704699E-2</v>
      </c>
      <c r="AN82">
        <v>3.6322046092349702E-3</v>
      </c>
      <c r="AO82">
        <v>-1.3441782998842001E-3</v>
      </c>
      <c r="AP82" s="56">
        <f t="shared" si="7"/>
        <v>-8.0656522934835773E-3</v>
      </c>
      <c r="BC82">
        <v>6.7742386512124303E-2</v>
      </c>
      <c r="BD82">
        <v>1.97155165932386E-2</v>
      </c>
      <c r="BE82" s="56">
        <f t="shared" si="8"/>
        <v>3.3733796086337503E-2</v>
      </c>
      <c r="BR82">
        <v>-4.9405173940340399E-2</v>
      </c>
      <c r="BS82">
        <v>6.4454718815996096E-3</v>
      </c>
      <c r="BT82">
        <v>-1.0569480096350101E-2</v>
      </c>
      <c r="BU82">
        <v>-4.6496467733256899E-2</v>
      </c>
      <c r="BV82" s="56">
        <f t="shared" si="9"/>
        <v>1.1365294864398664E-2</v>
      </c>
      <c r="CI82">
        <v>3.5037925666794299E-3</v>
      </c>
      <c r="CJ82">
        <v>1.7014951977949701E-2</v>
      </c>
      <c r="CK82">
        <v>3.4651071059714302E-2</v>
      </c>
      <c r="CL82" s="56">
        <f t="shared" si="10"/>
        <v>-2.4461989697071914E-3</v>
      </c>
    </row>
    <row r="83" spans="1:90" x14ac:dyDescent="0.2">
      <c r="A83" s="1">
        <v>40421</v>
      </c>
      <c r="B83" s="38">
        <f>Data!B81</f>
        <v>1.5340886066421699E-3</v>
      </c>
      <c r="C83" s="38">
        <f>Data!C81</f>
        <v>-7.0745463462481561E-2</v>
      </c>
      <c r="D83" s="38">
        <f>Data!D81</f>
        <v>-1.4172234939479833E-2</v>
      </c>
      <c r="E83" s="38">
        <f>Data!E81</f>
        <v>1.6890744761737464E-2</v>
      </c>
      <c r="F83" s="38">
        <f>Data!F81</f>
        <v>1.4908432942208449E-2</v>
      </c>
      <c r="G83" s="38">
        <f t="shared" si="11"/>
        <v>2.1383008781284212E-3</v>
      </c>
      <c r="H83" s="38"/>
      <c r="I83" s="38"/>
      <c r="J83" s="38"/>
      <c r="K83" s="38"/>
      <c r="W83" s="60">
        <v>1.28675013263895E-2</v>
      </c>
      <c r="X83" s="60">
        <v>2.3266717458828998E-2</v>
      </c>
      <c r="Y83" s="60">
        <v>-1.1303502662726001E-2</v>
      </c>
      <c r="Z83" s="56">
        <f t="shared" si="6"/>
        <v>-8.1253944550209369E-3</v>
      </c>
      <c r="AM83">
        <v>-4.6689689844406503E-2</v>
      </c>
      <c r="AN83">
        <v>-3.8998913016140601E-3</v>
      </c>
      <c r="AO83">
        <v>-2.8893588920252601E-2</v>
      </c>
      <c r="AP83" s="56">
        <f t="shared" si="7"/>
        <v>-1.2538005800048109E-2</v>
      </c>
      <c r="BC83">
        <v>-2.5451399734246202E-2</v>
      </c>
      <c r="BD83">
        <v>-3.8365661018658899E-3</v>
      </c>
      <c r="BE83" s="56">
        <f t="shared" si="8"/>
        <v>8.4640410329724115E-3</v>
      </c>
      <c r="BR83">
        <v>5.6223539373412498E-2</v>
      </c>
      <c r="BS83">
        <v>1.4777954820992499E-3</v>
      </c>
      <c r="BT83">
        <v>-6.7100306840071101E-3</v>
      </c>
      <c r="BU83">
        <v>3.1417898010628997E-2</v>
      </c>
      <c r="BV83" s="56">
        <f t="shared" si="9"/>
        <v>1.5372882906670524E-2</v>
      </c>
      <c r="CI83">
        <v>1.71124753343566E-2</v>
      </c>
      <c r="CJ83">
        <v>8.18782616610636E-3</v>
      </c>
      <c r="CK83">
        <v>1.56399866366352E-3</v>
      </c>
      <c r="CL83" s="56">
        <f t="shared" si="10"/>
        <v>1.0589937325883141E-4</v>
      </c>
    </row>
    <row r="84" spans="1:90" x14ac:dyDescent="0.2">
      <c r="A84" s="1">
        <v>40451</v>
      </c>
      <c r="B84" s="38">
        <f>Data!B82</f>
        <v>-3.8091164468283534E-3</v>
      </c>
      <c r="C84" s="38">
        <f>Data!C82</f>
        <v>0.12138804591634766</v>
      </c>
      <c r="D84" s="38">
        <f>Data!D82</f>
        <v>0.10307778351717722</v>
      </c>
      <c r="E84" s="38">
        <f>Data!E82</f>
        <v>2.7352885379365866E-2</v>
      </c>
      <c r="F84" s="38">
        <f>Data!F82</f>
        <v>1.8584649295782185E-2</v>
      </c>
      <c r="G84" s="38">
        <f t="shared" si="11"/>
        <v>2.3036144161111625E-2</v>
      </c>
      <c r="H84" s="38"/>
      <c r="I84" s="38"/>
      <c r="J84" s="38"/>
      <c r="K84" s="38"/>
      <c r="W84" s="60">
        <v>1.06569369434451E-3</v>
      </c>
      <c r="X84" s="60">
        <v>1.6762122947690201E-2</v>
      </c>
      <c r="Y84" s="60">
        <v>2.8624052892356699E-2</v>
      </c>
      <c r="Z84" s="56">
        <f t="shared" si="6"/>
        <v>-3.3235722949274491E-3</v>
      </c>
      <c r="AM84">
        <v>0.10645033399460201</v>
      </c>
      <c r="AN84">
        <v>2.8867154252985899E-2</v>
      </c>
      <c r="AO84">
        <v>3.5351540648262299E-2</v>
      </c>
      <c r="AP84" s="56">
        <f t="shared" si="7"/>
        <v>-1.5037623798614147E-2</v>
      </c>
      <c r="BC84">
        <v>7.2603189200629401E-2</v>
      </c>
      <c r="BD84">
        <v>2.5192367834836301E-2</v>
      </c>
      <c r="BE84" s="56">
        <f t="shared" si="8"/>
        <v>1.9414129768371299E-2</v>
      </c>
      <c r="BR84">
        <v>4.9013949013949003E-2</v>
      </c>
      <c r="BS84">
        <v>1.9913805509131698E-2</v>
      </c>
      <c r="BT84">
        <v>3.5992978396723902E-3</v>
      </c>
      <c r="BU84">
        <v>-4.18459740981518E-2</v>
      </c>
      <c r="BV84" s="56">
        <f t="shared" si="9"/>
        <v>1.5571322545323252E-2</v>
      </c>
      <c r="CI84">
        <v>2.18363673596964E-2</v>
      </c>
      <c r="CJ84">
        <v>1.6314507669459299E-2</v>
      </c>
      <c r="CK84">
        <v>2.9689746586701201E-2</v>
      </c>
      <c r="CL84" s="56">
        <f t="shared" si="10"/>
        <v>-3.9579605250847777E-3</v>
      </c>
    </row>
    <row r="85" spans="1:90" x14ac:dyDescent="0.2">
      <c r="A85" s="1">
        <v>40480</v>
      </c>
      <c r="B85" s="38">
        <f>Data!B83</f>
        <v>9.794194270860368E-3</v>
      </c>
      <c r="C85" s="38">
        <f>Data!C83</f>
        <v>6.4595834804094698E-2</v>
      </c>
      <c r="D85" s="38">
        <f>Data!D83</f>
        <v>1.7491751184392168E-2</v>
      </c>
      <c r="E85" s="38">
        <f>Data!E83</f>
        <v>2.2308151768663853E-2</v>
      </c>
      <c r="F85" s="38">
        <f>Data!F83</f>
        <v>2.2509931632182179E-2</v>
      </c>
      <c r="G85" s="38">
        <f t="shared" si="11"/>
        <v>1.9895523157924908E-2</v>
      </c>
      <c r="H85" s="38"/>
      <c r="I85" s="38"/>
      <c r="J85" s="38"/>
      <c r="K85" s="38"/>
      <c r="W85" s="60">
        <v>3.56055958524282E-3</v>
      </c>
      <c r="X85" s="60">
        <v>1.7199294002778798E-2</v>
      </c>
      <c r="Y85" s="60">
        <v>2.0692179901905999E-2</v>
      </c>
      <c r="Z85" s="56">
        <f t="shared" si="6"/>
        <v>8.2197727502999959E-3</v>
      </c>
      <c r="AM85">
        <v>4.7759549516597402E-2</v>
      </c>
      <c r="AN85">
        <v>1.77537454978818E-2</v>
      </c>
      <c r="AO85">
        <v>2.8724114515732398E-3</v>
      </c>
      <c r="AP85" s="56">
        <f t="shared" si="7"/>
        <v>3.4785307346762301E-3</v>
      </c>
      <c r="BC85">
        <v>4.98276524715804E-2</v>
      </c>
      <c r="BD85">
        <v>1.8593923543872602E-2</v>
      </c>
      <c r="BE85" s="56">
        <f t="shared" si="8"/>
        <v>-4.1674431774732887E-2</v>
      </c>
      <c r="BR85">
        <v>3.88677457318845E-2</v>
      </c>
      <c r="BS85">
        <v>1.3873586919083599E-2</v>
      </c>
      <c r="BT85">
        <v>-1.73407408104565E-3</v>
      </c>
      <c r="BU85">
        <v>-1.43832024117201E-2</v>
      </c>
      <c r="BV85" s="56">
        <f t="shared" si="9"/>
        <v>1.6340784839585277E-2</v>
      </c>
      <c r="CI85">
        <v>2.5652114295357901E-2</v>
      </c>
      <c r="CJ85">
        <v>1.5607661000129201E-2</v>
      </c>
      <c r="CK85">
        <v>2.4252739487148799E-2</v>
      </c>
      <c r="CL85" s="56">
        <f t="shared" si="10"/>
        <v>-2.7304743076959209E-3</v>
      </c>
    </row>
    <row r="86" spans="1:90" x14ac:dyDescent="0.2">
      <c r="A86" s="1">
        <v>40512</v>
      </c>
      <c r="B86" s="38">
        <f>Data!B84</f>
        <v>-1.7984888097221097E-3</v>
      </c>
      <c r="C86" s="38">
        <f>Data!C84</f>
        <v>-1.6909814323607386E-2</v>
      </c>
      <c r="D86" s="38">
        <f>Data!D84</f>
        <v>-1.8656866627788427E-2</v>
      </c>
      <c r="E86" s="38">
        <f>Data!E84</f>
        <v>-9.1628478682193037E-3</v>
      </c>
      <c r="F86" s="38">
        <f>Data!F84</f>
        <v>-1.4332176592334211E-2</v>
      </c>
      <c r="G86" s="38">
        <f t="shared" si="11"/>
        <v>-8.2409597985334659E-3</v>
      </c>
      <c r="H86" s="38"/>
      <c r="I86" s="38"/>
      <c r="J86" s="38"/>
      <c r="K86" s="38"/>
      <c r="W86" s="60">
        <v>-5.7474019825239902E-3</v>
      </c>
      <c r="X86" s="60">
        <v>-3.1841842950492902E-2</v>
      </c>
      <c r="Y86" s="60">
        <v>-5.4089113838821099E-3</v>
      </c>
      <c r="Z86" s="56">
        <f t="shared" si="6"/>
        <v>2.9103965194163459E-3</v>
      </c>
      <c r="AM86">
        <v>1.1613499095365401E-2</v>
      </c>
      <c r="AN86">
        <v>1.6905303880970099E-2</v>
      </c>
      <c r="AO86">
        <v>3.45455215709045E-2</v>
      </c>
      <c r="AP86" s="56">
        <f t="shared" si="7"/>
        <v>-4.3358494741253174E-2</v>
      </c>
      <c r="BC86">
        <v>-3.54025677256231E-3</v>
      </c>
      <c r="BD86">
        <v>2.59231225309109E-3</v>
      </c>
      <c r="BE86" s="56">
        <f t="shared" si="8"/>
        <v>-1.9696663476424195E-2</v>
      </c>
      <c r="BR86">
        <v>1.9729292334853502E-2</v>
      </c>
      <c r="BS86">
        <v>-1.86714559391121E-4</v>
      </c>
      <c r="BT86">
        <v>-4.8239227650591597E-3</v>
      </c>
      <c r="BU86">
        <v>6.2438844615164699E-3</v>
      </c>
      <c r="BV86" s="56">
        <f t="shared" si="9"/>
        <v>-7.4392094755480944E-3</v>
      </c>
      <c r="CI86">
        <v>-1.9215541089480499E-2</v>
      </c>
      <c r="CJ86">
        <v>4.6372082056680402E-3</v>
      </c>
      <c r="CK86">
        <v>-1.1156313366406099E-2</v>
      </c>
      <c r="CL86" s="56">
        <f t="shared" si="10"/>
        <v>5.4724482624653389E-3</v>
      </c>
    </row>
    <row r="87" spans="1:90" x14ac:dyDescent="0.2">
      <c r="A87" s="1">
        <v>40543</v>
      </c>
      <c r="B87" s="38">
        <f>Data!B85</f>
        <v>-5.4972887717157359E-3</v>
      </c>
      <c r="C87" s="38">
        <f>Data!C85</f>
        <v>5.2501405283867264E-2</v>
      </c>
      <c r="D87" s="38">
        <f>Data!D85</f>
        <v>0.12620483572381058</v>
      </c>
      <c r="E87" s="38">
        <f>Data!E85</f>
        <v>3.3396032885429472E-2</v>
      </c>
      <c r="F87" s="38">
        <f>Data!F85</f>
        <v>-1.9566361435638391E-2</v>
      </c>
      <c r="G87" s="38">
        <f t="shared" si="11"/>
        <v>1.1762055734526003E-2</v>
      </c>
      <c r="H87" s="38"/>
      <c r="I87" s="38"/>
      <c r="J87" s="38"/>
      <c r="K87" s="38"/>
      <c r="W87" s="60">
        <v>-1.0783669582095199E-2</v>
      </c>
      <c r="X87" s="60">
        <v>-3.3175084367671501E-3</v>
      </c>
      <c r="Y87" s="60">
        <v>2.83917646887651E-2</v>
      </c>
      <c r="Z87" s="56">
        <f t="shared" si="6"/>
        <v>3.0701726549138015E-3</v>
      </c>
      <c r="AM87">
        <v>5.5081531539112001E-2</v>
      </c>
      <c r="AN87">
        <v>-2.3822196544943899E-2</v>
      </c>
      <c r="AO87">
        <v>1.2575877996148E-2</v>
      </c>
      <c r="AP87" s="56">
        <f t="shared" si="7"/>
        <v>4.3005087438375417E-4</v>
      </c>
      <c r="BC87">
        <v>0.106889676899993</v>
      </c>
      <c r="BD87">
        <v>2.67461511161005E-2</v>
      </c>
      <c r="BE87" s="56">
        <f t="shared" si="8"/>
        <v>1.6890217767728144E-2</v>
      </c>
      <c r="BR87">
        <v>2.5378367070162201E-2</v>
      </c>
      <c r="BS87">
        <v>2.1734780853239301E-2</v>
      </c>
      <c r="BT87">
        <v>1.10616180890677E-2</v>
      </c>
      <c r="BU87">
        <v>-3.1599235959207002E-2</v>
      </c>
      <c r="BV87" s="56">
        <f t="shared" si="9"/>
        <v>1.7133189037296211E-2</v>
      </c>
      <c r="CI87">
        <v>-2.2837250512475201E-2</v>
      </c>
      <c r="CJ87">
        <v>1.0673162764171599E-2</v>
      </c>
      <c r="CK87">
        <v>1.7608095106669899E-2</v>
      </c>
      <c r="CL87" s="56">
        <f t="shared" si="10"/>
        <v>-2.7051689170144375E-4</v>
      </c>
    </row>
    <row r="88" spans="1:90" x14ac:dyDescent="0.2">
      <c r="A88" s="1">
        <v>40574</v>
      </c>
      <c r="B88" s="38">
        <f>Data!B86</f>
        <v>5.151446746194388E-4</v>
      </c>
      <c r="C88" s="38">
        <f>Data!C86</f>
        <v>4.2191839350566029E-2</v>
      </c>
      <c r="D88" s="38">
        <f>Data!D86</f>
        <v>1.6867305606979244E-2</v>
      </c>
      <c r="E88" s="38">
        <f>Data!E86</f>
        <v>-7.2124827356772059E-3</v>
      </c>
      <c r="F88" s="38">
        <f>Data!F86</f>
        <v>4.809395497632929E-3</v>
      </c>
      <c r="G88" s="38">
        <f t="shared" si="11"/>
        <v>3.4151506639085831E-3</v>
      </c>
      <c r="H88" s="38"/>
      <c r="I88" s="38"/>
      <c r="J88" s="38"/>
      <c r="K88" s="38"/>
      <c r="W88" s="60">
        <v>1.16385351288773E-3</v>
      </c>
      <c r="X88" s="60">
        <v>-5.4328072692492197E-3</v>
      </c>
      <c r="Y88" s="60">
        <v>1.98605623875476E-2</v>
      </c>
      <c r="Z88" s="56">
        <f t="shared" si="6"/>
        <v>1.4940186797995918E-3</v>
      </c>
      <c r="AM88">
        <v>2.54489283099717E-2</v>
      </c>
      <c r="AN88">
        <v>2.82725468158662E-3</v>
      </c>
      <c r="AO88">
        <v>-2.62783329712972E-2</v>
      </c>
      <c r="AP88" s="56">
        <f t="shared" si="7"/>
        <v>1.7467829912207945E-2</v>
      </c>
      <c r="BC88">
        <v>1.0030111481438999E-2</v>
      </c>
      <c r="BD88">
        <v>1.6794436714026299E-2</v>
      </c>
      <c r="BE88" s="56">
        <f t="shared" si="8"/>
        <v>-1.2530313587804986E-2</v>
      </c>
      <c r="BR88">
        <v>-6.2424370339102302E-2</v>
      </c>
      <c r="BS88">
        <v>2.5613937636308499E-3</v>
      </c>
      <c r="BT88">
        <v>-8.8929202417624698E-3</v>
      </c>
      <c r="BU88">
        <v>-1.9486330288817098E-2</v>
      </c>
      <c r="BV88" s="56">
        <f t="shared" si="9"/>
        <v>4.9009312079848575E-3</v>
      </c>
      <c r="CI88">
        <v>1.6578587332671799E-3</v>
      </c>
      <c r="CJ88">
        <v>1.1454314005393301E-2</v>
      </c>
      <c r="CK88">
        <v>2.1024415900435401E-2</v>
      </c>
      <c r="CL88" s="56">
        <f t="shared" si="10"/>
        <v>1.3875288811747225E-3</v>
      </c>
    </row>
    <row r="89" spans="1:90" x14ac:dyDescent="0.2">
      <c r="A89" s="1">
        <v>40602</v>
      </c>
      <c r="B89" s="38">
        <f>Data!B87</f>
        <v>2.5107604017218232E-3</v>
      </c>
      <c r="C89" s="38">
        <f>Data!C87</f>
        <v>1.8960746130982864E-2</v>
      </c>
      <c r="D89" s="38">
        <f>Data!D87</f>
        <v>2.4439452712319953E-2</v>
      </c>
      <c r="E89" s="38">
        <f>Data!E87</f>
        <v>1.275295479218741E-2</v>
      </c>
      <c r="F89" s="38">
        <f>Data!F87</f>
        <v>6.1165183388709465E-3</v>
      </c>
      <c r="G89" s="38">
        <f t="shared" si="11"/>
        <v>8.0689541208508325E-3</v>
      </c>
      <c r="H89" s="38"/>
      <c r="I89" s="38"/>
      <c r="J89" s="38"/>
      <c r="K89" s="38"/>
      <c r="W89" s="60">
        <v>2.5015063815800901E-3</v>
      </c>
      <c r="X89" s="60">
        <v>2.9428170260239498E-3</v>
      </c>
      <c r="Y89" s="60">
        <v>1.08682542015206E-2</v>
      </c>
      <c r="Z89" s="56">
        <f t="shared" si="6"/>
        <v>1.6276495858660494E-3</v>
      </c>
      <c r="AM89">
        <v>3.2727073692865302E-2</v>
      </c>
      <c r="AN89">
        <v>-4.1579370923932098E-3</v>
      </c>
      <c r="AO89">
        <v>2.0582670115783401E-2</v>
      </c>
      <c r="AP89" s="56">
        <f t="shared" si="7"/>
        <v>-1.8781111455590728E-2</v>
      </c>
      <c r="BC89">
        <v>1.31790792698876E-2</v>
      </c>
      <c r="BD89">
        <v>1.3636529942470801E-2</v>
      </c>
      <c r="BE89" s="56">
        <f t="shared" si="8"/>
        <v>-2.8915548218365755E-3</v>
      </c>
      <c r="BR89">
        <v>5.9024364621398998E-2</v>
      </c>
      <c r="BS89">
        <v>8.9363873758778693E-3</v>
      </c>
      <c r="BT89">
        <v>-1.4079908037456499E-4</v>
      </c>
      <c r="BU89">
        <v>-2.1252558670661299E-2</v>
      </c>
      <c r="BV89" s="56">
        <f t="shared" si="9"/>
        <v>5.6100126355325833E-3</v>
      </c>
      <c r="CI89">
        <v>6.2401576911952396E-3</v>
      </c>
      <c r="CJ89">
        <v>9.0771864562524396E-3</v>
      </c>
      <c r="CK89">
        <v>1.3369760583100699E-2</v>
      </c>
      <c r="CL89" s="56">
        <f t="shared" si="10"/>
        <v>-5.5500142428555228E-4</v>
      </c>
    </row>
    <row r="90" spans="1:90" x14ac:dyDescent="0.2">
      <c r="A90" s="1">
        <v>40633</v>
      </c>
      <c r="B90" s="38">
        <f>Data!B88</f>
        <v>2.7872352703559589E-3</v>
      </c>
      <c r="C90" s="38">
        <f>Data!C88</f>
        <v>-2.6252263126131603E-2</v>
      </c>
      <c r="D90" s="38">
        <f>Data!D88</f>
        <v>-3.7958295158312727E-2</v>
      </c>
      <c r="E90" s="38">
        <f>Data!E88</f>
        <v>-1.0905528496127914E-2</v>
      </c>
      <c r="F90" s="38">
        <f>Data!F88</f>
        <v>6.8598248939435447E-3</v>
      </c>
      <c r="G90" s="38">
        <f t="shared" si="11"/>
        <v>-3.8097296740796484E-3</v>
      </c>
      <c r="H90" s="38"/>
      <c r="I90" s="38"/>
      <c r="J90" s="38"/>
      <c r="K90" s="38"/>
      <c r="W90" s="60">
        <v>5.5247947933367901E-4</v>
      </c>
      <c r="X90" s="60">
        <v>1.26956121509663E-2</v>
      </c>
      <c r="Y90" s="60">
        <v>3.6489181284420401E-3</v>
      </c>
      <c r="Z90" s="56">
        <f t="shared" si="6"/>
        <v>2.047968441294911E-3</v>
      </c>
      <c r="AM90">
        <v>1.2212861443312601E-3</v>
      </c>
      <c r="AN90">
        <v>-2.7498549605062799E-3</v>
      </c>
      <c r="AO90">
        <v>2.5518434800070499E-2</v>
      </c>
      <c r="AP90" s="56">
        <f t="shared" si="7"/>
        <v>-3.0798374353979877E-2</v>
      </c>
      <c r="BC90">
        <v>2.0645485896374299E-2</v>
      </c>
      <c r="BD90">
        <v>3.5529420588067402E-3</v>
      </c>
      <c r="BE90" s="56">
        <f t="shared" si="8"/>
        <v>-5.6910885837464779E-2</v>
      </c>
      <c r="BR90">
        <v>1.478746997513E-2</v>
      </c>
      <c r="BS90">
        <v>-6.9007107654817101E-4</v>
      </c>
      <c r="BT90">
        <v>-3.5468658126823799E-3</v>
      </c>
      <c r="BU90">
        <v>4.59562946013103E-3</v>
      </c>
      <c r="BV90" s="56">
        <f t="shared" si="9"/>
        <v>-9.4892154720388425E-3</v>
      </c>
      <c r="CI90">
        <v>8.8310914036591193E-3</v>
      </c>
      <c r="CJ90">
        <v>2.8567947361342102E-3</v>
      </c>
      <c r="CK90">
        <v>4.2013976077757099E-3</v>
      </c>
      <c r="CL90" s="56">
        <f t="shared" si="10"/>
        <v>-1.4833437102494042E-3</v>
      </c>
    </row>
    <row r="91" spans="1:90" x14ac:dyDescent="0.2">
      <c r="A91" s="1">
        <v>40662</v>
      </c>
      <c r="B91" s="38">
        <f>Data!B89</f>
        <v>1.0974086883462908E-2</v>
      </c>
      <c r="C91" s="38">
        <f>Data!C89</f>
        <v>2.9335812416072748E-2</v>
      </c>
      <c r="D91" s="38">
        <f>Data!D89</f>
        <v>-5.0468660364161311E-3</v>
      </c>
      <c r="E91" s="38">
        <f>Data!E89</f>
        <v>2.3708352933925037E-2</v>
      </c>
      <c r="F91" s="38">
        <f>Data!F89</f>
        <v>2.9504047248661847E-2</v>
      </c>
      <c r="G91" s="38">
        <f t="shared" si="11"/>
        <v>1.8553566946872223E-2</v>
      </c>
      <c r="H91" s="38"/>
      <c r="I91" s="38"/>
      <c r="J91" s="38"/>
      <c r="K91" s="38"/>
      <c r="W91" s="60">
        <v>1.2693943678209901E-2</v>
      </c>
      <c r="X91" s="60">
        <v>1.39188728553574E-2</v>
      </c>
      <c r="Y91" s="60">
        <v>2.5056415991357999E-3</v>
      </c>
      <c r="Z91" s="56">
        <f t="shared" si="6"/>
        <v>2.8715585590727132E-3</v>
      </c>
      <c r="AM91">
        <v>3.3488800570329998E-2</v>
      </c>
      <c r="AN91">
        <v>6.8602324482860402E-3</v>
      </c>
      <c r="AO91">
        <v>-3.20957313429138E-3</v>
      </c>
      <c r="AP91" s="56">
        <f t="shared" si="7"/>
        <v>-1.0082666750317583E-2</v>
      </c>
      <c r="BC91">
        <v>3.46305763752097E-2</v>
      </c>
      <c r="BD91">
        <v>1.19405318117924E-2</v>
      </c>
      <c r="BE91" s="56">
        <f t="shared" si="8"/>
        <v>-4.4851504900545514E-2</v>
      </c>
      <c r="BR91">
        <v>9.1816785365172404E-2</v>
      </c>
      <c r="BS91">
        <v>1.11352948819967E-2</v>
      </c>
      <c r="BT91">
        <v>2.8698767139914202E-3</v>
      </c>
      <c r="BU91">
        <v>-1.6257760447181E-2</v>
      </c>
      <c r="BV91" s="56">
        <f t="shared" si="9"/>
        <v>1.0528622536666286E-2</v>
      </c>
      <c r="CI91">
        <v>3.1358498928861799E-2</v>
      </c>
      <c r="CJ91">
        <v>8.2654181680053007E-3</v>
      </c>
      <c r="CK91">
        <v>1.51995852773457E-2</v>
      </c>
      <c r="CL91" s="56">
        <f t="shared" si="10"/>
        <v>-3.9690489959368774E-4</v>
      </c>
    </row>
    <row r="92" spans="1:90" x14ac:dyDescent="0.2">
      <c r="A92" s="1">
        <v>40694</v>
      </c>
      <c r="B92" s="38">
        <f>Data!B90</f>
        <v>1.0741120218579203E-2</v>
      </c>
      <c r="C92" s="38">
        <f>Data!C90</f>
        <v>-1.6859006522830011E-2</v>
      </c>
      <c r="D92" s="38">
        <f>Data!D90</f>
        <v>-2.7437374135532155E-2</v>
      </c>
      <c r="E92" s="38">
        <f>Data!E90</f>
        <v>-2.3014873962964644E-2</v>
      </c>
      <c r="F92" s="38">
        <f>Data!F90</f>
        <v>6.9046765353686368E-3</v>
      </c>
      <c r="G92" s="38">
        <f t="shared" si="11"/>
        <v>-2.170602837343976E-3</v>
      </c>
      <c r="H92" s="38"/>
      <c r="I92" s="38"/>
      <c r="J92" s="38"/>
      <c r="K92" s="38"/>
      <c r="W92" s="60">
        <v>1.3050121333772801E-2</v>
      </c>
      <c r="X92" s="60">
        <v>1.46616611568704E-2</v>
      </c>
      <c r="Y92" s="60">
        <v>-8.1599753983612206E-3</v>
      </c>
      <c r="Z92" s="56">
        <f t="shared" si="6"/>
        <v>1.6434791136227464E-3</v>
      </c>
      <c r="AM92">
        <v>-1.0886826127866799E-2</v>
      </c>
      <c r="AN92">
        <v>-3.2138089090594203E-4</v>
      </c>
      <c r="AO92">
        <v>-7.4291117698970198E-3</v>
      </c>
      <c r="AP92" s="56">
        <f t="shared" si="7"/>
        <v>-3.4318797760403766E-3</v>
      </c>
      <c r="BC92">
        <v>-5.0582091672951003E-2</v>
      </c>
      <c r="BD92">
        <v>-4.6510986692748198E-3</v>
      </c>
      <c r="BE92" s="56">
        <f t="shared" si="8"/>
        <v>1.3565513511134088E-2</v>
      </c>
      <c r="BR92">
        <v>-1.7893457824390901E-2</v>
      </c>
      <c r="BS92">
        <v>-9.8768207073909303E-3</v>
      </c>
      <c r="BT92">
        <v>-1.0873187113345201E-2</v>
      </c>
      <c r="BU92">
        <v>-1.4843100560157901E-3</v>
      </c>
      <c r="BV92" s="56">
        <f t="shared" si="9"/>
        <v>-1.0081806654321379E-2</v>
      </c>
      <c r="CI92">
        <v>6.0216616102444203E-3</v>
      </c>
      <c r="CJ92">
        <v>9.9636640595424097E-4</v>
      </c>
      <c r="CK92">
        <v>4.8901459354115896E-3</v>
      </c>
      <c r="CL92" s="56">
        <f t="shared" si="10"/>
        <v>7.7898608344415324E-4</v>
      </c>
    </row>
    <row r="93" spans="1:90" x14ac:dyDescent="0.2">
      <c r="A93" s="1">
        <v>40724</v>
      </c>
      <c r="B93" s="38">
        <f>Data!B91</f>
        <v>9.3485839148033101E-4</v>
      </c>
      <c r="C93" s="38">
        <f>Data!C91</f>
        <v>-2.6130448096356007E-2</v>
      </c>
      <c r="D93" s="38">
        <f>Data!D91</f>
        <v>-4.4209618561340536E-3</v>
      </c>
      <c r="E93" s="38">
        <f>Data!E91</f>
        <v>-1.7408496940163443E-2</v>
      </c>
      <c r="F93" s="38">
        <f>Data!F91</f>
        <v>1.0535258268982384E-2</v>
      </c>
      <c r="G93" s="38">
        <f t="shared" si="11"/>
        <v>-3.6243894802143566E-3</v>
      </c>
      <c r="H93" s="38"/>
      <c r="I93" s="38"/>
      <c r="J93" s="38"/>
      <c r="K93" s="38"/>
      <c r="W93" s="60">
        <v>-2.9277294423118998E-3</v>
      </c>
      <c r="X93" s="60">
        <v>1.12101019769539E-2</v>
      </c>
      <c r="Y93" s="60">
        <v>-7.1170361838089899E-3</v>
      </c>
      <c r="Z93" s="56">
        <f t="shared" si="6"/>
        <v>1.5913978584745317E-3</v>
      </c>
      <c r="AM93">
        <v>-1.43426072184305E-2</v>
      </c>
      <c r="AN93">
        <v>6.1608025568010696E-3</v>
      </c>
      <c r="AO93">
        <v>-6.3868590696966E-3</v>
      </c>
      <c r="AP93" s="56">
        <f t="shared" si="7"/>
        <v>-1.2010490896493404E-2</v>
      </c>
      <c r="BC93">
        <v>-5.04424162820424E-2</v>
      </c>
      <c r="BD93">
        <v>-1.0231641019401E-2</v>
      </c>
      <c r="BE93" s="56">
        <f t="shared" si="8"/>
        <v>4.3963246403705351E-2</v>
      </c>
      <c r="BR93">
        <v>-2.3148751074414602E-2</v>
      </c>
      <c r="BS93">
        <v>-1.2971422260582E-2</v>
      </c>
      <c r="BT93">
        <v>-1.046439447679E-2</v>
      </c>
      <c r="BU93">
        <v>4.0717453730455501E-3</v>
      </c>
      <c r="BV93" s="56">
        <f t="shared" si="9"/>
        <v>-3.5478605207681837E-3</v>
      </c>
      <c r="CI93">
        <v>1.10609343056785E-2</v>
      </c>
      <c r="CJ93">
        <v>-2.5070277837919699E-3</v>
      </c>
      <c r="CK93">
        <v>-1.0044765626120901E-2</v>
      </c>
      <c r="CL93" s="56">
        <f t="shared" si="10"/>
        <v>1.7559723184250899E-3</v>
      </c>
    </row>
    <row r="94" spans="1:90" x14ac:dyDescent="0.2">
      <c r="A94" s="1">
        <v>40753</v>
      </c>
      <c r="B94" s="38">
        <f>Data!B92</f>
        <v>9.2948411381117424E-3</v>
      </c>
      <c r="C94" s="38">
        <f>Data!C92</f>
        <v>1.5931244104391729E-2</v>
      </c>
      <c r="D94" s="38">
        <f>Data!D92</f>
        <v>4.5302466364798066E-2</v>
      </c>
      <c r="E94" s="38">
        <f>Data!E92</f>
        <v>1.6556570391669911E-2</v>
      </c>
      <c r="F94" s="38">
        <f>Data!F92</f>
        <v>4.0664689980820512E-2</v>
      </c>
      <c r="G94" s="38">
        <f t="shared" si="11"/>
        <v>2.0170360040652577E-2</v>
      </c>
      <c r="H94" s="38"/>
      <c r="I94" s="38"/>
      <c r="J94" s="38"/>
      <c r="K94" s="38"/>
      <c r="W94" s="60">
        <v>1.58680254837524E-2</v>
      </c>
      <c r="X94" s="60">
        <v>1.9459361063074401E-2</v>
      </c>
      <c r="Y94" s="60">
        <v>-3.5134893072694701E-3</v>
      </c>
      <c r="Z94" s="56">
        <f t="shared" si="6"/>
        <v>-1.4055063178555066E-3</v>
      </c>
      <c r="AM94">
        <v>-1.00234679055886E-2</v>
      </c>
      <c r="AN94">
        <v>2.3145777775859699E-2</v>
      </c>
      <c r="AO94">
        <v>-1.5810151599922499E-2</v>
      </c>
      <c r="AP94" s="56">
        <f t="shared" si="7"/>
        <v>1.9256803505502386E-2</v>
      </c>
      <c r="BC94">
        <v>2.9617689324444401E-2</v>
      </c>
      <c r="BD94">
        <v>-1.92531085116021E-3</v>
      </c>
      <c r="BE94" s="56">
        <f t="shared" si="8"/>
        <v>2.7522523609019845E-2</v>
      </c>
      <c r="BR94">
        <v>8.4577081264123305E-2</v>
      </c>
      <c r="BS94">
        <v>3.4010100506687299E-3</v>
      </c>
      <c r="BT94">
        <v>3.43450241174959E-3</v>
      </c>
      <c r="BU94">
        <v>1.7063345671843502E-2</v>
      </c>
      <c r="BV94" s="56">
        <f t="shared" si="9"/>
        <v>4.8112073551841578E-3</v>
      </c>
      <c r="CI94">
        <v>4.3724504936800003E-2</v>
      </c>
      <c r="CJ94">
        <v>-3.3492361080855703E-5</v>
      </c>
      <c r="CK94">
        <v>1.2354536176482999E-2</v>
      </c>
      <c r="CL94" s="56">
        <f t="shared" si="10"/>
        <v>-1.050571187280365E-3</v>
      </c>
    </row>
    <row r="95" spans="1:90" x14ac:dyDescent="0.2">
      <c r="A95" s="1">
        <v>40786</v>
      </c>
      <c r="B95" s="38">
        <f>Data!B93</f>
        <v>1.2453661119937731E-2</v>
      </c>
      <c r="C95" s="38">
        <f>Data!C93</f>
        <v>-6.0455999174662267E-2</v>
      </c>
      <c r="D95" s="38">
        <f>Data!D93</f>
        <v>-7.4837536604256516E-2</v>
      </c>
      <c r="E95" s="38">
        <f>Data!E93</f>
        <v>-5.1121648646952345E-3</v>
      </c>
      <c r="F95" s="38">
        <f>Data!F93</f>
        <v>1.1614351294218839E-2</v>
      </c>
      <c r="G95" s="38">
        <f t="shared" si="11"/>
        <v>-1.6829243250354293E-3</v>
      </c>
      <c r="H95" s="38"/>
      <c r="I95" s="38"/>
      <c r="J95" s="38"/>
      <c r="K95" s="38"/>
      <c r="W95" s="60">
        <v>1.4609963037143899E-2</v>
      </c>
      <c r="X95" s="60">
        <v>5.3210484965360303E-3</v>
      </c>
      <c r="Y95" s="60">
        <v>-5.4681116864943001E-2</v>
      </c>
      <c r="Z95" s="56">
        <f t="shared" si="6"/>
        <v>-3.2877833029529464E-4</v>
      </c>
      <c r="AM95">
        <v>-5.2774459891994599E-2</v>
      </c>
      <c r="AN95">
        <v>9.6312827023988801E-3</v>
      </c>
      <c r="AO95">
        <v>-3.2680635012279899E-2</v>
      </c>
      <c r="AP95" s="56">
        <f t="shared" si="7"/>
        <v>-1.0068973483670224E-3</v>
      </c>
      <c r="BC95">
        <v>9.9858719603633794E-3</v>
      </c>
      <c r="BD95">
        <v>-3.7205475368279103E-2</v>
      </c>
      <c r="BE95" s="56">
        <f t="shared" si="8"/>
        <v>-3.1850582662708987E-2</v>
      </c>
      <c r="BR95">
        <v>0.121999938539074</v>
      </c>
      <c r="BS95">
        <v>-2.44658040418794E-2</v>
      </c>
      <c r="BT95">
        <v>-2.7617308491720799E-3</v>
      </c>
      <c r="BU95">
        <v>5.4431745927553399E-3</v>
      </c>
      <c r="BV95" s="56">
        <f t="shared" si="9"/>
        <v>-6.2998314538459631E-3</v>
      </c>
      <c r="CI95">
        <v>1.9951230325870001E-2</v>
      </c>
      <c r="CJ95">
        <v>-2.1704073192707299E-2</v>
      </c>
      <c r="CK95">
        <v>-4.0071153827799098E-2</v>
      </c>
      <c r="CL95" s="56">
        <f t="shared" si="10"/>
        <v>-2.8636160323782522E-3</v>
      </c>
    </row>
    <row r="96" spans="1:90" x14ac:dyDescent="0.2">
      <c r="A96" s="1">
        <v>40816</v>
      </c>
      <c r="B96" s="38">
        <f>Data!B94</f>
        <v>1.7068698759490353E-3</v>
      </c>
      <c r="C96" s="38">
        <f>Data!C94</f>
        <v>-3.3929943999121415E-2</v>
      </c>
      <c r="D96" s="38">
        <f>Data!D94</f>
        <v>-0.20058644038488704</v>
      </c>
      <c r="E96" s="38">
        <f>Data!E94</f>
        <v>-1.2433538373822772E-2</v>
      </c>
      <c r="F96" s="38">
        <f>Data!F94</f>
        <v>-8.3202631880940903E-4</v>
      </c>
      <c r="G96" s="38">
        <f t="shared" si="11"/>
        <v>-1.5208285488990815E-2</v>
      </c>
      <c r="H96" s="38"/>
      <c r="I96" s="38"/>
      <c r="J96" s="38"/>
      <c r="K96" s="38"/>
      <c r="W96" s="60">
        <v>7.2746108025669703E-3</v>
      </c>
      <c r="X96" s="60">
        <v>-4.2005612589250799E-2</v>
      </c>
      <c r="Y96" s="60">
        <v>-4.32217992708313E-2</v>
      </c>
      <c r="Z96" s="56">
        <f t="shared" si="6"/>
        <v>-3.4335557811382084E-3</v>
      </c>
      <c r="AM96">
        <v>-7.3684392965963005E-2</v>
      </c>
      <c r="AN96">
        <v>1.88904497320441E-3</v>
      </c>
      <c r="AO96">
        <v>-4.1803399819180902E-2</v>
      </c>
      <c r="AP96" s="56">
        <f t="shared" si="7"/>
        <v>5.3633393260947723E-2</v>
      </c>
      <c r="BC96">
        <v>-0.147349942083254</v>
      </c>
      <c r="BD96">
        <v>-3.9415250609949902E-2</v>
      </c>
      <c r="BE96" s="56">
        <f t="shared" si="8"/>
        <v>-4.6483562259220207E-2</v>
      </c>
      <c r="BR96">
        <v>-0.11052011722494599</v>
      </c>
      <c r="BS96">
        <v>-2.27382412298292E-2</v>
      </c>
      <c r="BT96">
        <v>-5.9400443721740999E-3</v>
      </c>
      <c r="BU96">
        <v>9.9451249741936403E-3</v>
      </c>
      <c r="BV96" s="56">
        <f t="shared" si="9"/>
        <v>8.5917228625998938E-3</v>
      </c>
      <c r="CI96">
        <v>2.3388110335183002E-3</v>
      </c>
      <c r="CJ96">
        <v>-1.6798196857655101E-2</v>
      </c>
      <c r="CK96">
        <v>-3.59471884682643E-2</v>
      </c>
      <c r="CL96" s="56">
        <f t="shared" si="10"/>
        <v>6.5641714723897997E-4</v>
      </c>
    </row>
    <row r="97" spans="1:90" x14ac:dyDescent="0.2">
      <c r="A97" s="1">
        <v>40847</v>
      </c>
      <c r="B97" s="38">
        <f>Data!B95</f>
        <v>-2.7483248959736528E-5</v>
      </c>
      <c r="C97" s="38">
        <f>Data!C95</f>
        <v>0.11513980450102301</v>
      </c>
      <c r="D97" s="38">
        <f>Data!D95</f>
        <v>9.3217606117719676E-2</v>
      </c>
      <c r="E97" s="38">
        <f>Data!E95</f>
        <v>-9.2411245091531535E-3</v>
      </c>
      <c r="F97" s="38">
        <f>Data!F95</f>
        <v>1.1275208897651989E-2</v>
      </c>
      <c r="G97" s="38">
        <f t="shared" si="11"/>
        <v>1.3260808671372529E-2</v>
      </c>
      <c r="H97" s="38"/>
      <c r="I97" s="38"/>
      <c r="J97" s="38"/>
      <c r="K97" s="38"/>
      <c r="W97" s="60">
        <v>1.07416909021296E-3</v>
      </c>
      <c r="X97" s="60">
        <v>4.5089641618925903E-2</v>
      </c>
      <c r="Y97" s="60">
        <v>5.8483067583956903E-2</v>
      </c>
      <c r="Z97" s="56">
        <f t="shared" si="6"/>
        <v>1.0522294546051192E-3</v>
      </c>
      <c r="AM97">
        <v>0.10973930274482099</v>
      </c>
      <c r="AN97">
        <v>-4.7517361960460799E-3</v>
      </c>
      <c r="AO97">
        <v>4.2065054134454702E-2</v>
      </c>
      <c r="AP97" s="56">
        <f t="shared" si="7"/>
        <v>-1.0876028816990374E-2</v>
      </c>
      <c r="BC97">
        <v>6.6183529972758906E-2</v>
      </c>
      <c r="BD97">
        <v>3.02568292427325E-2</v>
      </c>
      <c r="BE97" s="56">
        <f t="shared" si="8"/>
        <v>7.1810830690156313E-3</v>
      </c>
      <c r="BR97">
        <v>5.5986303647639103E-2</v>
      </c>
      <c r="BS97">
        <v>7.56846857609683E-3</v>
      </c>
      <c r="BT97">
        <v>-5.09509810480702E-3</v>
      </c>
      <c r="BU97">
        <v>-6.0212196763237399E-2</v>
      </c>
      <c r="BV97" s="56">
        <f t="shared" si="9"/>
        <v>-1.0534284953532579E-2</v>
      </c>
      <c r="CI97">
        <v>1.1497070344723701E-2</v>
      </c>
      <c r="CJ97">
        <v>1.26635666809039E-2</v>
      </c>
      <c r="CK97">
        <v>5.95572366741699E-2</v>
      </c>
      <c r="CL97" s="56">
        <f t="shared" si="10"/>
        <v>-7.0312935848972843E-3</v>
      </c>
    </row>
    <row r="98" spans="1:90" x14ac:dyDescent="0.2">
      <c r="A98" s="1">
        <v>40877</v>
      </c>
      <c r="B98" s="38">
        <f>Data!B96</f>
        <v>1.8194410852883092E-3</v>
      </c>
      <c r="C98" s="38">
        <f>Data!C96</f>
        <v>-1.7225563143410394E-2</v>
      </c>
      <c r="D98" s="38">
        <f>Data!D96</f>
        <v>-3.0156198018320812E-2</v>
      </c>
      <c r="E98" s="38">
        <f>Data!E96</f>
        <v>-6.527056965234701E-3</v>
      </c>
      <c r="F98" s="38">
        <f>Data!F96</f>
        <v>1.296199895887562E-2</v>
      </c>
      <c r="G98" s="38">
        <f t="shared" si="11"/>
        <v>-7.8855637495726851E-4</v>
      </c>
      <c r="H98" s="38"/>
      <c r="I98" s="38"/>
      <c r="J98" s="38"/>
      <c r="K98" s="38"/>
      <c r="W98" s="60">
        <v>-8.6754524647991705E-4</v>
      </c>
      <c r="X98" s="60">
        <v>-5.8542816086857297E-3</v>
      </c>
      <c r="Y98" s="60">
        <v>-2.12478475584735E-2</v>
      </c>
      <c r="Z98" s="56">
        <f t="shared" si="6"/>
        <v>1.1591635304509435E-3</v>
      </c>
      <c r="AM98">
        <v>-9.6456063086947097E-5</v>
      </c>
      <c r="AN98">
        <v>5.0854595702854999E-3</v>
      </c>
      <c r="AO98">
        <v>-1.43486620035382E-3</v>
      </c>
      <c r="AP98" s="56">
        <f t="shared" si="7"/>
        <v>-1.9168821550136255E-2</v>
      </c>
      <c r="BC98">
        <v>-2.2190194824339898E-2</v>
      </c>
      <c r="BD98">
        <v>-1.1847623913450799E-2</v>
      </c>
      <c r="BE98" s="56">
        <f t="shared" si="8"/>
        <v>9.722444104775449E-4</v>
      </c>
      <c r="BR98">
        <v>1.8458039307167402E-2</v>
      </c>
      <c r="BS98">
        <v>-8.4087184938023106E-3</v>
      </c>
      <c r="BT98">
        <v>-2.4594883000992299E-3</v>
      </c>
      <c r="BU98">
        <v>-1.80048766640514E-2</v>
      </c>
      <c r="BV98" s="56">
        <f t="shared" si="9"/>
        <v>-3.0015457408394154E-3</v>
      </c>
      <c r="CI98">
        <v>1.1380370957218699E-2</v>
      </c>
      <c r="CJ98">
        <v>-5.9492301937030803E-3</v>
      </c>
      <c r="CK98">
        <v>-2.2115392804953501E-2</v>
      </c>
      <c r="CL98" s="56">
        <f t="shared" si="10"/>
        <v>5.3760995999427106E-3</v>
      </c>
    </row>
    <row r="99" spans="1:90" x14ac:dyDescent="0.2">
      <c r="A99" s="1">
        <v>40907</v>
      </c>
      <c r="B99" s="38">
        <f>Data!B97</f>
        <v>7.0121533016926918E-3</v>
      </c>
      <c r="C99" s="38">
        <f>Data!C97</f>
        <v>-8.8155984235637197E-3</v>
      </c>
      <c r="D99" s="38">
        <f>Data!D97</f>
        <v>-4.251515088373814E-2</v>
      </c>
      <c r="E99" s="38">
        <f>Data!E97</f>
        <v>-2.4774665427476084E-3</v>
      </c>
      <c r="F99" s="38">
        <f>Data!F97</f>
        <v>2.0602759181309604E-3</v>
      </c>
      <c r="G99" s="38">
        <f t="shared" si="11"/>
        <v>-3.0322869733392563E-5</v>
      </c>
      <c r="H99" s="38"/>
      <c r="I99" s="38"/>
      <c r="J99" s="38"/>
      <c r="K99" s="38"/>
      <c r="W99" s="60">
        <v>1.0990831452971901E-2</v>
      </c>
      <c r="X99" s="60">
        <v>1.17953568050822E-2</v>
      </c>
      <c r="Y99" s="60">
        <v>1.3795934670993101E-2</v>
      </c>
      <c r="Z99" s="56">
        <f t="shared" si="6"/>
        <v>8.2159778899009404E-4</v>
      </c>
      <c r="AM99">
        <v>-3.2155122585522098E-3</v>
      </c>
      <c r="AN99">
        <v>-2.3367054959672701E-2</v>
      </c>
      <c r="AO99">
        <v>-3.6237187872158998E-3</v>
      </c>
      <c r="AP99" s="56">
        <f t="shared" si="7"/>
        <v>5.9216645795310812E-3</v>
      </c>
      <c r="BC99">
        <v>-3.7479116915664301E-2</v>
      </c>
      <c r="BD99">
        <v>-2.1027664599208001E-3</v>
      </c>
      <c r="BE99" s="56">
        <f t="shared" si="8"/>
        <v>-1.3933944921615343E-2</v>
      </c>
      <c r="BR99">
        <v>-0.103896698828986</v>
      </c>
      <c r="BS99">
        <v>-4.9091743503163502E-3</v>
      </c>
      <c r="BT99">
        <v>-8.6996348110030004E-3</v>
      </c>
      <c r="BU99">
        <v>-1.9372139308066999E-2</v>
      </c>
      <c r="BV99" s="56">
        <f t="shared" si="9"/>
        <v>1.54984348425025E-2</v>
      </c>
      <c r="CI99">
        <v>3.56185087226169E-3</v>
      </c>
      <c r="CJ99">
        <v>3.7904604606866501E-3</v>
      </c>
      <c r="CK99">
        <v>2.4786766123964899E-2</v>
      </c>
      <c r="CL99" s="56">
        <f t="shared" si="10"/>
        <v>-4.6281544633427858E-3</v>
      </c>
    </row>
    <row r="100" spans="1:90" x14ac:dyDescent="0.2">
      <c r="A100" s="1">
        <v>40939</v>
      </c>
      <c r="B100" s="38">
        <f>Data!B98</f>
        <v>4.0755613431917581E-3</v>
      </c>
      <c r="C100" s="38">
        <f>Data!C98</f>
        <v>7.6174531756827424E-2</v>
      </c>
      <c r="D100" s="38">
        <f>Data!D98</f>
        <v>0.10917466712485657</v>
      </c>
      <c r="E100" s="38">
        <f>Data!E98</f>
        <v>1.2674140364055342E-2</v>
      </c>
      <c r="F100" s="38">
        <f>Data!F98</f>
        <v>2.545106997995239E-2</v>
      </c>
      <c r="G100" s="38">
        <f t="shared" si="11"/>
        <v>2.1358019957969904E-2</v>
      </c>
      <c r="H100" s="38"/>
      <c r="I100" s="38"/>
      <c r="J100" s="38"/>
      <c r="K100" s="38"/>
      <c r="W100" s="60">
        <v>8.7807027952468992E-3</v>
      </c>
      <c r="X100" s="60">
        <v>1.7619047619047701E-2</v>
      </c>
      <c r="Y100" s="60">
        <v>2.0248602123550199E-2</v>
      </c>
      <c r="Z100" s="56">
        <f t="shared" si="6"/>
        <v>-6.5573325062427516E-4</v>
      </c>
      <c r="AM100">
        <v>5.9691660457493502E-2</v>
      </c>
      <c r="AN100">
        <v>2.1861869679874701E-2</v>
      </c>
      <c r="AO100">
        <v>2.5835901386118E-2</v>
      </c>
      <c r="AP100" s="56">
        <f t="shared" si="7"/>
        <v>-3.9387603569438767E-3</v>
      </c>
      <c r="BC100">
        <v>2.47286754553602E-2</v>
      </c>
      <c r="BD100">
        <v>2.53480049964987E-2</v>
      </c>
      <c r="BE100" s="56">
        <f t="shared" si="8"/>
        <v>5.8212153438550601E-2</v>
      </c>
      <c r="BR100">
        <v>0.11045363631135301</v>
      </c>
      <c r="BS100">
        <v>1.57456894257475E-2</v>
      </c>
      <c r="BT100">
        <v>-3.9926837045045601E-3</v>
      </c>
      <c r="BU100">
        <v>-5.99084361411251E-3</v>
      </c>
      <c r="BV100" s="56">
        <f t="shared" si="9"/>
        <v>1.1939351332902783E-3</v>
      </c>
      <c r="CI100">
        <v>2.8705893156408601E-2</v>
      </c>
      <c r="CJ100">
        <v>1.9738373130252101E-2</v>
      </c>
      <c r="CK100">
        <v>2.90293049187971E-2</v>
      </c>
      <c r="CL100" s="56">
        <f t="shared" si="10"/>
        <v>-2.8134788466387881E-3</v>
      </c>
    </row>
    <row r="101" spans="1:90" x14ac:dyDescent="0.2">
      <c r="A101" s="1">
        <v>40968</v>
      </c>
      <c r="B101" s="38">
        <f>Data!B99</f>
        <v>9.225042191001176E-4</v>
      </c>
      <c r="C101" s="38">
        <f>Data!C99</f>
        <v>7.3505104521147224E-2</v>
      </c>
      <c r="D101" s="38">
        <f>Data!D99</f>
        <v>7.8517511604270229E-3</v>
      </c>
      <c r="E101" s="38">
        <f>Data!E99</f>
        <v>7.894786998136949E-3</v>
      </c>
      <c r="F101" s="38">
        <f>Data!F99</f>
        <v>-3.2189280242237439E-3</v>
      </c>
      <c r="G101" s="38">
        <f t="shared" si="11"/>
        <v>7.2719317047166901E-3</v>
      </c>
      <c r="H101" s="38"/>
      <c r="I101" s="38"/>
      <c r="J101" s="38"/>
      <c r="K101" s="38"/>
      <c r="W101" s="60">
        <v>-2.2964942055525599E-4</v>
      </c>
      <c r="X101" s="60">
        <v>2.9515242898490401E-2</v>
      </c>
      <c r="Y101" s="60">
        <v>2.3014817999653301E-2</v>
      </c>
      <c r="Z101" s="56">
        <f t="shared" si="6"/>
        <v>1.118325021759759E-3</v>
      </c>
      <c r="AM101">
        <v>4.7824706102695298E-2</v>
      </c>
      <c r="AN101">
        <v>7.9615903943641708E-3</v>
      </c>
      <c r="AO101">
        <v>-1.9309842736031702E-2</v>
      </c>
      <c r="AP101" s="56">
        <f t="shared" si="7"/>
        <v>2.0607148277215076E-2</v>
      </c>
      <c r="BC101">
        <v>2.6986806266247301E-2</v>
      </c>
      <c r="BD101">
        <v>1.86380526399328E-2</v>
      </c>
      <c r="BE101" s="56">
        <f t="shared" si="8"/>
        <v>-3.5672410989143588E-2</v>
      </c>
      <c r="BR101">
        <v>-2.3593591750299198E-2</v>
      </c>
      <c r="BS101">
        <v>1.32009559803286E-2</v>
      </c>
      <c r="BT101">
        <v>-2.5665610837164502E-3</v>
      </c>
      <c r="BU101">
        <v>-1.4307816435817701E-2</v>
      </c>
      <c r="BV101" s="56">
        <f t="shared" si="9"/>
        <v>8.2774333749450549E-3</v>
      </c>
      <c r="CI101">
        <v>-3.6465563029186598E-3</v>
      </c>
      <c r="CJ101">
        <v>1.5767517064045E-2</v>
      </c>
      <c r="CK101">
        <v>2.2785168579098101E-2</v>
      </c>
      <c r="CL101" s="56">
        <f t="shared" si="10"/>
        <v>-1.5658790721983233E-3</v>
      </c>
    </row>
    <row r="102" spans="1:90" x14ac:dyDescent="0.2">
      <c r="A102" s="1">
        <v>40998</v>
      </c>
      <c r="B102" s="38">
        <f>Data!B100</f>
        <v>6.5057928663980746E-4</v>
      </c>
      <c r="C102" s="38">
        <f>Data!C100</f>
        <v>5.053890046191456E-2</v>
      </c>
      <c r="D102" s="38">
        <f>Data!D100</f>
        <v>-5.3876550097044507E-2</v>
      </c>
      <c r="E102" s="38">
        <f>Data!E100</f>
        <v>-1.3185557759400779E-2</v>
      </c>
      <c r="F102" s="38">
        <f>Data!F100</f>
        <v>-5.4597452118900769E-3</v>
      </c>
      <c r="G102" s="38">
        <f t="shared" si="11"/>
        <v>-3.230471376918705E-3</v>
      </c>
      <c r="H102" s="38"/>
      <c r="I102" s="38"/>
      <c r="J102" s="38"/>
      <c r="K102" s="38"/>
      <c r="W102" s="60">
        <v>-5.4792371646907902E-3</v>
      </c>
      <c r="X102" s="60">
        <v>9.42729201037107E-4</v>
      </c>
      <c r="Y102" s="60">
        <v>4.5436507331165802E-3</v>
      </c>
      <c r="Z102" s="56">
        <f t="shared" si="6"/>
        <v>4.1762569692034976E-3</v>
      </c>
      <c r="AM102">
        <v>3.28918267156941E-2</v>
      </c>
      <c r="AN102">
        <v>3.24781745075664E-3</v>
      </c>
      <c r="AO102">
        <v>-7.2870591812044302E-3</v>
      </c>
      <c r="AP102" s="56">
        <f t="shared" si="7"/>
        <v>1.4121313305749388E-2</v>
      </c>
      <c r="BC102">
        <v>-4.1365310590923701E-2</v>
      </c>
      <c r="BD102">
        <v>3.94883328684248E-3</v>
      </c>
      <c r="BE102" s="56">
        <f t="shared" si="8"/>
        <v>-3.0732417447742834E-2</v>
      </c>
      <c r="BR102">
        <v>-1.6861547891274999E-2</v>
      </c>
      <c r="BS102">
        <v>1.37426761502368E-3</v>
      </c>
      <c r="BT102">
        <v>-3.7818742078556998E-3</v>
      </c>
      <c r="BU102">
        <v>-3.285625078321E-2</v>
      </c>
      <c r="BV102" s="56">
        <f t="shared" si="9"/>
        <v>-8.083997282262511E-3</v>
      </c>
      <c r="CI102">
        <v>-8.1575057115978993E-3</v>
      </c>
      <c r="CJ102">
        <v>5.1561418228793796E-3</v>
      </c>
      <c r="CK102">
        <v>-9.3558643157420896E-4</v>
      </c>
      <c r="CL102" s="56">
        <f t="shared" si="10"/>
        <v>2.7389281269571009E-3</v>
      </c>
    </row>
    <row r="103" spans="1:90" x14ac:dyDescent="0.2">
      <c r="A103" s="1">
        <v>41029</v>
      </c>
      <c r="B103" s="38">
        <f>Data!B101</f>
        <v>6.4853091764145443E-3</v>
      </c>
      <c r="C103" s="38">
        <f>Data!C101</f>
        <v>-1.8880938011897608E-2</v>
      </c>
      <c r="D103" s="38">
        <f>Data!D101</f>
        <v>3.0949312899457571E-3</v>
      </c>
      <c r="E103" s="38">
        <f>Data!E101</f>
        <v>-5.7933653187722811E-3</v>
      </c>
      <c r="F103" s="38">
        <f>Data!F101</f>
        <v>2.0339931389994792E-2</v>
      </c>
      <c r="G103" s="38">
        <f t="shared" si="11"/>
        <v>4.5328029084907928E-3</v>
      </c>
      <c r="H103" s="38"/>
      <c r="I103" s="38"/>
      <c r="J103" s="38"/>
      <c r="K103" s="38"/>
      <c r="W103" s="60">
        <v>1.10864495194745E-2</v>
      </c>
      <c r="X103" s="60">
        <v>1.7558612802314199E-2</v>
      </c>
      <c r="Y103" s="60">
        <v>-8.6388088692923603E-4</v>
      </c>
      <c r="Z103" s="56">
        <f t="shared" si="6"/>
        <v>-1.0873455026178891E-3</v>
      </c>
      <c r="AM103">
        <v>-1.5445927847312899E-3</v>
      </c>
      <c r="AN103">
        <v>8.6526601626244499E-3</v>
      </c>
      <c r="AO103">
        <v>-9.1698007191365304E-3</v>
      </c>
      <c r="AP103" s="56">
        <f t="shared" si="7"/>
        <v>-1.9495283643531418E-2</v>
      </c>
      <c r="BC103">
        <v>-4.2323117162766898E-3</v>
      </c>
      <c r="BD103">
        <v>-3.3190076789352302E-3</v>
      </c>
      <c r="BE103" s="56">
        <f t="shared" si="8"/>
        <v>1.0451406205862747E-2</v>
      </c>
      <c r="BR103">
        <v>-2.03818601444716E-3</v>
      </c>
      <c r="BS103">
        <v>-2.8145952957865398E-3</v>
      </c>
      <c r="BT103">
        <v>-5.7231793588730104E-3</v>
      </c>
      <c r="BU103">
        <v>-1.9110415846273999E-3</v>
      </c>
      <c r="BV103" s="56">
        <f t="shared" si="9"/>
        <v>-3.4665773687845604E-4</v>
      </c>
      <c r="CI103">
        <v>2.2289066840101499E-2</v>
      </c>
      <c r="CJ103">
        <v>2.9085840630864702E-3</v>
      </c>
      <c r="CK103">
        <v>1.02225686325452E-2</v>
      </c>
      <c r="CL103" s="56">
        <f t="shared" si="10"/>
        <v>-1.1855736541660049E-3</v>
      </c>
    </row>
    <row r="104" spans="1:90" x14ac:dyDescent="0.2">
      <c r="A104" s="1">
        <v>41060</v>
      </c>
      <c r="B104" s="38">
        <f>Data!B102</f>
        <v>3.1652383618276936E-3</v>
      </c>
      <c r="C104" s="38">
        <f>Data!C102</f>
        <v>-7.7152899824253107E-2</v>
      </c>
      <c r="D104" s="38">
        <f>Data!D102</f>
        <v>-9.6474373693121063E-2</v>
      </c>
      <c r="E104" s="38">
        <f>Data!E102</f>
        <v>4.0365403664328614E-3</v>
      </c>
      <c r="F104" s="38">
        <f>Data!F102</f>
        <v>1.8428705630643805E-2</v>
      </c>
      <c r="G104" s="38">
        <f t="shared" si="11"/>
        <v>-4.2042266237660589E-3</v>
      </c>
      <c r="H104" s="38"/>
      <c r="I104" s="38"/>
      <c r="J104" s="38"/>
      <c r="K104" s="38"/>
      <c r="W104" s="60">
        <v>9.0482611069633307E-3</v>
      </c>
      <c r="X104" s="60">
        <v>-2.7718091963902E-2</v>
      </c>
      <c r="Y104" s="60">
        <v>-2.1120801506882E-2</v>
      </c>
      <c r="Z104" s="56">
        <f t="shared" si="6"/>
        <v>-2.2361612471446385E-3</v>
      </c>
      <c r="AM104">
        <v>-6.4146341840476004E-2</v>
      </c>
      <c r="AN104">
        <v>-5.5058055253708301E-3</v>
      </c>
      <c r="AO104">
        <v>-6.0891766074489002E-3</v>
      </c>
      <c r="AP104" s="56">
        <f t="shared" si="7"/>
        <v>-2.9691599729425311E-3</v>
      </c>
      <c r="BC104">
        <v>-9.1319863255492101E-2</v>
      </c>
      <c r="BD104">
        <v>-2.3300716813589299E-2</v>
      </c>
      <c r="BE104" s="56">
        <f t="shared" si="8"/>
        <v>-2.4792022074612841E-3</v>
      </c>
      <c r="BR104">
        <v>-6.2616008409671103E-2</v>
      </c>
      <c r="BS104">
        <v>-1.1900829122259199E-2</v>
      </c>
      <c r="BT104">
        <v>-1.3566314264100701E-3</v>
      </c>
      <c r="BU104">
        <v>1.29728512971611E-2</v>
      </c>
      <c r="BV104" s="56">
        <f t="shared" si="9"/>
        <v>1.3859113827765883E-2</v>
      </c>
      <c r="CI104">
        <v>2.41755911356165E-2</v>
      </c>
      <c r="CJ104">
        <v>-1.0544197695849101E-2</v>
      </c>
      <c r="CK104">
        <v>-1.20725403999187E-2</v>
      </c>
      <c r="CL104" s="56">
        <f t="shared" si="10"/>
        <v>-2.9426043896314952E-3</v>
      </c>
    </row>
    <row r="105" spans="1:90" x14ac:dyDescent="0.2">
      <c r="A105" s="1">
        <v>41089</v>
      </c>
      <c r="B105" s="38">
        <f>Data!B103</f>
        <v>1.15907188392117E-3</v>
      </c>
      <c r="C105" s="38">
        <f>Data!C103</f>
        <v>2.9708626928204307E-2</v>
      </c>
      <c r="D105" s="38">
        <f>Data!D103</f>
        <v>3.8363418335760624E-3</v>
      </c>
      <c r="E105" s="38">
        <f>Data!E103</f>
        <v>-1.4201680418060025E-2</v>
      </c>
      <c r="F105" s="38">
        <f>Data!F103</f>
        <v>-3.5396042881291612E-3</v>
      </c>
      <c r="G105" s="38">
        <f t="shared" si="11"/>
        <v>-1.3748268568697271E-3</v>
      </c>
      <c r="H105" s="38"/>
      <c r="I105" s="38"/>
      <c r="J105" s="38"/>
      <c r="K105" s="38"/>
      <c r="W105" s="60">
        <v>3.92035603458796E-4</v>
      </c>
      <c r="X105" s="60">
        <v>3.5682107947301298E-2</v>
      </c>
      <c r="Y105" s="60">
        <v>1.99454335629108E-2</v>
      </c>
      <c r="Z105" s="56">
        <f t="shared" si="6"/>
        <v>4.4777966926319449E-4</v>
      </c>
      <c r="AM105">
        <v>2.7153093515513999E-2</v>
      </c>
      <c r="AN105">
        <v>-2.24959792860056E-2</v>
      </c>
      <c r="AO105">
        <v>8.6978029228439498E-3</v>
      </c>
      <c r="AP105" s="56">
        <f t="shared" si="7"/>
        <v>8.4660375201784689E-3</v>
      </c>
      <c r="BC105">
        <v>5.4929753128882798E-2</v>
      </c>
      <c r="BD105">
        <v>1.7875513651273199E-3</v>
      </c>
      <c r="BE105" s="56">
        <f t="shared" si="8"/>
        <v>-3.6318345129354654E-2</v>
      </c>
      <c r="BR105">
        <v>2.3671748338684101E-2</v>
      </c>
      <c r="BS105">
        <v>-4.06069462806236E-3</v>
      </c>
      <c r="BT105">
        <v>-1.28868491578609E-2</v>
      </c>
      <c r="BU105">
        <v>-3.1983860838842797E-2</v>
      </c>
      <c r="BV105" s="56">
        <f t="shared" si="9"/>
        <v>-4.1406442718169029E-3</v>
      </c>
      <c r="CI105">
        <v>-1.5960934534285901E-3</v>
      </c>
      <c r="CJ105">
        <v>8.8261545297985099E-3</v>
      </c>
      <c r="CK105">
        <v>2.0337469166369599E-2</v>
      </c>
      <c r="CL105" s="56">
        <f t="shared" si="10"/>
        <v>-4.2167555160028698E-3</v>
      </c>
    </row>
    <row r="106" spans="1:90" x14ac:dyDescent="0.2">
      <c r="A106" s="1">
        <v>41121</v>
      </c>
      <c r="B106" s="38">
        <f>Data!B104</f>
        <v>8.0344317475291582E-3</v>
      </c>
      <c r="C106" s="38">
        <f>Data!C104</f>
        <v>9.8021083780284179E-3</v>
      </c>
      <c r="D106" s="38">
        <f>Data!D104</f>
        <v>-2.4762950828857599E-2</v>
      </c>
      <c r="E106" s="38">
        <f>Data!E104</f>
        <v>2.0088961747473988E-2</v>
      </c>
      <c r="F106" s="38">
        <f>Data!F104</f>
        <v>1.4306151645207432E-2</v>
      </c>
      <c r="G106" s="38">
        <f t="shared" si="11"/>
        <v>1.0740206184680934E-2</v>
      </c>
      <c r="H106" s="38"/>
      <c r="I106" s="38"/>
      <c r="J106" s="38"/>
      <c r="K106" s="38"/>
      <c r="W106" s="60">
        <v>1.37931415135475E-2</v>
      </c>
      <c r="X106" s="60">
        <v>4.00334843411463E-2</v>
      </c>
      <c r="Y106" s="60">
        <v>5.3701592913111299E-3</v>
      </c>
      <c r="Z106" s="56">
        <f t="shared" si="6"/>
        <v>-1.8905394413525865E-3</v>
      </c>
      <c r="AM106">
        <v>1.34049181982987E-2</v>
      </c>
      <c r="AN106">
        <v>3.0551305981481001E-3</v>
      </c>
      <c r="AO106">
        <v>-2.7708225631883E-2</v>
      </c>
      <c r="AP106" s="56">
        <f t="shared" si="7"/>
        <v>-1.5138156717591604E-3</v>
      </c>
      <c r="BC106">
        <v>6.46861266860701E-2</v>
      </c>
      <c r="BD106">
        <v>4.6644080283071397E-3</v>
      </c>
      <c r="BE106" s="56">
        <f t="shared" si="8"/>
        <v>-7.5479002287589469E-2</v>
      </c>
      <c r="BR106">
        <v>1.07233403236406E-2</v>
      </c>
      <c r="BS106">
        <v>9.0257066089889405E-3</v>
      </c>
      <c r="BT106">
        <v>-2.99064278098027E-3</v>
      </c>
      <c r="BU106">
        <v>-1.11355550638803E-2</v>
      </c>
      <c r="BV106" s="56">
        <f t="shared" si="9"/>
        <v>1.8960175957798621E-2</v>
      </c>
      <c r="CI106">
        <v>1.7939389749660899E-2</v>
      </c>
      <c r="CJ106">
        <v>1.20163493899692E-2</v>
      </c>
      <c r="CK106">
        <v>1.9163300804858601E-2</v>
      </c>
      <c r="CL106" s="56">
        <f t="shared" si="10"/>
        <v>-3.5579681034219358E-3</v>
      </c>
    </row>
    <row r="107" spans="1:90" x14ac:dyDescent="0.2">
      <c r="A107" s="1">
        <v>41152</v>
      </c>
      <c r="B107" s="38">
        <f>Data!B105</f>
        <v>1.1272338638066426E-3</v>
      </c>
      <c r="C107" s="38">
        <f>Data!C105</f>
        <v>5.0091575091575136E-2</v>
      </c>
      <c r="D107" s="38">
        <f>Data!D105</f>
        <v>2.8132267343761175E-3</v>
      </c>
      <c r="E107" s="38">
        <f>Data!E105</f>
        <v>-2.2822593880253983E-3</v>
      </c>
      <c r="F107" s="38">
        <f>Data!F105</f>
        <v>4.2793451728551091E-4</v>
      </c>
      <c r="G107" s="38">
        <f t="shared" si="11"/>
        <v>3.7552338678512247E-3</v>
      </c>
      <c r="H107" s="38"/>
      <c r="I107" s="38"/>
      <c r="J107" s="38"/>
      <c r="K107" s="38"/>
      <c r="W107" s="60">
        <v>6.5332433197595697E-4</v>
      </c>
      <c r="X107" s="60">
        <v>1.15998295535249E-2</v>
      </c>
      <c r="Y107" s="60">
        <v>1.14050561200521E-2</v>
      </c>
      <c r="Z107" s="56">
        <f t="shared" si="6"/>
        <v>9.2677078989687137E-4</v>
      </c>
      <c r="AM107">
        <v>2.6904143782650901E-2</v>
      </c>
      <c r="AN107">
        <v>5.1925206532126298E-3</v>
      </c>
      <c r="AO107">
        <v>1.08246347755623E-2</v>
      </c>
      <c r="AP107" s="56">
        <f t="shared" si="7"/>
        <v>1.6233341002585826E-2</v>
      </c>
      <c r="BC107">
        <v>1.29835599280488E-2</v>
      </c>
      <c r="BD107">
        <v>1.13629652106022E-2</v>
      </c>
      <c r="BE107" s="56">
        <f t="shared" si="8"/>
        <v>-2.1337041884184109E-2</v>
      </c>
      <c r="BR107">
        <v>4.7857647189981201E-2</v>
      </c>
      <c r="BS107">
        <v>6.60026499423316E-3</v>
      </c>
      <c r="BT107">
        <v>-3.9318030888184597E-3</v>
      </c>
      <c r="BU107">
        <v>-1.0744005186284799E-2</v>
      </c>
      <c r="BV107" s="56">
        <f t="shared" si="9"/>
        <v>-5.2310984977189572E-3</v>
      </c>
      <c r="CI107">
        <v>-2.3769301946535699E-3</v>
      </c>
      <c r="CJ107">
        <v>1.0532068083051601E-2</v>
      </c>
      <c r="CK107">
        <v>1.2058380452028001E-2</v>
      </c>
      <c r="CL107" s="56">
        <f t="shared" si="10"/>
        <v>1.9779104196444141E-3</v>
      </c>
    </row>
    <row r="108" spans="1:90" x14ac:dyDescent="0.2">
      <c r="A108" s="1">
        <v>41180</v>
      </c>
      <c r="B108" s="38">
        <f>Data!B106</f>
        <v>2.07666119617822E-3</v>
      </c>
      <c r="C108" s="38">
        <f>Data!C106</f>
        <v>1.2121740647074164E-2</v>
      </c>
      <c r="D108" s="38">
        <f>Data!D106</f>
        <v>0.11025124105342266</v>
      </c>
      <c r="E108" s="38">
        <f>Data!E106</f>
        <v>-3.0175992760539394E-4</v>
      </c>
      <c r="F108" s="38">
        <f>Data!F106</f>
        <v>1.0222387115078391E-2</v>
      </c>
      <c r="G108" s="38">
        <f t="shared" si="11"/>
        <v>9.5500629077798823E-3</v>
      </c>
      <c r="H108" s="38"/>
      <c r="I108" s="38"/>
      <c r="J108" s="38"/>
      <c r="K108" s="38"/>
      <c r="W108" s="60">
        <v>1.3765261485561E-3</v>
      </c>
      <c r="X108" s="60">
        <v>1.47274485943398E-2</v>
      </c>
      <c r="Y108" s="60">
        <v>1.2866596344935701E-2</v>
      </c>
      <c r="Z108" s="56">
        <f t="shared" si="6"/>
        <v>1.3842544451756244E-3</v>
      </c>
      <c r="AM108">
        <v>1.9611250416183799E-2</v>
      </c>
      <c r="AN108">
        <v>-1.2131287971126E-2</v>
      </c>
      <c r="AO108">
        <v>6.9963728355182404E-3</v>
      </c>
      <c r="AP108" s="56">
        <f t="shared" si="7"/>
        <v>-5.206310211442064E-3</v>
      </c>
      <c r="BC108">
        <v>1.7055599982705599E-2</v>
      </c>
      <c r="BD108">
        <v>1.2752949328769501E-2</v>
      </c>
      <c r="BE108" s="56">
        <f t="shared" si="8"/>
        <v>8.1439357963326964E-2</v>
      </c>
      <c r="BR108">
        <v>4.7521943434701598E-2</v>
      </c>
      <c r="BS108">
        <v>6.5387650685306796E-3</v>
      </c>
      <c r="BT108">
        <v>-6.5924129485635001E-3</v>
      </c>
      <c r="BU108">
        <v>-6.2224506052703799E-3</v>
      </c>
      <c r="BV108" s="56">
        <f t="shared" si="9"/>
        <v>-1.3620068159804764E-3</v>
      </c>
      <c r="CI108">
        <v>7.1775627770826996E-3</v>
      </c>
      <c r="CJ108">
        <v>1.31311780170942E-2</v>
      </c>
      <c r="CK108">
        <v>1.42431224934918E-2</v>
      </c>
      <c r="CL108" s="56">
        <f t="shared" si="10"/>
        <v>3.0582685568746673E-3</v>
      </c>
    </row>
    <row r="109" spans="1:90" x14ac:dyDescent="0.2">
      <c r="A109" s="1">
        <v>41213</v>
      </c>
      <c r="B109" s="38">
        <f>Data!B107</f>
        <v>-1.6748465607344665E-3</v>
      </c>
      <c r="C109" s="38">
        <f>Data!C107</f>
        <v>-6.7551266586248548E-2</v>
      </c>
      <c r="D109" s="38">
        <f>Data!D107</f>
        <v>-9.2744216873312801E-2</v>
      </c>
      <c r="E109" s="38">
        <f>Data!E107</f>
        <v>-1.837322095604943E-2</v>
      </c>
      <c r="F109" s="38">
        <f>Data!F107</f>
        <v>5.7939830717184115E-3</v>
      </c>
      <c r="G109" s="38">
        <f t="shared" si="11"/>
        <v>-1.3491316618200928E-2</v>
      </c>
      <c r="H109" s="38"/>
      <c r="I109" s="38"/>
      <c r="J109" s="38"/>
      <c r="K109" s="38"/>
      <c r="W109" s="60">
        <v>1.9668675189759002E-3</v>
      </c>
      <c r="X109" s="60">
        <v>8.1639555979213796E-3</v>
      </c>
      <c r="Y109" s="60">
        <v>6.2805842146256303E-3</v>
      </c>
      <c r="Z109" s="56">
        <f t="shared" si="6"/>
        <v>-2.8339141719725164E-3</v>
      </c>
      <c r="AM109">
        <v>-2.91864546073063E-2</v>
      </c>
      <c r="AN109">
        <v>-2.4276524684249502E-2</v>
      </c>
      <c r="AO109">
        <v>-3.2304586296036898E-3</v>
      </c>
      <c r="AP109" s="56">
        <f t="shared" si="7"/>
        <v>-2.3873796500566723E-2</v>
      </c>
      <c r="BC109">
        <v>-3.8728806637808498E-2</v>
      </c>
      <c r="BD109">
        <v>4.3365114767168799E-3</v>
      </c>
      <c r="BE109" s="56">
        <f t="shared" si="8"/>
        <v>-7.1931905317466904E-2</v>
      </c>
      <c r="BR109">
        <v>-2.9115531104528102E-2</v>
      </c>
      <c r="BS109">
        <v>-2.0813062460760499E-3</v>
      </c>
      <c r="BT109">
        <v>-8.5619724767274103E-3</v>
      </c>
      <c r="BU109">
        <v>1.5978653706865499E-2</v>
      </c>
      <c r="BV109" s="56">
        <f t="shared" si="9"/>
        <v>-9.2800151405209655E-3</v>
      </c>
      <c r="CI109">
        <v>7.46435737670281E-3</v>
      </c>
      <c r="CJ109">
        <v>6.4806662306513604E-3</v>
      </c>
      <c r="CK109">
        <v>8.2474517336015296E-3</v>
      </c>
      <c r="CL109" s="56">
        <f t="shared" si="10"/>
        <v>-1.5004922948429877E-3</v>
      </c>
    </row>
    <row r="110" spans="1:90" x14ac:dyDescent="0.2">
      <c r="A110" s="1">
        <v>41243</v>
      </c>
      <c r="B110" s="38">
        <f>Data!B108</f>
        <v>-1.7201286911094904E-3</v>
      </c>
      <c r="C110" s="38">
        <f>Data!C108</f>
        <v>1.007207540195898E-2</v>
      </c>
      <c r="D110" s="38">
        <f>Data!D108</f>
        <v>6.9925148238696444E-2</v>
      </c>
      <c r="E110" s="38">
        <f>Data!E108</f>
        <v>-6.44670878578113E-4</v>
      </c>
      <c r="F110" s="38">
        <f>Data!F108</f>
        <v>6.4865886557725627E-3</v>
      </c>
      <c r="G110" s="38">
        <f t="shared" si="11"/>
        <v>4.8467307321190803E-3</v>
      </c>
      <c r="H110" s="38"/>
      <c r="I110" s="38"/>
      <c r="J110" s="38"/>
      <c r="K110" s="38"/>
      <c r="W110" s="60">
        <v>1.5779969741502901E-3</v>
      </c>
      <c r="X110" s="60">
        <v>1.55246824150184E-2</v>
      </c>
      <c r="Y110" s="60">
        <v>5.8451617760928399E-3</v>
      </c>
      <c r="Z110" s="56">
        <f t="shared" si="6"/>
        <v>-3.0641708839602468E-3</v>
      </c>
      <c r="AM110">
        <v>1.6745329986962001E-2</v>
      </c>
      <c r="AN110">
        <v>1.71601035358253E-2</v>
      </c>
      <c r="AO110">
        <v>-4.8779436311741098E-4</v>
      </c>
      <c r="AP110" s="56">
        <f t="shared" si="7"/>
        <v>-1.6040741598618128E-2</v>
      </c>
      <c r="BC110">
        <v>5.16054446878078E-4</v>
      </c>
      <c r="BD110">
        <v>1.0234473797340301E-2</v>
      </c>
      <c r="BE110" s="56">
        <f t="shared" si="8"/>
        <v>5.5857293677528258E-2</v>
      </c>
      <c r="BR110">
        <v>-3.3010780809578102E-3</v>
      </c>
      <c r="BS110">
        <v>4.5185292148639498E-3</v>
      </c>
      <c r="BT110">
        <v>-1.09126064051401E-3</v>
      </c>
      <c r="BU110">
        <v>-1.29800331971497E-3</v>
      </c>
      <c r="BV110" s="56">
        <f t="shared" si="9"/>
        <v>-9.0601467399440945E-4</v>
      </c>
      <c r="CI110">
        <v>7.14489374905658E-3</v>
      </c>
      <c r="CJ110">
        <v>5.6097898553779703E-3</v>
      </c>
      <c r="CK110">
        <v>7.4231587502431298E-3</v>
      </c>
      <c r="CL110" s="56">
        <f t="shared" si="10"/>
        <v>-4.941239535652597E-4</v>
      </c>
    </row>
    <row r="111" spans="1:90" x14ac:dyDescent="0.2">
      <c r="A111" s="1">
        <v>41274</v>
      </c>
      <c r="B111" s="38">
        <f>Data!B109</f>
        <v>1.3667740940468409E-3</v>
      </c>
      <c r="C111" s="38">
        <f>Data!C109</f>
        <v>-4.5741469215987429E-4</v>
      </c>
      <c r="D111" s="38">
        <f>Data!D109</f>
        <v>-7.3716408001648359E-3</v>
      </c>
      <c r="E111" s="38">
        <f>Data!E109</f>
        <v>1.0210786981236009E-2</v>
      </c>
      <c r="F111" s="38">
        <f>Data!F109</f>
        <v>-7.6782558963371939E-3</v>
      </c>
      <c r="G111" s="38">
        <f t="shared" si="11"/>
        <v>9.5839779306054426E-4</v>
      </c>
      <c r="H111" s="38"/>
      <c r="I111" s="38"/>
      <c r="J111" s="38"/>
      <c r="K111" s="38"/>
      <c r="W111" s="60">
        <v>-1.4239152797478299E-3</v>
      </c>
      <c r="X111" s="60">
        <v>9.2955504497604906E-3</v>
      </c>
      <c r="Y111" s="60">
        <v>1.7282381060420699E-2</v>
      </c>
      <c r="Z111" s="56">
        <f t="shared" si="6"/>
        <v>2.9324232144063919E-3</v>
      </c>
      <c r="AM111">
        <v>-2.76224100151712E-4</v>
      </c>
      <c r="AN111">
        <v>-2.0930873839065899E-2</v>
      </c>
      <c r="AO111">
        <v>2.6510451601075E-2</v>
      </c>
      <c r="AP111" s="56">
        <f t="shared" si="7"/>
        <v>4.6931821684907706E-3</v>
      </c>
      <c r="BC111">
        <v>-2.60713221720742E-2</v>
      </c>
      <c r="BD111">
        <v>1.9871607881609198E-2</v>
      </c>
      <c r="BE111" s="56">
        <f t="shared" si="8"/>
        <v>-1.6075662437104066E-2</v>
      </c>
      <c r="BR111">
        <v>-2.3102444940727902E-2</v>
      </c>
      <c r="BS111">
        <v>1.1279931639825099E-2</v>
      </c>
      <c r="BT111">
        <v>-4.7757931271985598E-4</v>
      </c>
      <c r="BU111">
        <v>7.2503845849438697E-3</v>
      </c>
      <c r="BV111" s="56">
        <f t="shared" si="9"/>
        <v>8.7958514165215416E-3</v>
      </c>
      <c r="CI111">
        <v>-1.0766207597129001E-2</v>
      </c>
      <c r="CJ111">
        <v>1.1757510952545E-2</v>
      </c>
      <c r="CK111">
        <v>1.58584657806729E-2</v>
      </c>
      <c r="CL111" s="56">
        <f t="shared" si="10"/>
        <v>1.0505614775835181E-3</v>
      </c>
    </row>
    <row r="112" spans="1:90" x14ac:dyDescent="0.2">
      <c r="A112" s="1">
        <v>41305</v>
      </c>
      <c r="B112" s="38">
        <f>Data!B110</f>
        <v>-5.0028944559219468E-3</v>
      </c>
      <c r="C112" s="38">
        <f>Data!C110</f>
        <v>1.3545670876807581E-2</v>
      </c>
      <c r="D112" s="38">
        <f>Data!D110</f>
        <v>2.286054249587588E-2</v>
      </c>
      <c r="E112" s="38">
        <f>Data!E110</f>
        <v>1.526979061451339E-2</v>
      </c>
      <c r="F112" s="38">
        <f>Data!F110</f>
        <v>-7.9613245648367803E-3</v>
      </c>
      <c r="G112" s="38">
        <f t="shared" si="11"/>
        <v>2.0063392464710157E-3</v>
      </c>
      <c r="H112" s="38"/>
      <c r="I112" s="38"/>
      <c r="J112" s="38"/>
      <c r="K112" s="38"/>
      <c r="W112" s="60">
        <v>-6.9941823583950001E-3</v>
      </c>
      <c r="X112" s="60">
        <v>-1.4224073798542E-2</v>
      </c>
      <c r="Y112" s="60">
        <v>2.0752070007389802E-2</v>
      </c>
      <c r="Z112" s="56">
        <f t="shared" si="6"/>
        <v>1.349783347970682E-3</v>
      </c>
      <c r="AM112">
        <v>4.28589908737236E-2</v>
      </c>
      <c r="AN112">
        <v>-2.21365582278912E-2</v>
      </c>
      <c r="AO112">
        <v>1.0797630567976E-2</v>
      </c>
      <c r="AP112" s="56">
        <f t="shared" si="7"/>
        <v>-2.5519463684317817E-2</v>
      </c>
      <c r="BC112">
        <v>2.3972595396878599E-2</v>
      </c>
      <c r="BD112">
        <v>2.2881695580633198E-2</v>
      </c>
      <c r="BE112" s="56">
        <f t="shared" si="8"/>
        <v>-2.4277636753176048E-2</v>
      </c>
      <c r="BR112">
        <v>-6.9537708538513999E-3</v>
      </c>
      <c r="BS112">
        <v>2.0520075697851199E-2</v>
      </c>
      <c r="BT112">
        <v>2.8292039105331001E-3</v>
      </c>
      <c r="BU112">
        <v>-1.8429381243616899E-2</v>
      </c>
      <c r="BV112" s="56">
        <f t="shared" si="9"/>
        <v>7.9654024665281337E-3</v>
      </c>
      <c r="CI112">
        <v>-9.3682925802787108E-3</v>
      </c>
      <c r="CJ112">
        <v>1.76908717873181E-2</v>
      </c>
      <c r="CK112">
        <v>1.3757887648994801E-2</v>
      </c>
      <c r="CL112" s="56">
        <f t="shared" si="10"/>
        <v>5.5660878359437525E-4</v>
      </c>
    </row>
    <row r="113" spans="1:90" x14ac:dyDescent="0.2">
      <c r="A113" s="1">
        <v>41333</v>
      </c>
      <c r="B113" s="38">
        <f>Data!B111</f>
        <v>3.3893962604549799E-3</v>
      </c>
      <c r="C113" s="38">
        <f>Data!C111</f>
        <v>5.869604478959678E-3</v>
      </c>
      <c r="D113" s="38">
        <f>Data!D111</f>
        <v>-5.6316899264906461E-2</v>
      </c>
      <c r="E113" s="38">
        <f>Data!E111</f>
        <v>-6.7914589939099823E-3</v>
      </c>
      <c r="F113" s="38">
        <f>Data!F111</f>
        <v>5.2677673337726549E-3</v>
      </c>
      <c r="G113" s="38">
        <f t="shared" si="11"/>
        <v>-1.5486458970609056E-3</v>
      </c>
      <c r="H113" s="38"/>
      <c r="I113" s="38"/>
      <c r="J113" s="38"/>
      <c r="K113" s="38"/>
      <c r="W113" s="60">
        <v>5.01231237953803E-3</v>
      </c>
      <c r="X113" s="60">
        <v>-1.4187822622029301E-3</v>
      </c>
      <c r="Y113" s="60">
        <v>-3.8462083704327E-4</v>
      </c>
      <c r="Z113" s="56">
        <f t="shared" si="6"/>
        <v>4.565806790048396E-4</v>
      </c>
      <c r="AM113">
        <v>1.24439118994406E-2</v>
      </c>
      <c r="AN113">
        <v>-1.91034499692999E-3</v>
      </c>
      <c r="AO113">
        <v>-2.5435862936724601E-3</v>
      </c>
      <c r="AP113" s="56">
        <f t="shared" si="7"/>
        <v>-6.526021340120404E-3</v>
      </c>
      <c r="BC113">
        <v>-4.0867983552996701E-2</v>
      </c>
      <c r="BD113">
        <v>3.6419568818162299E-3</v>
      </c>
      <c r="BE113" s="56">
        <f t="shared" si="8"/>
        <v>-3.3103454997013629E-2</v>
      </c>
      <c r="BR113">
        <v>-5.0543968263509202E-2</v>
      </c>
      <c r="BS113">
        <v>2.6238727119396502E-3</v>
      </c>
      <c r="BT113">
        <v>-1.2552567936752199E-3</v>
      </c>
      <c r="BU113">
        <v>-1.04098271008102E-2</v>
      </c>
      <c r="BV113" s="56">
        <f t="shared" si="9"/>
        <v>-1.8306201159141097E-3</v>
      </c>
      <c r="CI113">
        <v>5.1787717092071101E-3</v>
      </c>
      <c r="CJ113">
        <v>3.8791295056148601E-3</v>
      </c>
      <c r="CK113">
        <v>4.6276915424947598E-3</v>
      </c>
      <c r="CL113" s="56">
        <f t="shared" si="10"/>
        <v>3.0393841361265553E-4</v>
      </c>
    </row>
    <row r="114" spans="1:90" x14ac:dyDescent="0.2">
      <c r="A114" s="1">
        <v>41362</v>
      </c>
      <c r="B114" s="38">
        <f>Data!B112</f>
        <v>1.1649927653416547E-3</v>
      </c>
      <c r="C114" s="38">
        <f>Data!C112</f>
        <v>2.4777807702666355E-2</v>
      </c>
      <c r="D114" s="38">
        <f>Data!D112</f>
        <v>-4.5254012549631351E-2</v>
      </c>
      <c r="E114" s="38">
        <f>Data!E112</f>
        <v>4.0739710770019144E-3</v>
      </c>
      <c r="F114" s="38">
        <f>Data!F112</f>
        <v>5.5291271138560028E-3</v>
      </c>
      <c r="G114" s="38">
        <f t="shared" si="11"/>
        <v>2.1207815896348379E-3</v>
      </c>
      <c r="H114" s="38"/>
      <c r="I114" s="38"/>
      <c r="J114" s="38"/>
      <c r="K114" s="38"/>
      <c r="W114" s="60">
        <v>7.9862224081450595E-4</v>
      </c>
      <c r="X114" s="60">
        <v>-7.5272067714631198E-3</v>
      </c>
      <c r="Y114" s="60">
        <v>9.5074448476390998E-3</v>
      </c>
      <c r="Z114" s="56">
        <f t="shared" si="6"/>
        <v>1.7482260759014898E-3</v>
      </c>
      <c r="AM114">
        <v>3.7513132926226198E-2</v>
      </c>
      <c r="AN114">
        <v>-2.10335032973008E-3</v>
      </c>
      <c r="AO114">
        <v>8.6705086329481595E-3</v>
      </c>
      <c r="AP114" s="56">
        <f t="shared" si="7"/>
        <v>-1.7088329292239246E-2</v>
      </c>
      <c r="BC114">
        <v>6.7382468187171503E-3</v>
      </c>
      <c r="BD114">
        <v>1.00481940376722E-2</v>
      </c>
      <c r="BE114" s="56">
        <f t="shared" si="8"/>
        <v>-6.3349502739280611E-2</v>
      </c>
      <c r="BR114">
        <v>1.13255803647736E-2</v>
      </c>
      <c r="BS114">
        <v>9.3186486452792004E-3</v>
      </c>
      <c r="BT114">
        <v>4.8940210561854202E-4</v>
      </c>
      <c r="BU114">
        <v>-2.52802949080526E-2</v>
      </c>
      <c r="BV114" s="56">
        <f t="shared" si="9"/>
        <v>6.9340985795216491E-4</v>
      </c>
      <c r="CI114">
        <v>3.7827077425052198E-3</v>
      </c>
      <c r="CJ114">
        <v>8.8292465396606606E-3</v>
      </c>
      <c r="CK114">
        <v>1.0306067088453601E-2</v>
      </c>
      <c r="CL114" s="56">
        <f t="shared" si="10"/>
        <v>1.5456820784910215E-3</v>
      </c>
    </row>
    <row r="115" spans="1:90" x14ac:dyDescent="0.2">
      <c r="A115" s="1">
        <v>41394</v>
      </c>
      <c r="B115" s="38">
        <f>Data!B113</f>
        <v>5.3187249937567405E-3</v>
      </c>
      <c r="C115" s="38">
        <f>Data!C113</f>
        <v>8.8480070083223339E-3</v>
      </c>
      <c r="D115" s="38">
        <f>Data!D113</f>
        <v>-5.0649591620250622E-2</v>
      </c>
      <c r="E115" s="38">
        <f>Data!E113</f>
        <v>6.5293638901491313E-3</v>
      </c>
      <c r="F115" s="38">
        <f>Data!F113</f>
        <v>6.5795963885135755E-3</v>
      </c>
      <c r="G115" s="38">
        <f t="shared" si="11"/>
        <v>3.2601798041002371E-3</v>
      </c>
      <c r="H115" s="38"/>
      <c r="I115" s="38"/>
      <c r="J115" s="38"/>
      <c r="K115" s="38"/>
      <c r="W115" s="60">
        <v>1.0118666333720499E-2</v>
      </c>
      <c r="X115" s="60">
        <v>2.8342115683348101E-2</v>
      </c>
      <c r="Y115" s="60">
        <v>8.4516917403525404E-3</v>
      </c>
      <c r="Z115" s="56">
        <f t="shared" si="6"/>
        <v>-1.5935233740010683E-3</v>
      </c>
      <c r="AM115">
        <v>2.1226629675467099E-2</v>
      </c>
      <c r="AN115">
        <v>6.1058929339254898E-3</v>
      </c>
      <c r="AO115">
        <v>-2.2940902240455599E-2</v>
      </c>
      <c r="AP115" s="56">
        <f t="shared" si="7"/>
        <v>-1.3290414264493816E-2</v>
      </c>
      <c r="BC115">
        <v>-2.79099773750748E-2</v>
      </c>
      <c r="BD115">
        <v>9.9188746978451404E-3</v>
      </c>
      <c r="BE115" s="56">
        <f t="shared" si="8"/>
        <v>-4.4754085164576525E-2</v>
      </c>
      <c r="BR115">
        <v>-7.5611893583724596E-2</v>
      </c>
      <c r="BS115">
        <v>8.5975033639389391E-3</v>
      </c>
      <c r="BT115">
        <v>-2.0453467356416101E-3</v>
      </c>
      <c r="BU115">
        <v>-1.5608335795793699E-2</v>
      </c>
      <c r="BV115" s="56">
        <f t="shared" si="9"/>
        <v>1.2607610113848217E-2</v>
      </c>
      <c r="CI115">
        <v>7.5579583828075999E-3</v>
      </c>
      <c r="CJ115">
        <v>1.06428500995806E-2</v>
      </c>
      <c r="CK115">
        <v>1.8570358074073E-2</v>
      </c>
      <c r="CL115" s="56">
        <f t="shared" si="10"/>
        <v>-1.9194081665246387E-3</v>
      </c>
    </row>
    <row r="116" spans="1:90" x14ac:dyDescent="0.2">
      <c r="A116" s="1">
        <v>41425</v>
      </c>
      <c r="B116" s="38">
        <f>Data!B114</f>
        <v>-1.5332656814866508E-2</v>
      </c>
      <c r="C116" s="38">
        <f>Data!C114</f>
        <v>4.4546717610281394E-2</v>
      </c>
      <c r="D116" s="38">
        <f>Data!D114</f>
        <v>1.6082698376758131E-2</v>
      </c>
      <c r="E116" s="38">
        <f>Data!E114</f>
        <v>-1.2510328251848835E-2</v>
      </c>
      <c r="F116" s="38">
        <f>Data!F114</f>
        <v>-4.7132466049369603E-2</v>
      </c>
      <c r="G116" s="38">
        <f t="shared" si="11"/>
        <v>-1.5630327144527091E-2</v>
      </c>
      <c r="H116" s="38"/>
      <c r="I116" s="38"/>
      <c r="J116" s="38"/>
      <c r="K116" s="38"/>
      <c r="W116" s="60">
        <v>-1.7841980244843601E-2</v>
      </c>
      <c r="X116" s="60">
        <v>-3.8105534410497202E-2</v>
      </c>
      <c r="Y116" s="60">
        <v>1.25328116303792E-2</v>
      </c>
      <c r="Z116" s="56">
        <f t="shared" si="6"/>
        <v>-1.8517670873315836E-3</v>
      </c>
      <c r="AM116">
        <v>1.85773646491252E-2</v>
      </c>
      <c r="AN116">
        <v>-7.0892743908621599E-3</v>
      </c>
      <c r="AO116">
        <v>1.6576283848616799E-2</v>
      </c>
      <c r="AP116" s="56">
        <f t="shared" si="7"/>
        <v>2.4408796705189688E-2</v>
      </c>
      <c r="BC116">
        <v>-2.2427933583602601E-2</v>
      </c>
      <c r="BD116">
        <v>1.84023792580266E-2</v>
      </c>
      <c r="BE116" s="56">
        <f t="shared" si="8"/>
        <v>6.8427660912931641E-3</v>
      </c>
      <c r="BR116">
        <v>-6.0208165448869498E-2</v>
      </c>
      <c r="BS116">
        <v>6.1574763744156602E-3</v>
      </c>
      <c r="BT116">
        <v>5.53264754375094E-3</v>
      </c>
      <c r="BU116">
        <v>-1.11568188414217E-2</v>
      </c>
      <c r="BV116" s="56">
        <f t="shared" si="9"/>
        <v>-1.289469479629049E-2</v>
      </c>
      <c r="CI116">
        <v>-5.2070056374402998E-2</v>
      </c>
      <c r="CJ116">
        <v>6.2482883066472495E-4</v>
      </c>
      <c r="CK116">
        <v>-5.3091686144643999E-3</v>
      </c>
      <c r="CL116" s="56">
        <f t="shared" si="10"/>
        <v>1.1314439623971162E-3</v>
      </c>
    </row>
    <row r="117" spans="1:90" x14ac:dyDescent="0.2">
      <c r="A117" s="1">
        <v>41453</v>
      </c>
      <c r="B117" s="38">
        <f>Data!B115</f>
        <v>-9.6187393654423303E-3</v>
      </c>
      <c r="C117" s="38">
        <f>Data!C115</f>
        <v>-3.6412004322886382E-2</v>
      </c>
      <c r="D117" s="38">
        <f>Data!D115</f>
        <v>-7.10578635133301E-2</v>
      </c>
      <c r="E117" s="38">
        <f>Data!E115</f>
        <v>-1.5689032159481475E-2</v>
      </c>
      <c r="F117" s="38">
        <f>Data!F115</f>
        <v>-5.3882066738813572E-2</v>
      </c>
      <c r="G117" s="38">
        <f t="shared" si="11"/>
        <v>-2.5755221151123209E-2</v>
      </c>
      <c r="H117" s="38"/>
      <c r="I117" s="38"/>
      <c r="J117" s="38"/>
      <c r="K117" s="38"/>
      <c r="W117" s="60">
        <v>-1.54685431007124E-2</v>
      </c>
      <c r="X117" s="60">
        <v>-5.0315627405696603E-2</v>
      </c>
      <c r="Y117" s="60">
        <v>-1.0891503291356901E-2</v>
      </c>
      <c r="Z117" s="56">
        <f t="shared" si="6"/>
        <v>1.4560068899450978E-3</v>
      </c>
      <c r="AM117">
        <v>-1.88178557253794E-2</v>
      </c>
      <c r="AN117">
        <v>-1.00036202566407E-2</v>
      </c>
      <c r="AO117">
        <v>8.3126969143645403E-3</v>
      </c>
      <c r="AP117" s="56">
        <f t="shared" si="7"/>
        <v>-1.2615753907167078E-2</v>
      </c>
      <c r="BC117">
        <v>-4.7145757410488001E-2</v>
      </c>
      <c r="BD117">
        <v>-1.0328273971258101E-2</v>
      </c>
      <c r="BE117" s="56">
        <f t="shared" si="8"/>
        <v>-2.4810351366505626E-2</v>
      </c>
      <c r="BR117">
        <v>-0.11044098573281499</v>
      </c>
      <c r="BS117">
        <v>-1.3137384469871101E-2</v>
      </c>
      <c r="BT117">
        <v>-1.1975674863602399E-3</v>
      </c>
      <c r="BU117">
        <v>-2.9219192699019301E-3</v>
      </c>
      <c r="BV117" s="56">
        <f t="shared" si="9"/>
        <v>-7.9634040067751502E-4</v>
      </c>
      <c r="CI117">
        <v>-5.4934687633633503E-2</v>
      </c>
      <c r="CJ117">
        <v>-1.19398169835109E-2</v>
      </c>
      <c r="CK117">
        <v>-2.6360046392069399E-2</v>
      </c>
      <c r="CL117" s="56">
        <f t="shared" si="10"/>
        <v>-1.2310883774867692E-3</v>
      </c>
    </row>
    <row r="118" spans="1:90" x14ac:dyDescent="0.2">
      <c r="A118" s="1">
        <v>41486</v>
      </c>
      <c r="B118" s="38">
        <f>Data!B116</f>
        <v>-8.9967535810864252E-4</v>
      </c>
      <c r="C118" s="38">
        <f>Data!C116</f>
        <v>4.1497713743421594E-2</v>
      </c>
      <c r="D118" s="38">
        <f>Data!D116</f>
        <v>9.2457405715129504E-3</v>
      </c>
      <c r="E118" s="38">
        <f>Data!E116</f>
        <v>-5.6116493981117621E-4</v>
      </c>
      <c r="F118" s="38">
        <f>Data!F116</f>
        <v>7.4396532573297591E-3</v>
      </c>
      <c r="G118" s="38">
        <f t="shared" si="11"/>
        <v>4.5538900225142237E-3</v>
      </c>
      <c r="H118" s="38"/>
      <c r="I118" s="38"/>
      <c r="J118" s="38"/>
      <c r="K118" s="38"/>
      <c r="W118" s="60">
        <v>1.36719075645675E-3</v>
      </c>
      <c r="X118" s="60">
        <v>9.5003404558864392E-3</v>
      </c>
      <c r="Y118" s="60">
        <v>1.7438481889677799E-2</v>
      </c>
      <c r="Z118" s="56">
        <f t="shared" si="6"/>
        <v>-9.9346535070973709E-4</v>
      </c>
      <c r="AM118">
        <v>5.3021535271521099E-2</v>
      </c>
      <c r="AN118">
        <v>-9.7134634403883702E-4</v>
      </c>
      <c r="AO118">
        <v>1.9099212355161699E-2</v>
      </c>
      <c r="AP118" s="56">
        <f t="shared" si="7"/>
        <v>-1.9773499044452213E-2</v>
      </c>
      <c r="BC118">
        <v>1.3624427376102401E-2</v>
      </c>
      <c r="BD118">
        <v>1.39199794171097E-2</v>
      </c>
      <c r="BE118" s="56">
        <f t="shared" si="8"/>
        <v>-1.8771198374652881E-2</v>
      </c>
      <c r="BR118">
        <v>7.3339651527301902E-2</v>
      </c>
      <c r="BS118">
        <v>9.1891103847112597E-3</v>
      </c>
      <c r="BT118">
        <v>3.44193655194558E-3</v>
      </c>
      <c r="BU118">
        <v>-2.8219349515015799E-2</v>
      </c>
      <c r="BV118" s="56">
        <f t="shared" si="9"/>
        <v>-1.1492561841876092E-2</v>
      </c>
      <c r="CI118">
        <v>2.9574757897485901E-3</v>
      </c>
      <c r="CJ118">
        <v>5.7471738327656797E-3</v>
      </c>
      <c r="CK118">
        <v>1.8805672646134499E-2</v>
      </c>
      <c r="CL118" s="56">
        <f t="shared" si="10"/>
        <v>2.4857256611777005E-3</v>
      </c>
    </row>
    <row r="119" spans="1:90" x14ac:dyDescent="0.2">
      <c r="A119" s="1">
        <v>41516</v>
      </c>
      <c r="B119" s="38">
        <f>Data!B117</f>
        <v>-2.8587702405814541E-3</v>
      </c>
      <c r="C119" s="38">
        <f>Data!C117</f>
        <v>-6.1298873426109957E-3</v>
      </c>
      <c r="D119" s="38">
        <f>Data!D117</f>
        <v>1.7376748881822612E-2</v>
      </c>
      <c r="E119" s="38">
        <f>Data!E117</f>
        <v>-1.0824676613365836E-2</v>
      </c>
      <c r="F119" s="38">
        <f>Data!F117</f>
        <v>-1.0087124606484865E-2</v>
      </c>
      <c r="G119" s="38">
        <f t="shared" si="11"/>
        <v>-5.539939337236701E-3</v>
      </c>
      <c r="H119" s="38"/>
      <c r="I119" s="38"/>
      <c r="J119" s="38"/>
      <c r="K119" s="38"/>
      <c r="W119" s="60">
        <v>-5.1116402204499601E-3</v>
      </c>
      <c r="X119" s="60">
        <v>-2.6803494571850599E-2</v>
      </c>
      <c r="Y119" s="60">
        <v>-1.0889526147366299E-3</v>
      </c>
      <c r="Z119" s="56">
        <f t="shared" si="6"/>
        <v>1.5095140859257396E-3</v>
      </c>
      <c r="AM119">
        <v>-1.7138501783197899E-2</v>
      </c>
      <c r="AN119">
        <v>2.07978038974268E-2</v>
      </c>
      <c r="AO119">
        <v>-2.8006516847357602E-3</v>
      </c>
      <c r="AP119" s="56">
        <f t="shared" si="7"/>
        <v>3.8259911271903875E-3</v>
      </c>
      <c r="BC119">
        <v>3.4023013309380901E-2</v>
      </c>
      <c r="BD119">
        <v>-2.3983542157581801E-3</v>
      </c>
      <c r="BE119" s="56">
        <f t="shared" si="8"/>
        <v>-2.797653362949102E-3</v>
      </c>
      <c r="BR119">
        <v>5.2978333220131901E-2</v>
      </c>
      <c r="BS119">
        <v>-6.9632203176212002E-3</v>
      </c>
      <c r="BT119">
        <v>-5.8214860073264596E-3</v>
      </c>
      <c r="BU119">
        <v>2.04768561711824E-2</v>
      </c>
      <c r="BV119" s="56">
        <f t="shared" si="9"/>
        <v>-9.6703422796163285E-3</v>
      </c>
      <c r="CI119">
        <v>-1.0464824237463101E-2</v>
      </c>
      <c r="CJ119">
        <v>-1.1417343102947399E-3</v>
      </c>
      <c r="CK119">
        <v>-6.2005928351865896E-3</v>
      </c>
      <c r="CL119" s="56">
        <f t="shared" si="10"/>
        <v>2.6797757169017521E-4</v>
      </c>
    </row>
    <row r="120" spans="1:90" x14ac:dyDescent="0.2">
      <c r="A120" s="1">
        <v>41547</v>
      </c>
      <c r="B120" s="38">
        <f>Data!B118</f>
        <v>1.4079143500636437E-2</v>
      </c>
      <c r="C120" s="38">
        <f>Data!C118</f>
        <v>2.8588098016335994E-2</v>
      </c>
      <c r="D120" s="38">
        <f>Data!D118</f>
        <v>1.5724227676923608E-2</v>
      </c>
      <c r="E120" s="38">
        <f>Data!E118</f>
        <v>-1.6629693997630701E-3</v>
      </c>
      <c r="F120" s="38">
        <f>Data!F118</f>
        <v>1.6455522221116459E-2</v>
      </c>
      <c r="G120" s="38">
        <f t="shared" si="11"/>
        <v>1.1925578332714014E-2</v>
      </c>
      <c r="H120" s="38"/>
      <c r="I120" s="38"/>
      <c r="J120" s="38"/>
      <c r="K120" s="38"/>
      <c r="W120" s="60">
        <v>9.4669076627840205E-3</v>
      </c>
      <c r="X120" s="60">
        <v>2.6700110562880599E-2</v>
      </c>
      <c r="Y120" s="60">
        <v>4.4704669561479497E-4</v>
      </c>
      <c r="Z120" s="56">
        <f t="shared" si="6"/>
        <v>7.0818216930203523E-3</v>
      </c>
      <c r="AM120">
        <v>4.4563317714624497E-2</v>
      </c>
      <c r="AN120">
        <v>1.95128836164138E-2</v>
      </c>
      <c r="AO120">
        <v>3.2443980564370603E-2</v>
      </c>
      <c r="AP120" s="56">
        <f t="shared" si="7"/>
        <v>-3.4955727598375841E-2</v>
      </c>
      <c r="BC120">
        <v>-2.55418357523245E-2</v>
      </c>
      <c r="BD120">
        <v>1.54287109283142E-2</v>
      </c>
      <c r="BE120" s="56">
        <f t="shared" si="8"/>
        <v>1.2609240228270192E-2</v>
      </c>
      <c r="BR120">
        <v>-4.7474682319551098E-2</v>
      </c>
      <c r="BS120">
        <v>1.2089449946689E-2</v>
      </c>
      <c r="BT120">
        <v>1.0831444598664601E-3</v>
      </c>
      <c r="BU120">
        <v>-4.7255680139568499E-3</v>
      </c>
      <c r="BV120" s="56">
        <f t="shared" si="9"/>
        <v>-1.9207054499148835E-3</v>
      </c>
      <c r="CI120">
        <v>1.6977194532704201E-2</v>
      </c>
      <c r="CJ120">
        <v>1.1006305486822601E-2</v>
      </c>
      <c r="CK120">
        <v>9.9139543583988098E-3</v>
      </c>
      <c r="CL120" s="56">
        <f t="shared" si="10"/>
        <v>8.0322439063376661E-4</v>
      </c>
    </row>
    <row r="121" spans="1:90" x14ac:dyDescent="0.2">
      <c r="A121" s="1">
        <v>41578</v>
      </c>
      <c r="B121" s="38">
        <f>Data!B119</f>
        <v>6.8130854157055776E-3</v>
      </c>
      <c r="C121" s="38">
        <f>Data!C119</f>
        <v>4.5701320800583645E-2</v>
      </c>
      <c r="D121" s="38">
        <f>Data!D119</f>
        <v>4.1885267856307529E-3</v>
      </c>
      <c r="E121" s="38">
        <f>Data!E119</f>
        <v>8.2944110470013488E-3</v>
      </c>
      <c r="F121" s="38">
        <f>Data!F119</f>
        <v>8.318373627398401E-3</v>
      </c>
      <c r="G121" s="38">
        <f t="shared" si="11"/>
        <v>1.0152878818625319E-2</v>
      </c>
      <c r="H121" s="38"/>
      <c r="I121" s="38"/>
      <c r="J121" s="38"/>
      <c r="K121" s="38"/>
      <c r="W121" s="60">
        <v>8.0849723408842299E-3</v>
      </c>
      <c r="X121" s="60">
        <v>2.6696883488435599E-2</v>
      </c>
      <c r="Y121" s="60">
        <v>1.6497600631038199E-2</v>
      </c>
      <c r="Z121" s="56">
        <f t="shared" si="6"/>
        <v>1.7578673775043643E-3</v>
      </c>
      <c r="AM121">
        <v>4.4235609992200602E-2</v>
      </c>
      <c r="AN121">
        <v>4.4182007235749098E-4</v>
      </c>
      <c r="AO121">
        <v>-2.0821529552609099E-2</v>
      </c>
      <c r="AP121" s="56">
        <f t="shared" si="7"/>
        <v>4.1879513622666842E-4</v>
      </c>
      <c r="BC121">
        <v>-1.4766192828094901E-2</v>
      </c>
      <c r="BD121">
        <v>1.50619700631471E-2</v>
      </c>
      <c r="BE121" s="56">
        <f t="shared" si="8"/>
        <v>-5.8424094973212118E-3</v>
      </c>
      <c r="BR121">
        <v>-4.4919979232974604E-3</v>
      </c>
      <c r="BS121">
        <v>1.207724076255E-2</v>
      </c>
      <c r="BT121">
        <v>1.07879150866852E-3</v>
      </c>
      <c r="BU121">
        <v>-2.5871635788712499E-2</v>
      </c>
      <c r="BV121" s="56">
        <f t="shared" si="9"/>
        <v>5.0195325749641598E-3</v>
      </c>
      <c r="CI121">
        <v>9.1834282333802496E-3</v>
      </c>
      <c r="CJ121">
        <v>1.09984492538815E-2</v>
      </c>
      <c r="CK121">
        <v>2.4582572971922501E-2</v>
      </c>
      <c r="CL121" s="56">
        <f t="shared" si="10"/>
        <v>-2.5646501759728317E-3</v>
      </c>
    </row>
    <row r="122" spans="1:90" x14ac:dyDescent="0.2">
      <c r="A122" s="1">
        <v>41607</v>
      </c>
      <c r="B122" s="38">
        <f>Data!B120</f>
        <v>-6.2234915492658249E-3</v>
      </c>
      <c r="C122" s="38">
        <f>Data!C120</f>
        <v>3.8744672607516462E-2</v>
      </c>
      <c r="D122" s="38">
        <f>Data!D120</f>
        <v>-4.795763361854144E-2</v>
      </c>
      <c r="E122" s="38">
        <f>Data!E120</f>
        <v>5.2379659643575494E-3</v>
      </c>
      <c r="F122" s="38">
        <f>Data!F120</f>
        <v>-1.1394272343455913E-2</v>
      </c>
      <c r="G122" s="38">
        <f t="shared" si="11"/>
        <v>-3.4986623342655502E-3</v>
      </c>
      <c r="H122" s="38"/>
      <c r="I122" s="38"/>
      <c r="J122" s="38"/>
      <c r="K122" s="38"/>
      <c r="W122" s="60">
        <v>-3.7441891062188798E-3</v>
      </c>
      <c r="X122" s="60">
        <v>-2.2793450014089299E-2</v>
      </c>
      <c r="Y122" s="60">
        <v>8.3949613537135405E-3</v>
      </c>
      <c r="Z122" s="56">
        <f t="shared" si="6"/>
        <v>-2.2165620736855299E-3</v>
      </c>
      <c r="AM122">
        <v>2.8209187344894599E-2</v>
      </c>
      <c r="AN122">
        <v>3.11444791938786E-4</v>
      </c>
      <c r="AO122">
        <v>9.5900881622592599E-3</v>
      </c>
      <c r="AP122" s="56">
        <f t="shared" si="7"/>
        <v>5.8714114258408695E-3</v>
      </c>
      <c r="BC122">
        <v>-8.0034620715150294E-3</v>
      </c>
      <c r="BD122">
        <v>1.0371024952818801E-2</v>
      </c>
      <c r="BE122" s="56">
        <f t="shared" si="8"/>
        <v>-5.6352005522870133E-2</v>
      </c>
      <c r="BR122">
        <v>-5.2688464619896298E-2</v>
      </c>
      <c r="BS122">
        <v>1.16162394326922E-2</v>
      </c>
      <c r="BT122">
        <v>6.8330470174815501E-3</v>
      </c>
      <c r="BU122">
        <v>-1.85173267102299E-2</v>
      </c>
      <c r="BV122" s="56">
        <f t="shared" si="9"/>
        <v>1.7602322455746505E-3</v>
      </c>
      <c r="CI122">
        <v>-1.52870325845527E-2</v>
      </c>
      <c r="CJ122">
        <v>4.7831924152106397E-3</v>
      </c>
      <c r="CK122">
        <v>4.6507722474946602E-3</v>
      </c>
      <c r="CL122" s="56">
        <f t="shared" si="10"/>
        <v>2.3593350696833621E-3</v>
      </c>
    </row>
    <row r="123" spans="1:90" x14ac:dyDescent="0.2">
      <c r="A123" s="1">
        <v>41639</v>
      </c>
      <c r="B123" s="38">
        <f>Data!B121</f>
        <v>-4.7182962661118655E-3</v>
      </c>
      <c r="C123" s="38">
        <f>Data!C121</f>
        <v>4.1327862737784438E-2</v>
      </c>
      <c r="D123" s="38">
        <f>Data!D121</f>
        <v>4.893850458061344E-2</v>
      </c>
      <c r="E123" s="38">
        <f>Data!E121</f>
        <v>4.7046248627378162E-3</v>
      </c>
      <c r="F123" s="38">
        <f>Data!F121</f>
        <v>-2.0848048272797404E-2</v>
      </c>
      <c r="G123" s="38">
        <f t="shared" si="11"/>
        <v>1.210878536110644E-4</v>
      </c>
      <c r="H123" s="38"/>
      <c r="I123" s="38"/>
      <c r="J123" s="38"/>
      <c r="K123" s="38"/>
      <c r="W123" s="60">
        <v>-5.6511475626330699E-3</v>
      </c>
      <c r="X123" s="60">
        <v>5.8312774342379496E-3</v>
      </c>
      <c r="Y123" s="60">
        <v>1.11309201909082E-2</v>
      </c>
      <c r="Z123" s="56">
        <f t="shared" si="6"/>
        <v>-8.8687900592762138E-4</v>
      </c>
      <c r="AM123">
        <v>2.85648684691031E-2</v>
      </c>
      <c r="AN123">
        <v>3.23744239967816E-3</v>
      </c>
      <c r="AO123">
        <v>-5.6358383849604001E-3</v>
      </c>
      <c r="AP123" s="56">
        <f t="shared" si="7"/>
        <v>9.3919271067439483E-3</v>
      </c>
      <c r="BC123">
        <v>1.2398949640063399E-2</v>
      </c>
      <c r="BD123">
        <v>1.1934679026654099E-2</v>
      </c>
      <c r="BE123" s="56">
        <f t="shared" si="8"/>
        <v>2.4424070114870459E-2</v>
      </c>
      <c r="BR123">
        <v>-4.1257430087365703E-2</v>
      </c>
      <c r="BS123">
        <v>1.52267494505856E-2</v>
      </c>
      <c r="BT123">
        <v>7.5417590831057301E-3</v>
      </c>
      <c r="BU123">
        <v>-1.11725531665792E-2</v>
      </c>
      <c r="BV123" s="56">
        <f t="shared" si="9"/>
        <v>-1.7199125264485268E-3</v>
      </c>
      <c r="CI123">
        <v>-2.08913713799374E-2</v>
      </c>
      <c r="CJ123">
        <v>7.6849903674798296E-3</v>
      </c>
      <c r="CK123">
        <v>5.4797726282751497E-3</v>
      </c>
      <c r="CL123" s="56">
        <f t="shared" si="10"/>
        <v>-1.7729243254011942E-3</v>
      </c>
    </row>
  </sheetData>
  <mergeCells count="5">
    <mergeCell ref="AB5:AC5"/>
    <mergeCell ref="AR5:AS5"/>
    <mergeCell ref="BG5:BH5"/>
    <mergeCell ref="BX5:BY5"/>
    <mergeCell ref="CN5:CO5"/>
  </mergeCells>
  <pageMargins left="0.7" right="0.7" top="0.75" bottom="0.75" header="0.3" footer="0.3"/>
  <pageSetup orientation="portrait" horizontalDpi="0" verticalDpi="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912D4-C6A0-6C41-B84E-B1786A31446A}">
  <sheetPr>
    <tabColor theme="0"/>
  </sheetPr>
  <dimension ref="B2:H158"/>
  <sheetViews>
    <sheetView showGridLines="0" tabSelected="1" zoomScale="114" workbookViewId="0">
      <selection activeCell="E120" sqref="E120"/>
    </sheetView>
  </sheetViews>
  <sheetFormatPr baseColWidth="10" defaultColWidth="10.83203125" defaultRowHeight="15" x14ac:dyDescent="0.2"/>
  <cols>
    <col min="1" max="1" width="14" bestFit="1" customWidth="1"/>
    <col min="2" max="2" width="44.5" bestFit="1" customWidth="1"/>
    <col min="3" max="3" width="14.83203125" bestFit="1" customWidth="1"/>
    <col min="4" max="4" width="12.33203125" bestFit="1" customWidth="1"/>
    <col min="5" max="5" width="34.33203125" bestFit="1" customWidth="1"/>
    <col min="6" max="6" width="18.33203125" bestFit="1" customWidth="1"/>
    <col min="7" max="7" width="12.1640625" bestFit="1" customWidth="1"/>
  </cols>
  <sheetData>
    <row r="2" spans="2:8" x14ac:dyDescent="0.2">
      <c r="B2" s="24" t="s">
        <v>160</v>
      </c>
    </row>
    <row r="3" spans="2:8" x14ac:dyDescent="0.2">
      <c r="B3" s="24" t="s">
        <v>183</v>
      </c>
      <c r="C3" s="64">
        <f>Project_Page_3!I4</f>
        <v>6.2135223855345645E-2</v>
      </c>
      <c r="D3" t="s">
        <v>184</v>
      </c>
    </row>
    <row r="4" spans="2:8" x14ac:dyDescent="0.2">
      <c r="B4" s="24" t="s">
        <v>161</v>
      </c>
      <c r="C4" s="27">
        <v>18000000</v>
      </c>
    </row>
    <row r="5" spans="2:8" x14ac:dyDescent="0.2">
      <c r="B5" t="s">
        <v>185</v>
      </c>
      <c r="C5" s="32">
        <v>0.02</v>
      </c>
    </row>
    <row r="6" spans="2:8" x14ac:dyDescent="0.2">
      <c r="B6" s="24" t="s">
        <v>300</v>
      </c>
      <c r="C6" s="133">
        <v>200000</v>
      </c>
      <c r="D6" s="129" t="s">
        <v>301</v>
      </c>
    </row>
    <row r="7" spans="2:8" x14ac:dyDescent="0.2">
      <c r="B7" s="24" t="s">
        <v>302</v>
      </c>
      <c r="C7" s="132">
        <v>60</v>
      </c>
      <c r="D7" s="129" t="s">
        <v>303</v>
      </c>
    </row>
    <row r="8" spans="2:8" x14ac:dyDescent="0.2">
      <c r="B8" t="s">
        <v>328</v>
      </c>
      <c r="C8" s="26">
        <f>((C9*C4)-C4)*(C10/12)</f>
        <v>0</v>
      </c>
    </row>
    <row r="9" spans="2:8" x14ac:dyDescent="0.2">
      <c r="B9" t="s">
        <v>330</v>
      </c>
      <c r="C9">
        <v>1</v>
      </c>
      <c r="D9" s="158"/>
    </row>
    <row r="10" spans="2:8" x14ac:dyDescent="0.2">
      <c r="B10" t="s">
        <v>329</v>
      </c>
      <c r="C10">
        <v>0.06</v>
      </c>
      <c r="D10" s="158"/>
    </row>
    <row r="11" spans="2:8" x14ac:dyDescent="0.2">
      <c r="B11" s="24" t="s">
        <v>295</v>
      </c>
    </row>
    <row r="13" spans="2:8" x14ac:dyDescent="0.2">
      <c r="B13" s="25" t="s">
        <v>296</v>
      </c>
      <c r="C13" s="25" t="s">
        <v>65</v>
      </c>
      <c r="D13" s="25" t="s">
        <v>297</v>
      </c>
      <c r="E13" s="25" t="s">
        <v>159</v>
      </c>
      <c r="F13" s="25" t="s">
        <v>298</v>
      </c>
      <c r="G13" s="137" t="s">
        <v>315</v>
      </c>
      <c r="H13" s="137" t="s">
        <v>316</v>
      </c>
    </row>
    <row r="14" spans="2:8" x14ac:dyDescent="0.2">
      <c r="B14" s="135">
        <v>0</v>
      </c>
      <c r="C14" s="135" t="s">
        <v>299</v>
      </c>
      <c r="E14" s="130">
        <v>0</v>
      </c>
      <c r="F14" s="130">
        <f>C4</f>
        <v>18000000</v>
      </c>
      <c r="G14" s="139">
        <f>F14</f>
        <v>18000000</v>
      </c>
      <c r="H14" s="138">
        <v>0</v>
      </c>
    </row>
    <row r="15" spans="2:8" x14ac:dyDescent="0.2">
      <c r="B15" s="135">
        <f t="shared" ref="B15:B46" si="0">B14+1</f>
        <v>1</v>
      </c>
      <c r="C15" s="136">
        <f>Project_Page_3!A4</f>
        <v>38016</v>
      </c>
      <c r="D15" s="131">
        <f>Project_Page_4_TRC!G4</f>
        <v>1.6099385869498325E-2</v>
      </c>
      <c r="E15" s="130">
        <f t="shared" ref="E15:E46" si="1">IF(B15&lt;=$C$7,$C$6/12,0)</f>
        <v>16666.666666666668</v>
      </c>
      <c r="F15" s="130">
        <f>(F14*(1+D15)-F14*($C$5/12)+E15)-$C$8</f>
        <v>18276455.612317637</v>
      </c>
      <c r="G15" s="139">
        <f t="shared" ref="G15:G46" si="2">MAX(G14,F15)</f>
        <v>18276455.612317637</v>
      </c>
      <c r="H15" s="140">
        <f>(F15-G15)/G15</f>
        <v>0</v>
      </c>
    </row>
    <row r="16" spans="2:8" x14ac:dyDescent="0.2">
      <c r="B16">
        <f t="shared" si="0"/>
        <v>2</v>
      </c>
      <c r="C16" s="3">
        <f>Project_Page_3!A5</f>
        <v>38044</v>
      </c>
      <c r="D16" s="131">
        <f>Project_Page_4_TRC!G5</f>
        <v>1.2225526228650203E-2</v>
      </c>
      <c r="E16" s="26">
        <f t="shared" si="1"/>
        <v>16666.666666666668</v>
      </c>
      <c r="F16" s="26">
        <f>(F15*(1+D16)-F15*($C$5/12)+E16)-$C$8</f>
        <v>18486100.807085592</v>
      </c>
      <c r="G16" s="139">
        <f t="shared" si="2"/>
        <v>18486100.807085592</v>
      </c>
      <c r="H16" s="140">
        <f t="shared" ref="H16:H79" si="3">(F16-G16)/G16</f>
        <v>0</v>
      </c>
    </row>
    <row r="17" spans="2:8" x14ac:dyDescent="0.2">
      <c r="B17">
        <f t="shared" si="0"/>
        <v>3</v>
      </c>
      <c r="C17" s="3">
        <f>Project_Page_3!A6</f>
        <v>38077</v>
      </c>
      <c r="D17" s="131">
        <f>Project_Page_4_TRC!G6</f>
        <v>8.6842487653438112E-4</v>
      </c>
      <c r="E17" s="26">
        <f t="shared" si="1"/>
        <v>16666.666666666668</v>
      </c>
      <c r="F17" s="26">
        <f>(F16*(1+D17)-F16*($C$5/12)+E17)-$C$8</f>
        <v>18488011.095551446</v>
      </c>
      <c r="G17" s="139">
        <f t="shared" si="2"/>
        <v>18488011.095551446</v>
      </c>
      <c r="H17" s="140">
        <f t="shared" si="3"/>
        <v>0</v>
      </c>
    </row>
    <row r="18" spans="2:8" x14ac:dyDescent="0.2">
      <c r="B18">
        <f t="shared" si="0"/>
        <v>4</v>
      </c>
      <c r="C18" s="3">
        <f>Project_Page_3!A7</f>
        <v>38107</v>
      </c>
      <c r="D18" s="131">
        <f>Project_Page_4_TRC!G7</f>
        <v>-3.7812340388735821E-2</v>
      </c>
      <c r="E18" s="26">
        <f t="shared" si="1"/>
        <v>16666.666666666668</v>
      </c>
      <c r="F18" s="26">
        <f>(F17*(1+D18)-F17*($C$5/12)+E18)-$C$8</f>
        <v>17774789.441736478</v>
      </c>
      <c r="G18" s="139">
        <f t="shared" si="2"/>
        <v>18488011.095551446</v>
      </c>
      <c r="H18" s="140">
        <f t="shared" si="3"/>
        <v>-3.8577521948079202E-2</v>
      </c>
    </row>
    <row r="19" spans="2:8" x14ac:dyDescent="0.2">
      <c r="B19">
        <f t="shared" si="0"/>
        <v>5</v>
      </c>
      <c r="C19" s="3">
        <f>Project_Page_3!A8</f>
        <v>38138</v>
      </c>
      <c r="D19" s="131">
        <f>Project_Page_4_TRC!G8</f>
        <v>1.6776304006021748E-2</v>
      </c>
      <c r="E19" s="26">
        <f t="shared" si="1"/>
        <v>16666.666666666668</v>
      </c>
      <c r="F19" s="26">
        <f>(F18*(1+D19)-F18*($C$5/12)+E19)-$C$8</f>
        <v>18060026.730651181</v>
      </c>
      <c r="G19" s="139">
        <f t="shared" si="2"/>
        <v>18488011.095551446</v>
      </c>
      <c r="H19" s="140">
        <f t="shared" si="3"/>
        <v>-2.3149291867487345E-2</v>
      </c>
    </row>
    <row r="20" spans="2:8" x14ac:dyDescent="0.2">
      <c r="B20">
        <f t="shared" si="0"/>
        <v>6</v>
      </c>
      <c r="C20" s="3">
        <f>Project_Page_3!A9</f>
        <v>38168</v>
      </c>
      <c r="D20" s="131">
        <f>Project_Page_4_TRC!G9</f>
        <v>8.0239319701054367E-3</v>
      </c>
      <c r="E20" s="26">
        <f t="shared" si="1"/>
        <v>16666.666666666668</v>
      </c>
      <c r="F20" s="26">
        <f>(F19*(1+D20)-F19*($C$5/12)+E20)-$C$8</f>
        <v>18191505.778631795</v>
      </c>
      <c r="G20" s="139">
        <f t="shared" si="2"/>
        <v>18488011.095551446</v>
      </c>
      <c r="H20" s="140">
        <f t="shared" si="3"/>
        <v>-1.6037707646713577E-2</v>
      </c>
    </row>
    <row r="21" spans="2:8" x14ac:dyDescent="0.2">
      <c r="B21">
        <f t="shared" si="0"/>
        <v>7</v>
      </c>
      <c r="C21" s="3">
        <f>Project_Page_3!A10</f>
        <v>38198</v>
      </c>
      <c r="D21" s="131">
        <f>Project_Page_4_TRC!G10</f>
        <v>-7.242992207668936E-3</v>
      </c>
      <c r="E21" s="26">
        <f t="shared" si="1"/>
        <v>16666.666666666668</v>
      </c>
      <c r="F21" s="26">
        <f>(F20*(1+D21)-F20*($C$5/12)+E21)-$C$8</f>
        <v>18046092.334400348</v>
      </c>
      <c r="G21" s="139">
        <f t="shared" si="2"/>
        <v>18488011.095551446</v>
      </c>
      <c r="H21" s="140">
        <f t="shared" si="3"/>
        <v>-2.3902990909467351E-2</v>
      </c>
    </row>
    <row r="22" spans="2:8" x14ac:dyDescent="0.2">
      <c r="B22">
        <f t="shared" si="0"/>
        <v>8</v>
      </c>
      <c r="C22" s="3">
        <f>Project_Page_3!A11</f>
        <v>38230</v>
      </c>
      <c r="D22" s="131">
        <f>Project_Page_4_TRC!G11</f>
        <v>-2.3895354130580634E-3</v>
      </c>
      <c r="E22" s="26">
        <f t="shared" si="1"/>
        <v>16666.666666666668</v>
      </c>
      <c r="F22" s="26">
        <f>(F21*(1+D22)-F21*($C$5/12)+E22)-$C$8</f>
        <v>17989560.403809316</v>
      </c>
      <c r="G22" s="139">
        <f t="shared" si="2"/>
        <v>18488011.095551446</v>
      </c>
      <c r="H22" s="140">
        <f t="shared" si="3"/>
        <v>-2.6960752520430172E-2</v>
      </c>
    </row>
    <row r="23" spans="2:8" x14ac:dyDescent="0.2">
      <c r="B23">
        <f t="shared" si="0"/>
        <v>9</v>
      </c>
      <c r="C23" s="3">
        <f>Project_Page_3!A12</f>
        <v>38260</v>
      </c>
      <c r="D23" s="131">
        <f>Project_Page_4_TRC!G12</f>
        <v>1.9744498889704705E-2</v>
      </c>
      <c r="E23" s="26">
        <f t="shared" si="1"/>
        <v>16666.666666666668</v>
      </c>
      <c r="F23" s="26">
        <f>(F22*(1+D23)-F22*($C$5/12)+E23)-$C$8</f>
        <v>18331439.325222258</v>
      </c>
      <c r="G23" s="139">
        <f t="shared" si="2"/>
        <v>18488011.095551446</v>
      </c>
      <c r="H23" s="140">
        <f t="shared" si="3"/>
        <v>-8.4688271507400055E-3</v>
      </c>
    </row>
    <row r="24" spans="2:8" x14ac:dyDescent="0.2">
      <c r="B24">
        <f t="shared" si="0"/>
        <v>10</v>
      </c>
      <c r="C24" s="3">
        <f>Project_Page_3!A13</f>
        <v>38289</v>
      </c>
      <c r="D24" s="131">
        <f>Project_Page_4_TRC!G13</f>
        <v>1.3863655068840158E-2</v>
      </c>
      <c r="E24" s="26">
        <f t="shared" si="1"/>
        <v>16666.666666666668</v>
      </c>
      <c r="F24" s="26">
        <f>(F23*(1+D24)-F23*($C$5/12)+E24)-$C$8</f>
        <v>18571694.344733808</v>
      </c>
      <c r="G24" s="139">
        <f t="shared" si="2"/>
        <v>18571694.344733808</v>
      </c>
      <c r="H24" s="140">
        <f t="shared" si="3"/>
        <v>0</v>
      </c>
    </row>
    <row r="25" spans="2:8" x14ac:dyDescent="0.2">
      <c r="B25">
        <f t="shared" si="0"/>
        <v>11</v>
      </c>
      <c r="C25" s="3">
        <f>Project_Page_3!A14</f>
        <v>38321</v>
      </c>
      <c r="D25" s="131">
        <f>Project_Page_4_TRC!G14</f>
        <v>1.5787288664103616E-2</v>
      </c>
      <c r="E25" s="26">
        <f t="shared" si="1"/>
        <v>16666.666666666668</v>
      </c>
      <c r="F25" s="26">
        <f>(F24*(1+D25)-F24*($C$5/12)+E25)-$C$8</f>
        <v>18850604.887094401</v>
      </c>
      <c r="G25" s="139">
        <f t="shared" si="2"/>
        <v>18850604.887094401</v>
      </c>
      <c r="H25" s="140">
        <f t="shared" si="3"/>
        <v>0</v>
      </c>
    </row>
    <row r="26" spans="2:8" x14ac:dyDescent="0.2">
      <c r="B26">
        <f t="shared" si="0"/>
        <v>12</v>
      </c>
      <c r="C26" s="3">
        <f>Project_Page_3!A15</f>
        <v>38352</v>
      </c>
      <c r="D26" s="131">
        <f>Project_Page_4_TRC!G15</f>
        <v>1.6902492449914028E-2</v>
      </c>
      <c r="E26" s="26">
        <f t="shared" si="1"/>
        <v>16666.666666666668</v>
      </c>
      <c r="F26" s="26">
        <f>(F25*(1+D26)-F25*($C$5/12)+E26)-$C$8</f>
        <v>19154476.085729666</v>
      </c>
      <c r="G26" s="139">
        <f t="shared" si="2"/>
        <v>19154476.085729666</v>
      </c>
      <c r="H26" s="140">
        <f t="shared" si="3"/>
        <v>0</v>
      </c>
    </row>
    <row r="27" spans="2:8" x14ac:dyDescent="0.2">
      <c r="B27">
        <f t="shared" si="0"/>
        <v>13</v>
      </c>
      <c r="C27" s="3">
        <f>Project_Page_3!A16</f>
        <v>38383</v>
      </c>
      <c r="D27" s="131">
        <f>Project_Page_4_TRC!G16</f>
        <v>-1.1511182239931604E-2</v>
      </c>
      <c r="E27" s="26">
        <f t="shared" si="1"/>
        <v>16666.666666666668</v>
      </c>
      <c r="F27" s="26">
        <f>(F26*(1+D27)-F26*($C$5/12)+E27)-$C$8</f>
        <v>18918727.96065354</v>
      </c>
      <c r="G27" s="139">
        <f t="shared" si="2"/>
        <v>19154476.085729666</v>
      </c>
      <c r="H27" s="140">
        <f t="shared" si="3"/>
        <v>-1.2307730267379212E-2</v>
      </c>
    </row>
    <row r="28" spans="2:8" x14ac:dyDescent="0.2">
      <c r="B28">
        <f t="shared" si="0"/>
        <v>14</v>
      </c>
      <c r="C28" s="3">
        <f>Project_Page_3!A17</f>
        <v>38411</v>
      </c>
      <c r="D28" s="131">
        <f>Project_Page_4_TRC!G17</f>
        <v>4.6152387632260369E-3</v>
      </c>
      <c r="E28" s="26">
        <f t="shared" si="1"/>
        <v>16666.666666666668</v>
      </c>
      <c r="F28" s="26">
        <f>(F27*(1+D28)-F27*($C$5/12)+E28)-$C$8</f>
        <v>18991177.86068739</v>
      </c>
      <c r="G28" s="139">
        <f t="shared" si="2"/>
        <v>19154476.085729666</v>
      </c>
      <c r="H28" s="140">
        <f t="shared" si="3"/>
        <v>-8.5253297616391284E-3</v>
      </c>
    </row>
    <row r="29" spans="2:8" x14ac:dyDescent="0.2">
      <c r="B29">
        <f t="shared" si="0"/>
        <v>15</v>
      </c>
      <c r="C29" s="3">
        <f>Project_Page_3!A18</f>
        <v>38442</v>
      </c>
      <c r="D29" s="131">
        <f>Project_Page_4_TRC!G18</f>
        <v>-5.5249945616872541E-3</v>
      </c>
      <c r="E29" s="26">
        <f t="shared" si="1"/>
        <v>16666.666666666668</v>
      </c>
      <c r="F29" s="26">
        <f>(F28*(1+D29)-F28*($C$5/12)+E29)-$C$8</f>
        <v>18871266.409852579</v>
      </c>
      <c r="G29" s="139">
        <f t="shared" si="2"/>
        <v>19154476.085729666</v>
      </c>
      <c r="H29" s="140">
        <f t="shared" si="3"/>
        <v>-1.4785561067268329E-2</v>
      </c>
    </row>
    <row r="30" spans="2:8" x14ac:dyDescent="0.2">
      <c r="B30">
        <f t="shared" si="0"/>
        <v>16</v>
      </c>
      <c r="C30" s="3">
        <f>Project_Page_3!A19</f>
        <v>38471</v>
      </c>
      <c r="D30" s="131">
        <f>Project_Page_4_TRC!G19</f>
        <v>-4.2886550246986743E-3</v>
      </c>
      <c r="E30" s="26">
        <f t="shared" si="1"/>
        <v>16666.666666666668</v>
      </c>
      <c r="F30" s="26">
        <f>(F29*(1+D30)-F29*($C$5/12)+E30)-$C$8</f>
        <v>18775548.614325117</v>
      </c>
      <c r="G30" s="139">
        <f t="shared" si="2"/>
        <v>19154476.085729666</v>
      </c>
      <c r="H30" s="140">
        <f t="shared" si="3"/>
        <v>-1.9782711346871797E-2</v>
      </c>
    </row>
    <row r="31" spans="2:8" x14ac:dyDescent="0.2">
      <c r="B31">
        <f t="shared" si="0"/>
        <v>17</v>
      </c>
      <c r="C31" s="3">
        <f>Project_Page_3!A20</f>
        <v>38503</v>
      </c>
      <c r="D31" s="131">
        <f>Project_Page_4_TRC!G20</f>
        <v>1.9448565811996429E-2</v>
      </c>
      <c r="E31" s="26">
        <f t="shared" si="1"/>
        <v>16666.666666666668</v>
      </c>
      <c r="F31" s="26">
        <f>(F30*(1+D31)-F30*($C$5/12)+E31)-$C$8</f>
        <v>19126080.192849953</v>
      </c>
      <c r="G31" s="139">
        <f t="shared" si="2"/>
        <v>19154476.085729666</v>
      </c>
      <c r="H31" s="140">
        <f t="shared" si="3"/>
        <v>-1.4824677403141627E-3</v>
      </c>
    </row>
    <row r="32" spans="2:8" x14ac:dyDescent="0.2">
      <c r="B32">
        <f t="shared" si="0"/>
        <v>18</v>
      </c>
      <c r="C32" s="3">
        <f>Project_Page_3!A21</f>
        <v>38533</v>
      </c>
      <c r="D32" s="131">
        <f>Project_Page_4_TRC!G21</f>
        <v>-9.0769598915710348E-4</v>
      </c>
      <c r="E32" s="26">
        <f t="shared" si="1"/>
        <v>16666.666666666668</v>
      </c>
      <c r="F32" s="26">
        <f>(F31*(1+D32)-F31*($C$5/12)+E32)-$C$8</f>
        <v>19093509.39291586</v>
      </c>
      <c r="G32" s="139">
        <f t="shared" si="2"/>
        <v>19154476.085729666</v>
      </c>
      <c r="H32" s="140">
        <f t="shared" si="3"/>
        <v>-3.1828953473296622E-3</v>
      </c>
    </row>
    <row r="33" spans="2:8" x14ac:dyDescent="0.2">
      <c r="B33">
        <f t="shared" si="0"/>
        <v>19</v>
      </c>
      <c r="C33" s="3">
        <f>Project_Page_3!A22</f>
        <v>38562</v>
      </c>
      <c r="D33" s="131">
        <f>Project_Page_4_TRC!G22</f>
        <v>1.2955380533930732E-2</v>
      </c>
      <c r="E33" s="26">
        <f t="shared" si="1"/>
        <v>16666.666666666668</v>
      </c>
      <c r="F33" s="26">
        <f>(F32*(1+D33)-F32*($C$5/12)+E33)-$C$8</f>
        <v>19325717.223841075</v>
      </c>
      <c r="G33" s="139">
        <f t="shared" si="2"/>
        <v>19325717.223841075</v>
      </c>
      <c r="H33" s="140">
        <f t="shared" si="3"/>
        <v>0</v>
      </c>
    </row>
    <row r="34" spans="2:8" x14ac:dyDescent="0.2">
      <c r="B34">
        <f t="shared" si="0"/>
        <v>20</v>
      </c>
      <c r="C34" s="3">
        <f>Project_Page_3!A23</f>
        <v>38595</v>
      </c>
      <c r="D34" s="131">
        <f>Project_Page_4_TRC!G23</f>
        <v>1.1020570088908034E-2</v>
      </c>
      <c r="E34" s="26">
        <f t="shared" si="1"/>
        <v>16666.666666666668</v>
      </c>
      <c r="F34" s="26">
        <f>(F33*(1+D34)-F33*($C$5/12)+E34)-$C$8</f>
        <v>19523154.782985099</v>
      </c>
      <c r="G34" s="139">
        <f t="shared" si="2"/>
        <v>19523154.782985099</v>
      </c>
      <c r="H34" s="140">
        <f t="shared" si="3"/>
        <v>0</v>
      </c>
    </row>
    <row r="35" spans="2:8" x14ac:dyDescent="0.2">
      <c r="B35">
        <f t="shared" si="0"/>
        <v>21</v>
      </c>
      <c r="C35" s="3">
        <f>Project_Page_3!A24</f>
        <v>38625</v>
      </c>
      <c r="D35" s="131">
        <f>Project_Page_4_TRC!G24</f>
        <v>1.7932486833391564E-3</v>
      </c>
      <c r="E35" s="26">
        <f t="shared" si="1"/>
        <v>16666.666666666668</v>
      </c>
      <c r="F35" s="26">
        <f>(F34*(1+D35)-F34*($C$5/12)+E35)-$C$8</f>
        <v>19542292.729956005</v>
      </c>
      <c r="G35" s="139">
        <f t="shared" si="2"/>
        <v>19542292.729956005</v>
      </c>
      <c r="H35" s="140">
        <f t="shared" si="3"/>
        <v>0</v>
      </c>
    </row>
    <row r="36" spans="2:8" x14ac:dyDescent="0.2">
      <c r="B36">
        <f t="shared" si="0"/>
        <v>22</v>
      </c>
      <c r="C36" s="3">
        <f>Project_Page_3!A25</f>
        <v>38656</v>
      </c>
      <c r="D36" s="131">
        <f>Project_Page_4_TRC!G25</f>
        <v>-5.930269717204879E-3</v>
      </c>
      <c r="E36" s="26">
        <f t="shared" si="1"/>
        <v>16666.666666666668</v>
      </c>
      <c r="F36" s="26">
        <f>(F35*(1+D36)-F35*($C$5/12)+E36)-$C$8</f>
        <v>19410497.841958202</v>
      </c>
      <c r="G36" s="139">
        <f t="shared" si="2"/>
        <v>19542292.729956005</v>
      </c>
      <c r="H36" s="140">
        <f t="shared" si="3"/>
        <v>-6.7440852421464604E-3</v>
      </c>
    </row>
    <row r="37" spans="2:8" x14ac:dyDescent="0.2">
      <c r="B37">
        <f t="shared" si="0"/>
        <v>23</v>
      </c>
      <c r="C37" s="3">
        <f>Project_Page_3!A26</f>
        <v>38686</v>
      </c>
      <c r="D37" s="131">
        <f>Project_Page_4_TRC!G26</f>
        <v>2.5195797257717565E-2</v>
      </c>
      <c r="E37" s="26">
        <f t="shared" si="1"/>
        <v>16666.666666666668</v>
      </c>
      <c r="F37" s="26">
        <f>(F36*(1+D37)-F36*($C$5/12)+E37)-$C$8</f>
        <v>19883876.647185612</v>
      </c>
      <c r="G37" s="139">
        <f t="shared" si="2"/>
        <v>19883876.647185612</v>
      </c>
      <c r="H37" s="140">
        <f t="shared" si="3"/>
        <v>0</v>
      </c>
    </row>
    <row r="38" spans="2:8" x14ac:dyDescent="0.2">
      <c r="B38">
        <f t="shared" si="0"/>
        <v>24</v>
      </c>
      <c r="C38" s="3">
        <f>Project_Page_3!A27</f>
        <v>38716</v>
      </c>
      <c r="D38" s="131">
        <f>Project_Page_4_TRC!G27</f>
        <v>7.6804293671999925E-3</v>
      </c>
      <c r="E38" s="26">
        <f t="shared" si="1"/>
        <v>16666.666666666668</v>
      </c>
      <c r="F38" s="26">
        <f>(F37*(1+D38)-F37*($C$5/12)+E38)-$C$8</f>
        <v>20020120.229575131</v>
      </c>
      <c r="G38" s="139">
        <f t="shared" si="2"/>
        <v>20020120.229575131</v>
      </c>
      <c r="H38" s="140">
        <f t="shared" si="3"/>
        <v>0</v>
      </c>
    </row>
    <row r="39" spans="2:8" x14ac:dyDescent="0.2">
      <c r="B39">
        <f t="shared" si="0"/>
        <v>25</v>
      </c>
      <c r="C39" s="3">
        <f>Project_Page_3!A28</f>
        <v>38748</v>
      </c>
      <c r="D39" s="131">
        <f>Project_Page_4_TRC!G28</f>
        <v>2.1749081865458042E-2</v>
      </c>
      <c r="E39" s="26">
        <f t="shared" si="1"/>
        <v>16666.666666666668</v>
      </c>
      <c r="F39" s="26">
        <f>(F38*(1+D39)-F38*($C$5/12)+E39)-$C$8</f>
        <v>20438839.263021849</v>
      </c>
      <c r="G39" s="139">
        <f t="shared" si="2"/>
        <v>20438839.263021849</v>
      </c>
      <c r="H39" s="140">
        <f t="shared" si="3"/>
        <v>0</v>
      </c>
    </row>
    <row r="40" spans="2:8" x14ac:dyDescent="0.2">
      <c r="B40">
        <f t="shared" si="0"/>
        <v>26</v>
      </c>
      <c r="C40" s="3">
        <f>Project_Page_3!A29</f>
        <v>38776</v>
      </c>
      <c r="D40" s="131">
        <f>Project_Page_4_TRC!G29</f>
        <v>-3.1740721312968484E-3</v>
      </c>
      <c r="E40" s="26">
        <f t="shared" si="1"/>
        <v>16666.666666666668</v>
      </c>
      <c r="F40" s="26">
        <f>(F39*(1+D40)-F39*($C$5/12)+E40)-$C$8</f>
        <v>20356566.84748267</v>
      </c>
      <c r="G40" s="139">
        <f t="shared" si="2"/>
        <v>20438839.263021849</v>
      </c>
      <c r="H40" s="140">
        <f t="shared" si="3"/>
        <v>-4.0252978400797477E-3</v>
      </c>
    </row>
    <row r="41" spans="2:8" x14ac:dyDescent="0.2">
      <c r="B41">
        <f t="shared" si="0"/>
        <v>27</v>
      </c>
      <c r="C41" s="3">
        <f>Project_Page_3!A30</f>
        <v>38807</v>
      </c>
      <c r="D41" s="131">
        <f>Project_Page_4_TRC!G30</f>
        <v>5.1806906080486973E-3</v>
      </c>
      <c r="E41" s="26">
        <f t="shared" si="1"/>
        <v>16666.666666666668</v>
      </c>
      <c r="F41" s="26">
        <f>(F40*(1+D41)-F40*($C$5/12)+E41)-$C$8</f>
        <v>20444766.977415737</v>
      </c>
      <c r="G41" s="139">
        <f t="shared" si="2"/>
        <v>20444766.977415737</v>
      </c>
      <c r="H41" s="140">
        <f t="shared" si="3"/>
        <v>0</v>
      </c>
    </row>
    <row r="42" spans="2:8" x14ac:dyDescent="0.2">
      <c r="B42">
        <f t="shared" si="0"/>
        <v>28</v>
      </c>
      <c r="C42" s="3">
        <f>Project_Page_3!A31</f>
        <v>38835</v>
      </c>
      <c r="D42" s="131">
        <f>Project_Page_4_TRC!G31</f>
        <v>2.2571672891167328E-2</v>
      </c>
      <c r="E42" s="26">
        <f t="shared" si="1"/>
        <v>16666.666666666668</v>
      </c>
      <c r="F42" s="26">
        <f>(F41*(1+D42)-F41*($C$5/12)+E42)-$C$8</f>
        <v>20888831.625003744</v>
      </c>
      <c r="G42" s="139">
        <f t="shared" si="2"/>
        <v>20888831.625003744</v>
      </c>
      <c r="H42" s="140">
        <f t="shared" si="3"/>
        <v>0</v>
      </c>
    </row>
    <row r="43" spans="2:8" x14ac:dyDescent="0.2">
      <c r="B43">
        <f t="shared" si="0"/>
        <v>29</v>
      </c>
      <c r="C43" s="3">
        <f>Project_Page_3!A32</f>
        <v>38868</v>
      </c>
      <c r="D43" s="131">
        <f>Project_Page_4_TRC!G32</f>
        <v>-7.5637013290693481E-3</v>
      </c>
      <c r="E43" s="26">
        <f t="shared" si="1"/>
        <v>16666.666666666668</v>
      </c>
      <c r="F43" s="26">
        <f>(F42*(1+D43)-F42*($C$5/12)+E43)-$C$8</f>
        <v>20712686.688770659</v>
      </c>
      <c r="G43" s="139">
        <f t="shared" si="2"/>
        <v>20888831.625003744</v>
      </c>
      <c r="H43" s="140">
        <f t="shared" si="3"/>
        <v>-8.4324934680521206E-3</v>
      </c>
    </row>
    <row r="44" spans="2:8" x14ac:dyDescent="0.2">
      <c r="B44">
        <f t="shared" si="0"/>
        <v>30</v>
      </c>
      <c r="C44" s="3">
        <f>Project_Page_3!A33</f>
        <v>38898</v>
      </c>
      <c r="D44" s="131">
        <f>Project_Page_4_TRC!G33</f>
        <v>-7.2203427691513011E-3</v>
      </c>
      <c r="E44" s="26">
        <f t="shared" si="1"/>
        <v>16666.666666666668</v>
      </c>
      <c r="F44" s="26">
        <f>(F43*(1+D44)-F43*($C$5/12)+E44)-$C$8</f>
        <v>20545279.513393082</v>
      </c>
      <c r="G44" s="139">
        <f t="shared" si="2"/>
        <v>20888831.625003744</v>
      </c>
      <c r="H44" s="140">
        <f t="shared" si="3"/>
        <v>-1.6446688727168129E-2</v>
      </c>
    </row>
    <row r="45" spans="2:8" x14ac:dyDescent="0.2">
      <c r="B45">
        <f t="shared" si="0"/>
        <v>31</v>
      </c>
      <c r="C45" s="3">
        <f>Project_Page_3!A34</f>
        <v>38929</v>
      </c>
      <c r="D45" s="131">
        <f>Project_Page_4_TRC!G34</f>
        <v>6.7890102188923971E-3</v>
      </c>
      <c r="E45" s="26">
        <f t="shared" si="1"/>
        <v>16666.666666666668</v>
      </c>
      <c r="F45" s="26">
        <f>(F44*(1+D45)-F44*($C$5/12)+E45)-$C$8</f>
        <v>20667186.160103854</v>
      </c>
      <c r="G45" s="139">
        <f t="shared" si="2"/>
        <v>20888831.625003744</v>
      </c>
      <c r="H45" s="140">
        <f t="shared" si="3"/>
        <v>-1.0610716237215607E-2</v>
      </c>
    </row>
    <row r="46" spans="2:8" x14ac:dyDescent="0.2">
      <c r="B46">
        <f t="shared" si="0"/>
        <v>32</v>
      </c>
      <c r="C46" s="3">
        <f>Project_Page_3!A35</f>
        <v>38960</v>
      </c>
      <c r="D46" s="131">
        <f>Project_Page_4_TRC!G35</f>
        <v>2.8037347399856603E-2</v>
      </c>
      <c r="E46" s="26">
        <f t="shared" si="1"/>
        <v>16666.666666666668</v>
      </c>
      <c r="F46" s="26">
        <f>(F45*(1+D46)-F45*($C$5/12)+E46)-$C$8</f>
        <v>21228860.594652019</v>
      </c>
      <c r="G46" s="139">
        <f t="shared" si="2"/>
        <v>21228860.594652019</v>
      </c>
      <c r="H46" s="140">
        <f t="shared" si="3"/>
        <v>0</v>
      </c>
    </row>
    <row r="47" spans="2:8" x14ac:dyDescent="0.2">
      <c r="B47">
        <f t="shared" ref="B47:B78" si="4">B46+1</f>
        <v>33</v>
      </c>
      <c r="C47" s="3">
        <f>Project_Page_3!A36</f>
        <v>38989</v>
      </c>
      <c r="D47" s="131">
        <f>Project_Page_4_TRC!G36</f>
        <v>1.1933015962940762E-2</v>
      </c>
      <c r="E47" s="26">
        <f t="shared" ref="E47:E78" si="5">IF(B47&lt;=$C$7,$C$6/12,0)</f>
        <v>16666.666666666668</v>
      </c>
      <c r="F47" s="26">
        <f>(F46*(1+D47)-F46*($C$5/12)+E47)-$C$8</f>
        <v>21463470.159345292</v>
      </c>
      <c r="G47" s="139">
        <f t="shared" ref="G47:G78" si="6">MAX(G46,F47)</f>
        <v>21463470.159345292</v>
      </c>
      <c r="H47" s="140">
        <f t="shared" si="3"/>
        <v>0</v>
      </c>
    </row>
    <row r="48" spans="2:8" x14ac:dyDescent="0.2">
      <c r="B48">
        <f t="shared" si="4"/>
        <v>34</v>
      </c>
      <c r="C48" s="3">
        <f>Project_Page_3!A37</f>
        <v>39021</v>
      </c>
      <c r="D48" s="131">
        <f>Project_Page_4_TRC!G37</f>
        <v>1.93691312424858E-2</v>
      </c>
      <c r="E48" s="26">
        <f t="shared" si="5"/>
        <v>16666.666666666668</v>
      </c>
      <c r="F48" s="26">
        <f>(F47*(1+D48)-F47*($C$5/12)+E48)-$C$8</f>
        <v>21860093.146181919</v>
      </c>
      <c r="G48" s="139">
        <f t="shared" si="6"/>
        <v>21860093.146181919</v>
      </c>
      <c r="H48" s="140">
        <f t="shared" si="3"/>
        <v>0</v>
      </c>
    </row>
    <row r="49" spans="2:8" x14ac:dyDescent="0.2">
      <c r="B49">
        <f t="shared" si="4"/>
        <v>35</v>
      </c>
      <c r="C49" s="3">
        <f>Project_Page_3!A38</f>
        <v>39051</v>
      </c>
      <c r="D49" s="131">
        <f>Project_Page_4_TRC!G38</f>
        <v>1.6519952048027753E-2</v>
      </c>
      <c r="E49" s="26">
        <f t="shared" si="5"/>
        <v>16666.666666666668</v>
      </c>
      <c r="F49" s="26">
        <f>(F48*(1+D49)-F48*($C$5/12)+E49)-$C$8</f>
        <v>22201454.014811959</v>
      </c>
      <c r="G49" s="139">
        <f t="shared" si="6"/>
        <v>22201454.014811959</v>
      </c>
      <c r="H49" s="140">
        <f t="shared" si="3"/>
        <v>0</v>
      </c>
    </row>
    <row r="50" spans="2:8" x14ac:dyDescent="0.2">
      <c r="B50">
        <f t="shared" si="4"/>
        <v>36</v>
      </c>
      <c r="C50" s="3">
        <f>Project_Page_3!A39</f>
        <v>39080</v>
      </c>
      <c r="D50" s="131">
        <f>Project_Page_4_TRC!G39</f>
        <v>-1.0518509410342772E-2</v>
      </c>
      <c r="E50" s="26">
        <f t="shared" si="5"/>
        <v>16666.666666666668</v>
      </c>
      <c r="F50" s="26">
        <f>(F49*(1+D50)-F49*($C$5/12)+E50)-$C$8</f>
        <v>21947592.055142514</v>
      </c>
      <c r="G50" s="139">
        <f t="shared" si="6"/>
        <v>22201454.014811959</v>
      </c>
      <c r="H50" s="140">
        <f t="shared" si="3"/>
        <v>-1.1434474494331666E-2</v>
      </c>
    </row>
    <row r="51" spans="2:8" x14ac:dyDescent="0.2">
      <c r="B51">
        <f t="shared" si="4"/>
        <v>37</v>
      </c>
      <c r="C51" s="3">
        <f>Project_Page_3!A40</f>
        <v>39113</v>
      </c>
      <c r="D51" s="131">
        <f>Project_Page_4_TRC!G40</f>
        <v>4.4598962419256649E-4</v>
      </c>
      <c r="E51" s="26">
        <f t="shared" si="5"/>
        <v>16666.666666666668</v>
      </c>
      <c r="F51" s="26">
        <f>(F50*(1+D51)-F50*($C$5/12)+E51)-$C$8</f>
        <v>21937467.800049886</v>
      </c>
      <c r="G51" s="139">
        <f t="shared" si="6"/>
        <v>22201454.014811959</v>
      </c>
      <c r="H51" s="140">
        <f t="shared" si="3"/>
        <v>-1.1890492153619828E-2</v>
      </c>
    </row>
    <row r="52" spans="2:8" x14ac:dyDescent="0.2">
      <c r="B52">
        <f t="shared" si="4"/>
        <v>38</v>
      </c>
      <c r="C52" s="3">
        <f>Project_Page_3!A41</f>
        <v>39141</v>
      </c>
      <c r="D52" s="131">
        <f>Project_Page_4_TRC!G41</f>
        <v>8.8014605587873988E-3</v>
      </c>
      <c r="E52" s="26">
        <f t="shared" si="5"/>
        <v>16666.666666666668</v>
      </c>
      <c r="F52" s="26">
        <f>(F51*(1+D52)-F51*($C$5/12)+E52)-$C$8</f>
        <v>22110653.777984947</v>
      </c>
      <c r="G52" s="139">
        <f t="shared" si="6"/>
        <v>22201454.014811959</v>
      </c>
      <c r="H52" s="140">
        <f t="shared" si="3"/>
        <v>-4.0898328896131625E-3</v>
      </c>
    </row>
    <row r="53" spans="2:8" x14ac:dyDescent="0.2">
      <c r="B53">
        <f t="shared" si="4"/>
        <v>39</v>
      </c>
      <c r="C53" s="3">
        <f>Project_Page_3!A42</f>
        <v>39171</v>
      </c>
      <c r="D53" s="131">
        <f>Project_Page_4_TRC!G42</f>
        <v>8.751672933846346E-3</v>
      </c>
      <c r="E53" s="26">
        <f t="shared" si="5"/>
        <v>16666.666666666668</v>
      </c>
      <c r="F53" s="26">
        <f>(F52*(1+D53)-F52*($C$5/12)+E53)-$C$8</f>
        <v>22283974.565240081</v>
      </c>
      <c r="G53" s="139">
        <f t="shared" si="6"/>
        <v>22283974.565240081</v>
      </c>
      <c r="H53" s="140">
        <f t="shared" si="3"/>
        <v>0</v>
      </c>
    </row>
    <row r="54" spans="2:8" x14ac:dyDescent="0.2">
      <c r="B54">
        <f t="shared" si="4"/>
        <v>40</v>
      </c>
      <c r="C54" s="3">
        <f>Project_Page_3!A43</f>
        <v>39202</v>
      </c>
      <c r="D54" s="131">
        <f>Project_Page_4_TRC!G43</f>
        <v>2.5231416654397796E-2</v>
      </c>
      <c r="E54" s="26">
        <f t="shared" si="5"/>
        <v>16666.666666666668</v>
      </c>
      <c r="F54" s="26">
        <f>(F53*(1+D54)-F53*($C$5/12)+E54)-$C$8</f>
        <v>22825757.521269593</v>
      </c>
      <c r="G54" s="139">
        <f t="shared" si="6"/>
        <v>22825757.521269593</v>
      </c>
      <c r="H54" s="140">
        <f t="shared" si="3"/>
        <v>0</v>
      </c>
    </row>
    <row r="55" spans="2:8" x14ac:dyDescent="0.2">
      <c r="B55">
        <f t="shared" si="4"/>
        <v>41</v>
      </c>
      <c r="C55" s="3">
        <f>Project_Page_3!A44</f>
        <v>39233</v>
      </c>
      <c r="D55" s="131">
        <f>Project_Page_4_TRC!G44</f>
        <v>1.5806513192785049E-3</v>
      </c>
      <c r="E55" s="26">
        <f t="shared" si="5"/>
        <v>16666.666666666668</v>
      </c>
      <c r="F55" s="26">
        <f>(F54*(1+D55)-F54*($C$5/12)+E55)-$C$8</f>
        <v>22840460.822473668</v>
      </c>
      <c r="G55" s="139">
        <f t="shared" si="6"/>
        <v>22840460.822473668</v>
      </c>
      <c r="H55" s="140">
        <f t="shared" si="3"/>
        <v>0</v>
      </c>
    </row>
    <row r="56" spans="2:8" x14ac:dyDescent="0.2">
      <c r="B56">
        <f t="shared" si="4"/>
        <v>42</v>
      </c>
      <c r="C56" s="3">
        <f>Project_Page_3!A45</f>
        <v>39262</v>
      </c>
      <c r="D56" s="131">
        <f>Project_Page_4_TRC!G45</f>
        <v>-3.8315330311733159E-3</v>
      </c>
      <c r="E56" s="26">
        <f t="shared" si="5"/>
        <v>16666.666666666668</v>
      </c>
      <c r="F56" s="26">
        <f>(F55*(1+D56)-F55*($C$5/12)+E56)-$C$8</f>
        <v>22731546.074347686</v>
      </c>
      <c r="G56" s="139">
        <f t="shared" si="6"/>
        <v>22840460.822473668</v>
      </c>
      <c r="H56" s="140">
        <f t="shared" si="3"/>
        <v>-4.7685004682049082E-3</v>
      </c>
    </row>
    <row r="57" spans="2:8" x14ac:dyDescent="0.2">
      <c r="B57">
        <f t="shared" si="4"/>
        <v>43</v>
      </c>
      <c r="C57" s="3">
        <f>Project_Page_3!A46</f>
        <v>39294</v>
      </c>
      <c r="D57" s="131">
        <f>Project_Page_4_TRC!G46</f>
        <v>9.3790538383184841E-3</v>
      </c>
      <c r="E57" s="26">
        <f t="shared" si="5"/>
        <v>16666.666666666668</v>
      </c>
      <c r="F57" s="26">
        <f>(F56*(1+D57)-F56*($C$5/12)+E57)-$C$8</f>
        <v>22923527.225349963</v>
      </c>
      <c r="G57" s="139">
        <f t="shared" si="6"/>
        <v>22923527.225349963</v>
      </c>
      <c r="H57" s="140">
        <f t="shared" si="3"/>
        <v>0</v>
      </c>
    </row>
    <row r="58" spans="2:8" x14ac:dyDescent="0.2">
      <c r="B58">
        <f t="shared" si="4"/>
        <v>44</v>
      </c>
      <c r="C58" s="3">
        <f>Project_Page_3!A47</f>
        <v>39325</v>
      </c>
      <c r="D58" s="131">
        <f>Project_Page_4_TRC!G47</f>
        <v>3.1232540723448426E-3</v>
      </c>
      <c r="E58" s="26">
        <f t="shared" si="5"/>
        <v>16666.666666666668</v>
      </c>
      <c r="F58" s="26">
        <f>(F57*(1+D58)-F57*($C$5/12)+E58)-$C$8</f>
        <v>22973584.013066798</v>
      </c>
      <c r="G58" s="139">
        <f t="shared" si="6"/>
        <v>22973584.013066798</v>
      </c>
      <c r="H58" s="140">
        <f t="shared" si="3"/>
        <v>0</v>
      </c>
    </row>
    <row r="59" spans="2:8" x14ac:dyDescent="0.2">
      <c r="B59">
        <f t="shared" si="4"/>
        <v>45</v>
      </c>
      <c r="C59" s="3">
        <f>Project_Page_3!A48</f>
        <v>39353</v>
      </c>
      <c r="D59" s="131">
        <f>Project_Page_4_TRC!G48</f>
        <v>1.9010094072439004E-2</v>
      </c>
      <c r="E59" s="26">
        <f t="shared" si="5"/>
        <v>16666.666666666668</v>
      </c>
      <c r="F59" s="26">
        <f>(F58*(1+D59)-F58*($C$5/12)+E59)-$C$8</f>
        <v>23388691.366314501</v>
      </c>
      <c r="G59" s="139">
        <f t="shared" si="6"/>
        <v>23388691.366314501</v>
      </c>
      <c r="H59" s="140">
        <f t="shared" si="3"/>
        <v>0</v>
      </c>
    </row>
    <row r="60" spans="2:8" x14ac:dyDescent="0.2">
      <c r="B60">
        <f t="shared" si="4"/>
        <v>46</v>
      </c>
      <c r="C60" s="3">
        <f>Project_Page_3!A49</f>
        <v>39386</v>
      </c>
      <c r="D60" s="131">
        <f>Project_Page_4_TRC!G49</f>
        <v>2.3268449218462016E-2</v>
      </c>
      <c r="E60" s="26">
        <f t="shared" si="5"/>
        <v>16666.666666666668</v>
      </c>
      <c r="F60" s="26">
        <f>(F59*(1+D60)-F59*($C$5/12)+E60)-$C$8</f>
        <v>23910595.458047349</v>
      </c>
      <c r="G60" s="139">
        <f t="shared" si="6"/>
        <v>23910595.458047349</v>
      </c>
      <c r="H60" s="140">
        <f t="shared" si="3"/>
        <v>0</v>
      </c>
    </row>
    <row r="61" spans="2:8" x14ac:dyDescent="0.2">
      <c r="B61">
        <f t="shared" si="4"/>
        <v>47</v>
      </c>
      <c r="C61" s="3">
        <f>Project_Page_3!A50</f>
        <v>39416</v>
      </c>
      <c r="D61" s="131">
        <f>Project_Page_4_TRC!G50</f>
        <v>-7.829016345608706E-3</v>
      </c>
      <c r="E61" s="26">
        <f t="shared" si="5"/>
        <v>16666.666666666668</v>
      </c>
      <c r="F61" s="26">
        <f>(F60*(1+D61)-F60*($C$5/12)+E61)-$C$8</f>
        <v>23700214.689609647</v>
      </c>
      <c r="G61" s="139">
        <f t="shared" si="6"/>
        <v>23910595.458047349</v>
      </c>
      <c r="H61" s="140">
        <f t="shared" si="3"/>
        <v>-8.7986419579900704E-3</v>
      </c>
    </row>
    <row r="62" spans="2:8" x14ac:dyDescent="0.2">
      <c r="B62">
        <f t="shared" si="4"/>
        <v>48</v>
      </c>
      <c r="C62" s="3">
        <f>Project_Page_3!A51</f>
        <v>39447</v>
      </c>
      <c r="D62" s="131">
        <f>Project_Page_4_TRC!G51</f>
        <v>1.8263973190759926E-4</v>
      </c>
      <c r="E62" s="26">
        <f t="shared" si="5"/>
        <v>16666.666666666668</v>
      </c>
      <c r="F62" s="26">
        <f>(F61*(1+D62)-F61*($C$5/12)+E62)-$C$8</f>
        <v>23681709.599317364</v>
      </c>
      <c r="G62" s="139">
        <f t="shared" si="6"/>
        <v>23910595.458047349</v>
      </c>
      <c r="H62" s="140">
        <f t="shared" si="3"/>
        <v>-9.5725704168087046E-3</v>
      </c>
    </row>
    <row r="63" spans="2:8" x14ac:dyDescent="0.2">
      <c r="B63">
        <f t="shared" si="4"/>
        <v>49</v>
      </c>
      <c r="C63" s="3">
        <f>Project_Page_3!A52</f>
        <v>39478</v>
      </c>
      <c r="D63" s="131">
        <f>Project_Page_4_TRC!G52</f>
        <v>1.9973305660793365E-3</v>
      </c>
      <c r="E63" s="26">
        <f t="shared" si="5"/>
        <v>16666.666666666668</v>
      </c>
      <c r="F63" s="26">
        <f>(F62*(1+D63)-F62*($C$5/12)+E63)-$C$8</f>
        <v>23706206.952424902</v>
      </c>
      <c r="G63" s="139">
        <f t="shared" si="6"/>
        <v>23910595.458047349</v>
      </c>
      <c r="H63" s="140">
        <f t="shared" si="3"/>
        <v>-8.5480307665720453E-3</v>
      </c>
    </row>
    <row r="64" spans="2:8" x14ac:dyDescent="0.2">
      <c r="B64">
        <f t="shared" si="4"/>
        <v>50</v>
      </c>
      <c r="C64" s="3">
        <f>Project_Page_3!A53</f>
        <v>39507</v>
      </c>
      <c r="D64" s="131">
        <f>Project_Page_4_TRC!G53</f>
        <v>1.4617375421843198E-2</v>
      </c>
      <c r="E64" s="26">
        <f t="shared" si="5"/>
        <v>16666.666666666668</v>
      </c>
      <c r="F64" s="26">
        <f>(F63*(1+D64)-F63*($C$5/12)+E64)-$C$8</f>
        <v>24029885.801022366</v>
      </c>
      <c r="G64" s="139">
        <f t="shared" si="6"/>
        <v>24029885.801022366</v>
      </c>
      <c r="H64" s="140">
        <f t="shared" si="3"/>
        <v>0</v>
      </c>
    </row>
    <row r="65" spans="2:8" x14ac:dyDescent="0.2">
      <c r="B65">
        <f t="shared" si="4"/>
        <v>51</v>
      </c>
      <c r="C65" s="3">
        <f>Project_Page_3!A54</f>
        <v>39538</v>
      </c>
      <c r="D65" s="131">
        <f>Project_Page_4_TRC!G54</f>
        <v>-1.2252937999082843E-4</v>
      </c>
      <c r="E65" s="26">
        <f t="shared" si="5"/>
        <v>16666.666666666668</v>
      </c>
      <c r="F65" s="26">
        <f>(F64*(1+D65)-F64*($C$5/12)+E65)-$C$8</f>
        <v>24003558.291012216</v>
      </c>
      <c r="G65" s="139">
        <f t="shared" si="6"/>
        <v>24029885.801022366</v>
      </c>
      <c r="H65" s="140">
        <f t="shared" si="3"/>
        <v>-1.0956152779148542E-3</v>
      </c>
    </row>
    <row r="66" spans="2:8" x14ac:dyDescent="0.2">
      <c r="B66">
        <f t="shared" si="4"/>
        <v>52</v>
      </c>
      <c r="C66" s="3">
        <f>Project_Page_3!A55</f>
        <v>39568</v>
      </c>
      <c r="D66" s="131">
        <f>Project_Page_4_TRC!G55</f>
        <v>6.1132704854364329E-3</v>
      </c>
      <c r="E66" s="26">
        <f t="shared" si="5"/>
        <v>16666.666666666668</v>
      </c>
      <c r="F66" s="26">
        <f>(F65*(1+D66)-F65*($C$5/12)+E66)-$C$8</f>
        <v>24126959.271639764</v>
      </c>
      <c r="G66" s="139">
        <f t="shared" si="6"/>
        <v>24126959.271639764</v>
      </c>
      <c r="H66" s="140">
        <f t="shared" si="3"/>
        <v>0</v>
      </c>
    </row>
    <row r="67" spans="2:8" x14ac:dyDescent="0.2">
      <c r="B67">
        <f t="shared" si="4"/>
        <v>53</v>
      </c>
      <c r="C67" s="3">
        <f>Project_Page_3!A56</f>
        <v>39598</v>
      </c>
      <c r="D67" s="131">
        <f>Project_Page_4_TRC!G56</f>
        <v>5.57381653845322E-3</v>
      </c>
      <c r="E67" s="26">
        <f t="shared" si="5"/>
        <v>16666.666666666668</v>
      </c>
      <c r="F67" s="26">
        <f>(F66*(1+D67)-F66*($C$5/12)+E67)-$C$8</f>
        <v>24237893.584131215</v>
      </c>
      <c r="G67" s="139">
        <f t="shared" si="6"/>
        <v>24237893.584131215</v>
      </c>
      <c r="H67" s="140">
        <f t="shared" si="3"/>
        <v>0</v>
      </c>
    </row>
    <row r="68" spans="2:8" x14ac:dyDescent="0.2">
      <c r="B68">
        <f t="shared" si="4"/>
        <v>54</v>
      </c>
      <c r="C68" s="3">
        <f>Project_Page_3!A57</f>
        <v>39629</v>
      </c>
      <c r="D68" s="131">
        <f>Project_Page_4_TRC!G57</f>
        <v>-9.5253613761337175E-3</v>
      </c>
      <c r="E68" s="26">
        <f t="shared" si="5"/>
        <v>16666.666666666668</v>
      </c>
      <c r="F68" s="26">
        <f>(F67*(1+D68)-F67*($C$5/12)+E68)-$C$8</f>
        <v>23983289.066105876</v>
      </c>
      <c r="G68" s="139">
        <f t="shared" si="6"/>
        <v>24237893.584131215</v>
      </c>
      <c r="H68" s="140">
        <f t="shared" si="3"/>
        <v>-1.0504399532145429E-2</v>
      </c>
    </row>
    <row r="69" spans="2:8" x14ac:dyDescent="0.2">
      <c r="B69">
        <f t="shared" si="4"/>
        <v>55</v>
      </c>
      <c r="C69" s="3">
        <f>Project_Page_3!A58</f>
        <v>39660</v>
      </c>
      <c r="D69" s="131">
        <f>Project_Page_4_TRC!G58</f>
        <v>-1.3444821848140625E-2</v>
      </c>
      <c r="E69" s="26">
        <f t="shared" si="5"/>
        <v>16666.666666666668</v>
      </c>
      <c r="F69" s="26">
        <f>(F68*(1+D69)-F68*($C$5/12)+E69)-$C$8</f>
        <v>23637532.53550278</v>
      </c>
      <c r="G69" s="139">
        <f t="shared" si="6"/>
        <v>24237893.584131215</v>
      </c>
      <c r="H69" s="140">
        <f t="shared" si="3"/>
        <v>-2.4769522423412932E-2</v>
      </c>
    </row>
    <row r="70" spans="2:8" x14ac:dyDescent="0.2">
      <c r="B70">
        <f t="shared" si="4"/>
        <v>56</v>
      </c>
      <c r="C70" s="3">
        <f>Project_Page_3!A59</f>
        <v>39689</v>
      </c>
      <c r="D70" s="131">
        <f>Project_Page_4_TRC!G59</f>
        <v>4.4893670055592017E-3</v>
      </c>
      <c r="E70" s="26">
        <f t="shared" si="5"/>
        <v>16666.666666666668</v>
      </c>
      <c r="F70" s="26">
        <f>(F69*(1+D70)-F69*($C$5/12)+E70)-$C$8</f>
        <v>23720920.873267997</v>
      </c>
      <c r="G70" s="139">
        <f t="shared" si="6"/>
        <v>24237893.584131215</v>
      </c>
      <c r="H70" s="140">
        <f t="shared" si="3"/>
        <v>-2.13291105132042E-2</v>
      </c>
    </row>
    <row r="71" spans="2:8" x14ac:dyDescent="0.2">
      <c r="B71">
        <f t="shared" si="4"/>
        <v>57</v>
      </c>
      <c r="C71" s="3">
        <f>Project_Page_3!A60</f>
        <v>39721</v>
      </c>
      <c r="D71" s="131">
        <f>Project_Page_4_TRC!G60</f>
        <v>-4.7948946932883207E-2</v>
      </c>
      <c r="E71" s="26">
        <f t="shared" si="5"/>
        <v>16666.666666666668</v>
      </c>
      <c r="F71" s="26">
        <f>(F70*(1+D71)-F70*($C$5/12)+E71)-$C$8</f>
        <v>22560659.495661106</v>
      </c>
      <c r="G71" s="139">
        <f t="shared" si="6"/>
        <v>24237893.584131215</v>
      </c>
      <c r="H71" s="140">
        <f t="shared" si="3"/>
        <v>-6.9198838696453824E-2</v>
      </c>
    </row>
    <row r="72" spans="2:8" x14ac:dyDescent="0.2">
      <c r="B72">
        <f t="shared" si="4"/>
        <v>58</v>
      </c>
      <c r="C72" s="3">
        <f>Project_Page_3!A61</f>
        <v>39752</v>
      </c>
      <c r="D72" s="131">
        <f>Project_Page_4_TRC!G61</f>
        <v>-8.8834820430874067E-2</v>
      </c>
      <c r="E72" s="26">
        <f t="shared" si="5"/>
        <v>16666.666666666668</v>
      </c>
      <c r="F72" s="26">
        <f>(F71*(1+D72)-F71*($C$5/12)+E72)-$C$8</f>
        <v>20535552.928069189</v>
      </c>
      <c r="G72" s="139">
        <f t="shared" si="6"/>
        <v>24237893.584131215</v>
      </c>
      <c r="H72" s="140">
        <f t="shared" si="3"/>
        <v>-0.1527500994758878</v>
      </c>
    </row>
    <row r="73" spans="2:8" x14ac:dyDescent="0.2">
      <c r="B73">
        <f t="shared" si="4"/>
        <v>59</v>
      </c>
      <c r="C73" s="3">
        <f>Project_Page_3!A62</f>
        <v>39780</v>
      </c>
      <c r="D73" s="131">
        <f>Project_Page_4_TRC!G62</f>
        <v>-1.527547273407181E-2</v>
      </c>
      <c r="E73" s="26">
        <f t="shared" si="5"/>
        <v>16666.666666666668</v>
      </c>
      <c r="F73" s="26">
        <f>(F72*(1+D73)-F72*($C$5/12)+E73)-$C$8</f>
        <v>20204303.394357264</v>
      </c>
      <c r="G73" s="139">
        <f t="shared" si="6"/>
        <v>24237893.584131215</v>
      </c>
      <c r="H73" s="140">
        <f t="shared" si="3"/>
        <v>-0.16641669688717428</v>
      </c>
    </row>
    <row r="74" spans="2:8" x14ac:dyDescent="0.2">
      <c r="B74">
        <f t="shared" si="4"/>
        <v>60</v>
      </c>
      <c r="C74" s="3">
        <f>Project_Page_3!A63</f>
        <v>39813</v>
      </c>
      <c r="D74" s="131">
        <f>Project_Page_4_TRC!G63</f>
        <v>1.613013698515544E-2</v>
      </c>
      <c r="E74" s="26">
        <f t="shared" si="5"/>
        <v>16666.666666666668</v>
      </c>
      <c r="F74" s="26">
        <f>(F73*(1+D74)-F73*($C$5/12)+E74)-$C$8</f>
        <v>20513194.403473958</v>
      </c>
      <c r="G74" s="139">
        <f t="shared" si="6"/>
        <v>24237893.584131215</v>
      </c>
      <c r="H74" s="140">
        <f t="shared" si="3"/>
        <v>-0.15367256101395929</v>
      </c>
    </row>
    <row r="75" spans="2:8" x14ac:dyDescent="0.2">
      <c r="B75">
        <f t="shared" si="4"/>
        <v>61</v>
      </c>
      <c r="C75" s="3">
        <f>Project_Page_3!A64</f>
        <v>39843</v>
      </c>
      <c r="D75" s="131">
        <f>Project_Page_4_TRC!G64</f>
        <v>-8.3890637888846646E-3</v>
      </c>
      <c r="E75" s="26">
        <f t="shared" si="5"/>
        <v>0</v>
      </c>
      <c r="F75" s="26">
        <f>(F74*(1+D75)-F74*($C$5/12)+E75)-$C$8</f>
        <v>20306919.249770299</v>
      </c>
      <c r="G75" s="139">
        <f t="shared" si="6"/>
        <v>24237893.584131215</v>
      </c>
      <c r="H75" s="140">
        <f t="shared" si="3"/>
        <v>-0.16218300161754004</v>
      </c>
    </row>
    <row r="76" spans="2:8" x14ac:dyDescent="0.2">
      <c r="B76">
        <f t="shared" si="4"/>
        <v>62</v>
      </c>
      <c r="C76" s="3">
        <f>Project_Page_3!A65</f>
        <v>39871</v>
      </c>
      <c r="D76" s="131">
        <f>Project_Page_4_TRC!G65</f>
        <v>-1.5476153655289884E-2</v>
      </c>
      <c r="E76" s="26">
        <f t="shared" si="5"/>
        <v>0</v>
      </c>
      <c r="F76" s="26">
        <f>(F75*(1+D76)-F75*($C$5/12)+E76)-$C$8</f>
        <v>19958801.381779004</v>
      </c>
      <c r="G76" s="139">
        <f t="shared" si="6"/>
        <v>24237893.584131215</v>
      </c>
      <c r="H76" s="140">
        <f t="shared" si="3"/>
        <v>-0.17654554788349158</v>
      </c>
    </row>
    <row r="77" spans="2:8" x14ac:dyDescent="0.2">
      <c r="B77">
        <f t="shared" si="4"/>
        <v>63</v>
      </c>
      <c r="C77" s="3">
        <f>Project_Page_3!A66</f>
        <v>39903</v>
      </c>
      <c r="D77" s="131">
        <f>Project_Page_4_TRC!G66</f>
        <v>5.7878392274673347E-2</v>
      </c>
      <c r="E77" s="26">
        <f t="shared" si="5"/>
        <v>0</v>
      </c>
      <c r="F77" s="26">
        <f>(F76*(1+D77)-F76*($C$5/12)+E77)-$C$8</f>
        <v>21080720.04851627</v>
      </c>
      <c r="G77" s="139">
        <f t="shared" si="6"/>
        <v>24237893.584131215</v>
      </c>
      <c r="H77" s="140">
        <f t="shared" si="3"/>
        <v>-0.13025775217042695</v>
      </c>
    </row>
    <row r="78" spans="2:8" x14ac:dyDescent="0.2">
      <c r="B78">
        <f t="shared" si="4"/>
        <v>64</v>
      </c>
      <c r="C78" s="3">
        <f>Project_Page_3!A67</f>
        <v>39933</v>
      </c>
      <c r="D78" s="131">
        <f>Project_Page_4_TRC!G67</f>
        <v>3.3090339169470663E-2</v>
      </c>
      <c r="E78" s="26">
        <f t="shared" si="5"/>
        <v>0</v>
      </c>
      <c r="F78" s="26">
        <f>(F77*(1+D78)-F77*($C$5/12)+E78)-$C$8</f>
        <v>21743153.69144414</v>
      </c>
      <c r="G78" s="139">
        <f t="shared" si="6"/>
        <v>24237893.584131215</v>
      </c>
      <c r="H78" s="140">
        <f t="shared" si="3"/>
        <v>-0.10292725661277782</v>
      </c>
    </row>
    <row r="79" spans="2:8" x14ac:dyDescent="0.2">
      <c r="B79">
        <f t="shared" ref="B79:B110" si="7">B78+1</f>
        <v>65</v>
      </c>
      <c r="C79" s="3">
        <f>Project_Page_3!A68</f>
        <v>39962</v>
      </c>
      <c r="D79" s="131">
        <f>Project_Page_4_TRC!G68</f>
        <v>1.7078748579799463E-2</v>
      </c>
      <c r="E79" s="26">
        <f t="shared" ref="E79:E110" si="8">IF(B79&lt;=$C$7,$C$6/12,0)</f>
        <v>0</v>
      </c>
      <c r="F79" s="26">
        <f>(F78*(1+D79)-F78*($C$5/12)+E79)-$C$8</f>
        <v>22078260.957186513</v>
      </c>
      <c r="G79" s="139">
        <f t="shared" ref="G79:G110" si="9">MAX(G78,F79)</f>
        <v>24237893.584131215</v>
      </c>
      <c r="H79" s="140">
        <f t="shared" si="3"/>
        <v>-8.9101498009655208E-2</v>
      </c>
    </row>
    <row r="80" spans="2:8" x14ac:dyDescent="0.2">
      <c r="B80">
        <f t="shared" si="7"/>
        <v>66</v>
      </c>
      <c r="C80" s="3">
        <f>Project_Page_3!A69</f>
        <v>39994</v>
      </c>
      <c r="D80" s="131">
        <f>Project_Page_4_TRC!G69</f>
        <v>1.2214082747071758E-2</v>
      </c>
      <c r="E80" s="26">
        <f t="shared" si="8"/>
        <v>0</v>
      </c>
      <c r="F80" s="26">
        <f>(F79*(1+D80)-F79*($C$5/12)+E80)-$C$8</f>
        <v>22311129.561833721</v>
      </c>
      <c r="G80" s="139">
        <f t="shared" si="9"/>
        <v>24237893.584131215</v>
      </c>
      <c r="H80" s="140">
        <f t="shared" ref="H80:H134" si="10">(F80-G80)/G80</f>
        <v>-7.9493872502145374E-2</v>
      </c>
    </row>
    <row r="81" spans="2:8" x14ac:dyDescent="0.2">
      <c r="B81">
        <f t="shared" si="7"/>
        <v>67</v>
      </c>
      <c r="C81" s="3">
        <f>Project_Page_3!A70</f>
        <v>40025</v>
      </c>
      <c r="D81" s="131">
        <f>Project_Page_4_TRC!G70</f>
        <v>3.9400234940283191E-2</v>
      </c>
      <c r="E81" s="26">
        <f t="shared" si="8"/>
        <v>0</v>
      </c>
      <c r="F81" s="26">
        <f>(F80*(1+D81)-F80*($C$5/12)+E81)-$C$8</f>
        <v>23153008.092416678</v>
      </c>
      <c r="G81" s="139">
        <f t="shared" si="9"/>
        <v>24237893.584131215</v>
      </c>
      <c r="H81" s="140">
        <f t="shared" si="10"/>
        <v>-4.47598916939227E-2</v>
      </c>
    </row>
    <row r="82" spans="2:8" x14ac:dyDescent="0.2">
      <c r="B82">
        <f t="shared" si="7"/>
        <v>68</v>
      </c>
      <c r="C82" s="3">
        <f>Project_Page_3!A71</f>
        <v>40056</v>
      </c>
      <c r="D82" s="131">
        <f>Project_Page_4_TRC!G71</f>
        <v>1.3793996810172352E-2</v>
      </c>
      <c r="E82" s="26">
        <f t="shared" si="8"/>
        <v>0</v>
      </c>
      <c r="F82" s="26">
        <f>(F81*(1+D82)-F81*($C$5/12)+E82)-$C$8</f>
        <v>23433792.265368674</v>
      </c>
      <c r="G82" s="139">
        <f t="shared" si="9"/>
        <v>24237893.584131215</v>
      </c>
      <c r="H82" s="140">
        <f t="shared" si="10"/>
        <v>-3.3175379534176756E-2</v>
      </c>
    </row>
    <row r="83" spans="2:8" x14ac:dyDescent="0.2">
      <c r="B83">
        <f t="shared" si="7"/>
        <v>69</v>
      </c>
      <c r="C83" s="3">
        <f>Project_Page_3!A72</f>
        <v>40086</v>
      </c>
      <c r="D83" s="131">
        <f>Project_Page_4_TRC!G72</f>
        <v>1.8161043738290427E-2</v>
      </c>
      <c r="E83" s="26">
        <f t="shared" si="8"/>
        <v>0</v>
      </c>
      <c r="F83" s="26">
        <f>(F82*(1+D83)-F82*($C$5/12)+E83)-$C$8</f>
        <v>23820318.071211763</v>
      </c>
      <c r="G83" s="139">
        <f t="shared" si="9"/>
        <v>24237893.584131215</v>
      </c>
      <c r="H83" s="140">
        <f t="shared" si="10"/>
        <v>-1.722820968208404E-2</v>
      </c>
    </row>
    <row r="84" spans="2:8" x14ac:dyDescent="0.2">
      <c r="B84">
        <f t="shared" si="7"/>
        <v>70</v>
      </c>
      <c r="C84" s="3">
        <f>Project_Page_3!A73</f>
        <v>40116</v>
      </c>
      <c r="D84" s="131">
        <f>Project_Page_4_TRC!G73</f>
        <v>9.4018046907408236E-3</v>
      </c>
      <c r="E84" s="26">
        <f t="shared" si="8"/>
        <v>0</v>
      </c>
      <c r="F84" s="26">
        <f>(F83*(1+D84)-F83*($C$5/12)+E84)-$C$8</f>
        <v>24004571.519269936</v>
      </c>
      <c r="G84" s="139">
        <f t="shared" si="9"/>
        <v>24237893.584131215</v>
      </c>
      <c r="H84" s="140">
        <f t="shared" si="10"/>
        <v>-9.6263342378084052E-3</v>
      </c>
    </row>
    <row r="85" spans="2:8" x14ac:dyDescent="0.2">
      <c r="B85">
        <f t="shared" si="7"/>
        <v>71</v>
      </c>
      <c r="C85" s="3">
        <f>Project_Page_3!A74</f>
        <v>40147</v>
      </c>
      <c r="D85" s="131">
        <f>Project_Page_4_TRC!G74</f>
        <v>2.8097718019796269E-2</v>
      </c>
      <c r="E85" s="26">
        <f t="shared" si="8"/>
        <v>0</v>
      </c>
      <c r="F85" s="26">
        <f>(F84*(1+D85)-F84*($C$5/12)+E85)-$C$8</f>
        <v>24639037.581805632</v>
      </c>
      <c r="G85" s="139">
        <f t="shared" si="9"/>
        <v>24639037.581805632</v>
      </c>
      <c r="H85" s="140">
        <f t="shared" si="10"/>
        <v>0</v>
      </c>
    </row>
    <row r="86" spans="2:8" x14ac:dyDescent="0.2">
      <c r="B86">
        <f t="shared" si="7"/>
        <v>72</v>
      </c>
      <c r="C86" s="3">
        <f>Project_Page_3!A75</f>
        <v>40178</v>
      </c>
      <c r="D86" s="131">
        <f>Project_Page_4_TRC!G75</f>
        <v>7.252201946564227E-3</v>
      </c>
      <c r="E86" s="26">
        <f t="shared" si="8"/>
        <v>0</v>
      </c>
      <c r="F86" s="26">
        <f>(F85*(1+D86)-F85*($C$5/12)+E86)-$C$8</f>
        <v>24776659.795481529</v>
      </c>
      <c r="G86" s="139">
        <f t="shared" si="9"/>
        <v>24776659.795481529</v>
      </c>
      <c r="H86" s="140">
        <f t="shared" si="10"/>
        <v>0</v>
      </c>
    </row>
    <row r="87" spans="2:8" x14ac:dyDescent="0.2">
      <c r="B87">
        <f t="shared" si="7"/>
        <v>73</v>
      </c>
      <c r="C87" s="3">
        <f>Project_Page_3!A76</f>
        <v>40207</v>
      </c>
      <c r="D87" s="131">
        <f>Project_Page_4_TRC!G76</f>
        <v>-1.8453181959140745E-2</v>
      </c>
      <c r="E87" s="26">
        <f t="shared" si="8"/>
        <v>0</v>
      </c>
      <c r="F87" s="26">
        <f>(F86*(1+D87)-F86*($C$5/12)+E87)-$C$8</f>
        <v>24278157.150943313</v>
      </c>
      <c r="G87" s="139">
        <f t="shared" si="9"/>
        <v>24776659.795481529</v>
      </c>
      <c r="H87" s="140">
        <f t="shared" si="10"/>
        <v>-2.0119848625807391E-2</v>
      </c>
    </row>
    <row r="88" spans="2:8" x14ac:dyDescent="0.2">
      <c r="B88">
        <f t="shared" si="7"/>
        <v>74</v>
      </c>
      <c r="C88" s="3">
        <f>Project_Page_3!A77</f>
        <v>40235</v>
      </c>
      <c r="D88" s="131">
        <f>Project_Page_4_TRC!G77</f>
        <v>1.2063684717398004E-2</v>
      </c>
      <c r="E88" s="26">
        <f t="shared" si="8"/>
        <v>0</v>
      </c>
      <c r="F88" s="26">
        <f>(F87*(1+D88)-F87*($C$5/12)+E88)-$C$8</f>
        <v>24530577.589080166</v>
      </c>
      <c r="G88" s="139">
        <f t="shared" si="9"/>
        <v>24776659.795481529</v>
      </c>
      <c r="H88" s="140">
        <f t="shared" si="10"/>
        <v>-9.932017004416413E-3</v>
      </c>
    </row>
    <row r="89" spans="2:8" x14ac:dyDescent="0.2">
      <c r="B89">
        <f t="shared" si="7"/>
        <v>75</v>
      </c>
      <c r="C89" s="3">
        <f>Project_Page_3!A78</f>
        <v>40268</v>
      </c>
      <c r="D89" s="131">
        <f>Project_Page_4_TRC!G78</f>
        <v>2.3975902911642748E-2</v>
      </c>
      <c r="E89" s="26">
        <f t="shared" si="8"/>
        <v>0</v>
      </c>
      <c r="F89" s="26">
        <f>(F88*(1+D89)-F88*($C$5/12)+E89)-$C$8</f>
        <v>25077836.039740667</v>
      </c>
      <c r="G89" s="139">
        <f t="shared" si="9"/>
        <v>25077836.039740667</v>
      </c>
      <c r="H89" s="140">
        <f t="shared" si="10"/>
        <v>0</v>
      </c>
    </row>
    <row r="90" spans="2:8" x14ac:dyDescent="0.2">
      <c r="B90">
        <f t="shared" si="7"/>
        <v>76</v>
      </c>
      <c r="C90" s="3">
        <f>Project_Page_3!A79</f>
        <v>40298</v>
      </c>
      <c r="D90" s="131">
        <f>Project_Page_4_TRC!G79</f>
        <v>1.0448273234846334E-2</v>
      </c>
      <c r="E90" s="26">
        <f t="shared" si="8"/>
        <v>0</v>
      </c>
      <c r="F90" s="26">
        <f>(F89*(1+D90)-F89*($C$5/12)+E90)-$C$8</f>
        <v>25298059.729422987</v>
      </c>
      <c r="G90" s="139">
        <f t="shared" si="9"/>
        <v>25298059.729422987</v>
      </c>
      <c r="H90" s="140">
        <f t="shared" si="10"/>
        <v>0</v>
      </c>
    </row>
    <row r="91" spans="2:8" x14ac:dyDescent="0.2">
      <c r="B91">
        <f t="shared" si="7"/>
        <v>77</v>
      </c>
      <c r="C91" s="3">
        <f>Project_Page_3!A80</f>
        <v>40329</v>
      </c>
      <c r="D91" s="131">
        <f>Project_Page_4_TRC!G80</f>
        <v>-2.5166257135243539E-2</v>
      </c>
      <c r="E91" s="26">
        <f t="shared" si="8"/>
        <v>0</v>
      </c>
      <c r="F91" s="26">
        <f>(F90*(1+D91)-F90*($C$5/12)+E91)-$C$8</f>
        <v>24619238.820367206</v>
      </c>
      <c r="G91" s="139">
        <f t="shared" si="9"/>
        <v>25298059.729422987</v>
      </c>
      <c r="H91" s="140">
        <f t="shared" si="10"/>
        <v>-2.6832923801910227E-2</v>
      </c>
    </row>
    <row r="92" spans="2:8" x14ac:dyDescent="0.2">
      <c r="B92">
        <f t="shared" si="7"/>
        <v>78</v>
      </c>
      <c r="C92" s="3">
        <f>Project_Page_3!A81</f>
        <v>40359</v>
      </c>
      <c r="D92" s="131">
        <f>Project_Page_4_TRC!G81</f>
        <v>-1.0226221862846833E-2</v>
      </c>
      <c r="E92" s="26">
        <f t="shared" si="8"/>
        <v>0</v>
      </c>
      <c r="F92" s="26">
        <f>(F91*(1+D92)-F91*($C$5/12)+E92)-$C$8</f>
        <v>24326444.95739511</v>
      </c>
      <c r="G92" s="139">
        <f t="shared" si="9"/>
        <v>25298059.729422987</v>
      </c>
      <c r="H92" s="140">
        <f t="shared" si="10"/>
        <v>-3.8406691359726561E-2</v>
      </c>
    </row>
    <row r="93" spans="2:8" x14ac:dyDescent="0.2">
      <c r="B93">
        <f t="shared" si="7"/>
        <v>79</v>
      </c>
      <c r="C93" s="3">
        <f>Project_Page_3!A82</f>
        <v>40389</v>
      </c>
      <c r="D93" s="131">
        <f>Project_Page_4_TRC!G82</f>
        <v>2.9156450655991324E-2</v>
      </c>
      <c r="E93" s="26">
        <f t="shared" si="8"/>
        <v>0</v>
      </c>
      <c r="F93" s="26">
        <f>(F92*(1+D93)-F92*($C$5/12)+E93)-$C$8</f>
        <v>24995173.674502101</v>
      </c>
      <c r="G93" s="139">
        <f t="shared" si="9"/>
        <v>25298059.729422987</v>
      </c>
      <c r="H93" s="140">
        <f t="shared" si="10"/>
        <v>-1.1972699019625332E-2</v>
      </c>
    </row>
    <row r="94" spans="2:8" x14ac:dyDescent="0.2">
      <c r="B94">
        <f t="shared" si="7"/>
        <v>80</v>
      </c>
      <c r="C94" s="3">
        <f>Project_Page_3!A83</f>
        <v>40421</v>
      </c>
      <c r="D94" s="131">
        <f>Project_Page_4_TRC!G83</f>
        <v>-1.0090556292896843E-2</v>
      </c>
      <c r="E94" s="26">
        <f t="shared" si="8"/>
        <v>0</v>
      </c>
      <c r="F94" s="26">
        <f>(F93*(1+D94)-F93*($C$5/12)+E94)-$C$8</f>
        <v>24701299.844697971</v>
      </c>
      <c r="G94" s="139">
        <f t="shared" si="9"/>
        <v>25298059.729422987</v>
      </c>
      <c r="H94" s="140">
        <f t="shared" si="10"/>
        <v>-2.3589156287387218E-2</v>
      </c>
    </row>
    <row r="95" spans="2:8" x14ac:dyDescent="0.2">
      <c r="B95">
        <f t="shared" si="7"/>
        <v>81</v>
      </c>
      <c r="C95" s="3">
        <f>Project_Page_3!A84</f>
        <v>40451</v>
      </c>
      <c r="D95" s="131">
        <f>Project_Page_4_TRC!G84</f>
        <v>4.1056249432290977E-2</v>
      </c>
      <c r="E95" s="26">
        <f t="shared" si="8"/>
        <v>0</v>
      </c>
      <c r="F95" s="26">
        <f>(F94*(1+D95)-F94*($C$5/12)+E95)-$C$8</f>
        <v>25674273.739349209</v>
      </c>
      <c r="G95" s="139">
        <f t="shared" si="9"/>
        <v>25674273.739349209</v>
      </c>
      <c r="H95" s="140">
        <f t="shared" si="10"/>
        <v>0</v>
      </c>
    </row>
    <row r="96" spans="2:8" x14ac:dyDescent="0.2">
      <c r="B96">
        <f t="shared" si="7"/>
        <v>82</v>
      </c>
      <c r="C96" s="3">
        <f>Project_Page_3!A85</f>
        <v>40480</v>
      </c>
      <c r="D96" s="131">
        <f>Project_Page_4_TRC!G85</f>
        <v>2.6247682217555822E-2</v>
      </c>
      <c r="E96" s="26">
        <f t="shared" si="8"/>
        <v>0</v>
      </c>
      <c r="F96" s="26">
        <f>(F95*(1+D96)-F95*($C$5/12)+E96)-$C$8</f>
        <v>26305373.461393937</v>
      </c>
      <c r="G96" s="139">
        <f t="shared" si="9"/>
        <v>26305373.461393937</v>
      </c>
      <c r="H96" s="140">
        <f t="shared" si="10"/>
        <v>0</v>
      </c>
    </row>
    <row r="97" spans="2:8" x14ac:dyDescent="0.2">
      <c r="B97">
        <f t="shared" si="7"/>
        <v>83</v>
      </c>
      <c r="C97" s="3">
        <f>Project_Page_3!A86</f>
        <v>40512</v>
      </c>
      <c r="D97" s="131">
        <f>Project_Page_4_TRC!G86</f>
        <v>-1.0380357899375078E-2</v>
      </c>
      <c r="E97" s="26">
        <f t="shared" si="8"/>
        <v>0</v>
      </c>
      <c r="F97" s="26">
        <f>(F96*(1+D97)-F96*($C$5/12)+E97)-$C$8</f>
        <v>25988471.981085621</v>
      </c>
      <c r="G97" s="139">
        <f t="shared" si="9"/>
        <v>26305373.461393937</v>
      </c>
      <c r="H97" s="140">
        <f t="shared" si="10"/>
        <v>-1.2047024566041795E-2</v>
      </c>
    </row>
    <row r="98" spans="2:8" x14ac:dyDescent="0.2">
      <c r="B98">
        <f t="shared" si="7"/>
        <v>84</v>
      </c>
      <c r="C98" s="3">
        <f>Project_Page_3!A87</f>
        <v>40543</v>
      </c>
      <c r="D98" s="131">
        <f>Project_Page_4_TRC!G87</f>
        <v>1.9678645339290018E-2</v>
      </c>
      <c r="E98" s="26">
        <f t="shared" si="8"/>
        <v>0</v>
      </c>
      <c r="F98" s="26">
        <f>(F97*(1+D98)-F97*($C$5/12)+E98)-$C$8</f>
        <v>26456575.784143005</v>
      </c>
      <c r="G98" s="139">
        <f t="shared" si="9"/>
        <v>26456575.784143005</v>
      </c>
      <c r="H98" s="140">
        <f t="shared" si="10"/>
        <v>0</v>
      </c>
    </row>
    <row r="99" spans="2:8" x14ac:dyDescent="0.2">
      <c r="B99">
        <f t="shared" si="7"/>
        <v>85</v>
      </c>
      <c r="C99" s="3">
        <f>Project_Page_3!A88</f>
        <v>40574</v>
      </c>
      <c r="D99" s="131">
        <f>Project_Page_4_TRC!G88</f>
        <v>1.0996755791168633E-2</v>
      </c>
      <c r="E99" s="26">
        <f t="shared" si="8"/>
        <v>0</v>
      </c>
      <c r="F99" s="26">
        <f>(F98*(1+D99)-F98*($C$5/12)+E99)-$C$8</f>
        <v>26703417.9941382</v>
      </c>
      <c r="G99" s="139">
        <f t="shared" si="9"/>
        <v>26703417.9941382</v>
      </c>
      <c r="H99" s="140">
        <f t="shared" si="10"/>
        <v>0</v>
      </c>
    </row>
    <row r="100" spans="2:8" x14ac:dyDescent="0.2">
      <c r="B100">
        <f t="shared" si="7"/>
        <v>86</v>
      </c>
      <c r="C100" s="3">
        <f>Project_Page_3!A89</f>
        <v>40602</v>
      </c>
      <c r="D100" s="131">
        <f>Project_Page_4_TRC!G89</f>
        <v>9.948542417957262E-3</v>
      </c>
      <c r="E100" s="26">
        <f t="shared" si="8"/>
        <v>0</v>
      </c>
      <c r="F100" s="26">
        <f>(F99*(1+D100)-F99*($C$5/12)+E100)-$C$8</f>
        <v>26924572.38410043</v>
      </c>
      <c r="G100" s="139">
        <f t="shared" si="9"/>
        <v>26924572.38410043</v>
      </c>
      <c r="H100" s="140">
        <f t="shared" si="10"/>
        <v>0</v>
      </c>
    </row>
    <row r="101" spans="2:8" x14ac:dyDescent="0.2">
      <c r="B101">
        <f t="shared" si="7"/>
        <v>87</v>
      </c>
      <c r="C101" s="3">
        <f>Project_Page_3!A90</f>
        <v>40633</v>
      </c>
      <c r="D101" s="131">
        <f>Project_Page_4_TRC!G90</f>
        <v>-7.5290992057278315E-3</v>
      </c>
      <c r="E101" s="26">
        <f t="shared" si="8"/>
        <v>0</v>
      </c>
      <c r="F101" s="26">
        <f>(F100*(1+D101)-F100*($C$5/12)+E101)-$C$8</f>
        <v>26676980.320241902</v>
      </c>
      <c r="G101" s="139">
        <f t="shared" si="9"/>
        <v>26924572.38410043</v>
      </c>
      <c r="H101" s="140">
        <f t="shared" si="10"/>
        <v>-9.1957658723945575E-3</v>
      </c>
    </row>
    <row r="102" spans="2:8" x14ac:dyDescent="0.2">
      <c r="B102">
        <f t="shared" si="7"/>
        <v>88</v>
      </c>
      <c r="C102" s="3">
        <f>Project_Page_3!A91</f>
        <v>40662</v>
      </c>
      <c r="D102" s="131">
        <f>Project_Page_4_TRC!G91</f>
        <v>1.9053880360492263E-2</v>
      </c>
      <c r="E102" s="26">
        <f t="shared" si="8"/>
        <v>0</v>
      </c>
      <c r="F102" s="26">
        <f>(F101*(1+D102)-F101*($C$5/12)+E102)-$C$8</f>
        <v>27140818.677775927</v>
      </c>
      <c r="G102" s="139">
        <f t="shared" si="9"/>
        <v>27140818.677775927</v>
      </c>
      <c r="H102" s="140">
        <f t="shared" si="10"/>
        <v>0</v>
      </c>
    </row>
    <row r="103" spans="2:8" x14ac:dyDescent="0.2">
      <c r="B103">
        <f t="shared" si="7"/>
        <v>89</v>
      </c>
      <c r="C103" s="3">
        <f>Project_Page_3!A92</f>
        <v>40694</v>
      </c>
      <c r="D103" s="131">
        <f>Project_Page_4_TRC!G92</f>
        <v>-2.9842542915860561E-3</v>
      </c>
      <c r="E103" s="26">
        <f t="shared" si="8"/>
        <v>0</v>
      </c>
      <c r="F103" s="26">
        <f>(F102*(1+D103)-F102*($C$5/12)+E103)-$C$8</f>
        <v>27014588.87536332</v>
      </c>
      <c r="G103" s="139">
        <f t="shared" si="9"/>
        <v>27140818.677775927</v>
      </c>
      <c r="H103" s="140">
        <f t="shared" si="10"/>
        <v>-4.6509209582527881E-3</v>
      </c>
    </row>
    <row r="104" spans="2:8" x14ac:dyDescent="0.2">
      <c r="B104">
        <f t="shared" si="7"/>
        <v>90</v>
      </c>
      <c r="C104" s="3">
        <f>Project_Page_3!A93</f>
        <v>40724</v>
      </c>
      <c r="D104" s="131">
        <f>Project_Page_4_TRC!G93</f>
        <v>-4.6447585913478688E-3</v>
      </c>
      <c r="E104" s="26">
        <f t="shared" si="8"/>
        <v>0</v>
      </c>
      <c r="F104" s="26">
        <f>(F103*(1+D104)-F103*($C$5/12)+E104)-$C$8</f>
        <v>26844088.316800475</v>
      </c>
      <c r="G104" s="139">
        <f t="shared" si="9"/>
        <v>27140818.677775927</v>
      </c>
      <c r="H104" s="140">
        <f t="shared" si="10"/>
        <v>-1.0932992276258321E-2</v>
      </c>
    </row>
    <row r="105" spans="2:8" x14ac:dyDescent="0.2">
      <c r="B105">
        <f t="shared" si="7"/>
        <v>91</v>
      </c>
      <c r="C105" s="3">
        <f>Project_Page_3!A94</f>
        <v>40753</v>
      </c>
      <c r="D105" s="131">
        <f>Project_Page_4_TRC!G94</f>
        <v>2.2614163867208513E-2</v>
      </c>
      <c r="E105" s="26">
        <f t="shared" si="8"/>
        <v>0</v>
      </c>
      <c r="F105" s="26">
        <f>(F104*(1+D105)-F104*($C$5/12)+E105)-$C$8</f>
        <v>27406404.781667754</v>
      </c>
      <c r="G105" s="139">
        <f t="shared" si="9"/>
        <v>27406404.781667754</v>
      </c>
      <c r="H105" s="140">
        <f t="shared" si="10"/>
        <v>0</v>
      </c>
    </row>
    <row r="106" spans="2:8" x14ac:dyDescent="0.2">
      <c r="B106">
        <f t="shared" si="7"/>
        <v>92</v>
      </c>
      <c r="C106" s="3">
        <f>Project_Page_3!A95</f>
        <v>40786</v>
      </c>
      <c r="D106" s="131">
        <f>Project_Page_4_TRC!G95</f>
        <v>-1.3037557327729854E-2</v>
      </c>
      <c r="E106" s="26">
        <f t="shared" si="8"/>
        <v>0</v>
      </c>
      <c r="F106" s="26">
        <f>(F105*(1+D106)-F105*($C$5/12)+E106)-$C$8</f>
        <v>27003414.866877012</v>
      </c>
      <c r="G106" s="139">
        <f t="shared" si="9"/>
        <v>27406404.781667754</v>
      </c>
      <c r="H106" s="140">
        <f t="shared" si="10"/>
        <v>-1.4704223994396505E-2</v>
      </c>
    </row>
    <row r="107" spans="2:8" x14ac:dyDescent="0.2">
      <c r="B107">
        <f t="shared" si="7"/>
        <v>93</v>
      </c>
      <c r="C107" s="3">
        <f>Project_Page_3!A96</f>
        <v>40816</v>
      </c>
      <c r="D107" s="131">
        <f>Project_Page_4_TRC!G96</f>
        <v>-2.7311573887698913E-2</v>
      </c>
      <c r="E107" s="26">
        <f t="shared" si="8"/>
        <v>0</v>
      </c>
      <c r="F107" s="26">
        <f>(F106*(1+D107)-F106*($C$5/12)+E107)-$C$8</f>
        <v>26220903.415075317</v>
      </c>
      <c r="G107" s="139">
        <f t="shared" si="9"/>
        <v>27406404.781667754</v>
      </c>
      <c r="H107" s="140">
        <f t="shared" si="10"/>
        <v>-4.3256362008687231E-2</v>
      </c>
    </row>
    <row r="108" spans="2:8" x14ac:dyDescent="0.2">
      <c r="B108">
        <f t="shared" si="7"/>
        <v>94</v>
      </c>
      <c r="C108" s="3">
        <f>Project_Page_3!A97</f>
        <v>40847</v>
      </c>
      <c r="D108" s="131">
        <f>Project_Page_4_TRC!G97</f>
        <v>3.467213255665829E-2</v>
      </c>
      <c r="E108" s="26">
        <f t="shared" si="8"/>
        <v>0</v>
      </c>
      <c r="F108" s="26">
        <f>(F107*(1+D108)-F107*($C$5/12)+E108)-$C$8</f>
        <v>27086336.548346352</v>
      </c>
      <c r="G108" s="139">
        <f t="shared" si="9"/>
        <v>27406404.781667754</v>
      </c>
      <c r="H108" s="140">
        <f t="shared" si="10"/>
        <v>-1.1678592499498404E-2</v>
      </c>
    </row>
    <row r="109" spans="2:8" x14ac:dyDescent="0.2">
      <c r="B109">
        <f t="shared" si="7"/>
        <v>95</v>
      </c>
      <c r="C109" s="3">
        <f>Project_Page_3!A98</f>
        <v>40877</v>
      </c>
      <c r="D109" s="131">
        <f>Project_Page_4_TRC!G98</f>
        <v>-3.3047314692929166E-3</v>
      </c>
      <c r="E109" s="26">
        <f t="shared" si="8"/>
        <v>0</v>
      </c>
      <c r="F109" s="26">
        <f>(F108*(1+D109)-F108*($C$5/12)+E109)-$C$8</f>
        <v>26951679.585319929</v>
      </c>
      <c r="G109" s="139">
        <f t="shared" si="9"/>
        <v>27406404.781667754</v>
      </c>
      <c r="H109" s="140">
        <f t="shared" si="10"/>
        <v>-1.6591931702475349E-2</v>
      </c>
    </row>
    <row r="110" spans="2:8" x14ac:dyDescent="0.2">
      <c r="B110">
        <f t="shared" si="7"/>
        <v>96</v>
      </c>
      <c r="C110" s="3">
        <f>Project_Page_3!A99</f>
        <v>40907</v>
      </c>
      <c r="D110" s="131">
        <f>Project_Page_4_TRC!G99</f>
        <v>-3.2297380843915313E-3</v>
      </c>
      <c r="E110" s="26">
        <f t="shared" si="8"/>
        <v>0</v>
      </c>
      <c r="F110" s="26">
        <f>(F109*(1+D110)-F109*($C$5/12)+E110)-$C$8</f>
        <v>26819713.253349368</v>
      </c>
      <c r="G110" s="139">
        <f t="shared" si="9"/>
        <v>27406404.781667754</v>
      </c>
      <c r="H110" s="140">
        <f t="shared" si="10"/>
        <v>-2.1407095640316409E-2</v>
      </c>
    </row>
    <row r="111" spans="2:8" x14ac:dyDescent="0.2">
      <c r="B111">
        <f t="shared" ref="B111:B134" si="11">B110+1</f>
        <v>97</v>
      </c>
      <c r="C111" s="3">
        <f>Project_Page_3!A100</f>
        <v>40939</v>
      </c>
      <c r="D111" s="131">
        <f>Project_Page_4_TRC!G100</f>
        <v>3.5290090532058317E-2</v>
      </c>
      <c r="E111" s="26">
        <f t="shared" ref="E111:E134" si="12">IF(B111&lt;=$C$7,$C$6/12,0)</f>
        <v>0</v>
      </c>
      <c r="F111" s="26">
        <f>(F110*(1+D111)-F110*($C$5/12)+E111)-$C$8</f>
        <v>27721483.840014998</v>
      </c>
      <c r="G111" s="139">
        <f t="shared" ref="G111:G142" si="13">MAX(G110,F111)</f>
        <v>27721483.840014998</v>
      </c>
      <c r="H111" s="140">
        <f t="shared" si="10"/>
        <v>0</v>
      </c>
    </row>
    <row r="112" spans="2:8" x14ac:dyDescent="0.2">
      <c r="B112">
        <f t="shared" si="11"/>
        <v>98</v>
      </c>
      <c r="C112" s="3">
        <f>Project_Page_3!A101</f>
        <v>40968</v>
      </c>
      <c r="D112" s="131">
        <f>Project_Page_4_TRC!G101</f>
        <v>1.6266811276863462E-2</v>
      </c>
      <c r="E112" s="26">
        <f t="shared" si="12"/>
        <v>0</v>
      </c>
      <c r="F112" s="26">
        <f>(F111*(1+D112)-F111*($C$5/12)+E112)-$C$8</f>
        <v>28126221.512888446</v>
      </c>
      <c r="G112" s="139">
        <f t="shared" si="13"/>
        <v>28126221.512888446</v>
      </c>
      <c r="H112" s="140">
        <f t="shared" si="10"/>
        <v>0</v>
      </c>
    </row>
    <row r="113" spans="2:8" x14ac:dyDescent="0.2">
      <c r="B113">
        <f t="shared" si="11"/>
        <v>99</v>
      </c>
      <c r="C113" s="3">
        <f>Project_Page_3!A102</f>
        <v>40998</v>
      </c>
      <c r="D113" s="131">
        <f>Project_Page_4_TRC!G102</f>
        <v>2.7808239726297476E-3</v>
      </c>
      <c r="E113" s="26">
        <f t="shared" si="12"/>
        <v>0</v>
      </c>
      <c r="F113" s="26">
        <f>(F112*(1+D113)-F112*($C$5/12)+E113)-$C$8</f>
        <v>28157558.548076168</v>
      </c>
      <c r="G113" s="139">
        <f t="shared" si="13"/>
        <v>28157558.548076168</v>
      </c>
      <c r="H113" s="140">
        <f t="shared" si="10"/>
        <v>0</v>
      </c>
    </row>
    <row r="114" spans="2:8" x14ac:dyDescent="0.2">
      <c r="B114">
        <f t="shared" si="11"/>
        <v>100</v>
      </c>
      <c r="C114" s="3">
        <f>Project_Page_3!A103</f>
        <v>41029</v>
      </c>
      <c r="D114" s="131">
        <f>Project_Page_4_TRC!G103</f>
        <v>3.102140326282741E-3</v>
      </c>
      <c r="E114" s="26">
        <f t="shared" si="12"/>
        <v>0</v>
      </c>
      <c r="F114" s="26">
        <f>(F113*(1+D114)-F113*($C$5/12)+E114)-$C$8</f>
        <v>28197977.981691029</v>
      </c>
      <c r="G114" s="139">
        <f t="shared" si="13"/>
        <v>28197977.981691029</v>
      </c>
      <c r="H114" s="140">
        <f t="shared" si="10"/>
        <v>0</v>
      </c>
    </row>
    <row r="115" spans="2:8" x14ac:dyDescent="0.2">
      <c r="B115">
        <f t="shared" si="11"/>
        <v>101</v>
      </c>
      <c r="C115" s="3">
        <f>Project_Page_3!A104</f>
        <v>41060</v>
      </c>
      <c r="D115" s="131">
        <f>Project_Page_4_TRC!G104</f>
        <v>-1.9242090377692467E-2</v>
      </c>
      <c r="E115" s="26">
        <f t="shared" si="12"/>
        <v>0</v>
      </c>
      <c r="F115" s="26">
        <f>(F114*(1+D115)-F114*($C$5/12)+E115)-$C$8</f>
        <v>27608393.310929663</v>
      </c>
      <c r="G115" s="139">
        <f t="shared" si="13"/>
        <v>28197977.981691029</v>
      </c>
      <c r="H115" s="140">
        <f t="shared" si="10"/>
        <v>-2.0908757044359114E-2</v>
      </c>
    </row>
    <row r="116" spans="2:8" x14ac:dyDescent="0.2">
      <c r="B116">
        <f t="shared" si="11"/>
        <v>102</v>
      </c>
      <c r="C116" s="3">
        <f>Project_Page_3!A105</f>
        <v>41089</v>
      </c>
      <c r="D116" s="131">
        <f>Project_Page_4_TRC!G105</f>
        <v>4.623119518048887E-3</v>
      </c>
      <c r="E116" s="26">
        <f t="shared" si="12"/>
        <v>0</v>
      </c>
      <c r="F116" s="26">
        <f>(F115*(1+D116)-F115*($C$5/12)+E116)-$C$8</f>
        <v>27690016.224055842</v>
      </c>
      <c r="G116" s="139">
        <f t="shared" si="13"/>
        <v>28197977.981691029</v>
      </c>
      <c r="H116" s="140">
        <f t="shared" si="10"/>
        <v>-1.8014119947359606E-2</v>
      </c>
    </row>
    <row r="117" spans="2:8" x14ac:dyDescent="0.2">
      <c r="B117">
        <f t="shared" si="11"/>
        <v>103</v>
      </c>
      <c r="C117" s="3">
        <f>Project_Page_3!A106</f>
        <v>41121</v>
      </c>
      <c r="D117" s="131">
        <f>Project_Page_4_TRC!G106</f>
        <v>7.9703090822572133E-3</v>
      </c>
      <c r="E117" s="26">
        <f t="shared" si="12"/>
        <v>0</v>
      </c>
      <c r="F117" s="26">
        <f>(F116*(1+D117)-F116*($C$5/12)+E117)-$C$8</f>
        <v>27864564.184814189</v>
      </c>
      <c r="G117" s="139">
        <f t="shared" si="13"/>
        <v>28197977.981691029</v>
      </c>
      <c r="H117" s="140">
        <f t="shared" si="10"/>
        <v>-1.1824032102348834E-2</v>
      </c>
    </row>
    <row r="118" spans="2:8" x14ac:dyDescent="0.2">
      <c r="B118">
        <f t="shared" si="11"/>
        <v>104</v>
      </c>
      <c r="C118" s="3">
        <f>Project_Page_3!A107</f>
        <v>41152</v>
      </c>
      <c r="D118" s="131">
        <f>Project_Page_4_TRC!G107</f>
        <v>1.0893588561774728E-2</v>
      </c>
      <c r="E118" s="26">
        <f t="shared" si="12"/>
        <v>0</v>
      </c>
      <c r="F118" s="26">
        <f>(F117*(1+D118)-F117*($C$5/12)+E118)-$C$8</f>
        <v>28121668.342188694</v>
      </c>
      <c r="G118" s="139">
        <f t="shared" si="13"/>
        <v>28197977.981691029</v>
      </c>
      <c r="H118" s="140">
        <f t="shared" si="10"/>
        <v>-2.7062096279344304E-3</v>
      </c>
    </row>
    <row r="119" spans="2:8" x14ac:dyDescent="0.2">
      <c r="B119">
        <f t="shared" si="11"/>
        <v>105</v>
      </c>
      <c r="C119" s="3">
        <f>Project_Page_3!A108</f>
        <v>41180</v>
      </c>
      <c r="D119" s="131">
        <f>Project_Page_4_TRC!G108</f>
        <v>1.6411036825738447E-2</v>
      </c>
      <c r="E119" s="26">
        <f t="shared" si="12"/>
        <v>0</v>
      </c>
      <c r="F119" s="26">
        <f>(F118*(1+D119)-F118*($C$5/12)+E119)-$C$8</f>
        <v>28536304.629716571</v>
      </c>
      <c r="G119" s="139">
        <f t="shared" si="13"/>
        <v>28536304.629716571</v>
      </c>
      <c r="H119" s="140">
        <f t="shared" si="10"/>
        <v>0</v>
      </c>
    </row>
    <row r="120" spans="2:8" x14ac:dyDescent="0.2">
      <c r="B120">
        <f t="shared" si="11"/>
        <v>106</v>
      </c>
      <c r="C120" s="3">
        <f>Project_Page_3!A109</f>
        <v>41213</v>
      </c>
      <c r="D120" s="131">
        <f>Project_Page_4_TRC!G109</f>
        <v>-2.3945232935379968E-2</v>
      </c>
      <c r="E120" s="26">
        <f t="shared" si="12"/>
        <v>0</v>
      </c>
      <c r="F120" s="26">
        <f>(F119*(1+D120)-F119*($C$5/12)+E120)-$C$8</f>
        <v>27805435.660526853</v>
      </c>
      <c r="G120" s="139">
        <f t="shared" si="13"/>
        <v>28536304.629716571</v>
      </c>
      <c r="H120" s="140">
        <f t="shared" si="10"/>
        <v>-2.5611899602046597E-2</v>
      </c>
    </row>
    <row r="121" spans="2:8" x14ac:dyDescent="0.2">
      <c r="B121">
        <f t="shared" si="11"/>
        <v>107</v>
      </c>
      <c r="C121" s="3">
        <f>Project_Page_3!A110</f>
        <v>41243</v>
      </c>
      <c r="D121" s="131">
        <f>Project_Page_4_TRC!G110</f>
        <v>9.7934294880130182E-3</v>
      </c>
      <c r="E121" s="26">
        <f t="shared" si="12"/>
        <v>0</v>
      </c>
      <c r="F121" s="26">
        <f>(F120*(1+D121)-F120*($C$5/12)+E121)-$C$8</f>
        <v>28031403.841284163</v>
      </c>
      <c r="G121" s="139">
        <f t="shared" si="13"/>
        <v>28536304.629716571</v>
      </c>
      <c r="H121" s="140">
        <f t="shared" si="10"/>
        <v>-1.7693278614170124E-2</v>
      </c>
    </row>
    <row r="122" spans="2:8" x14ac:dyDescent="0.2">
      <c r="B122">
        <f t="shared" si="11"/>
        <v>108</v>
      </c>
      <c r="C122" s="3">
        <f>Project_Page_3!A111</f>
        <v>41274</v>
      </c>
      <c r="D122" s="131">
        <f>Project_Page_4_TRC!G111</f>
        <v>-1.2020169874604292E-3</v>
      </c>
      <c r="E122" s="26">
        <f t="shared" si="12"/>
        <v>0</v>
      </c>
      <c r="F122" s="26">
        <f>(F121*(1+D122)-F121*($C$5/12)+E122)-$C$8</f>
        <v>27950990.611282438</v>
      </c>
      <c r="G122" s="139">
        <f t="shared" si="13"/>
        <v>28536304.629716571</v>
      </c>
      <c r="H122" s="140">
        <f t="shared" si="10"/>
        <v>-2.0511205849148759E-2</v>
      </c>
    </row>
    <row r="123" spans="2:8" x14ac:dyDescent="0.2">
      <c r="B123">
        <f t="shared" si="11"/>
        <v>109</v>
      </c>
      <c r="C123" s="3">
        <f>Project_Page_3!A112</f>
        <v>41305</v>
      </c>
      <c r="D123" s="131">
        <f>Project_Page_4_TRC!G112</f>
        <v>2.8293845325180274E-3</v>
      </c>
      <c r="E123" s="26">
        <f t="shared" si="12"/>
        <v>0</v>
      </c>
      <c r="F123" s="26">
        <f>(F122*(1+D123)-F122*($C$5/12)+E123)-$C$8</f>
        <v>27983489.727434419</v>
      </c>
      <c r="G123" s="139">
        <f t="shared" si="13"/>
        <v>28536304.629716571</v>
      </c>
      <c r="H123" s="140">
        <f t="shared" si="10"/>
        <v>-1.9372336728788384E-2</v>
      </c>
    </row>
    <row r="124" spans="2:8" x14ac:dyDescent="0.2">
      <c r="B124">
        <f t="shared" si="11"/>
        <v>110</v>
      </c>
      <c r="C124" s="3">
        <f>Project_Page_3!A113</f>
        <v>41333</v>
      </c>
      <c r="D124" s="131">
        <f>Project_Page_4_TRC!G113</f>
        <v>-2.4430230618983305E-3</v>
      </c>
      <c r="E124" s="26">
        <f t="shared" si="12"/>
        <v>0</v>
      </c>
      <c r="F124" s="26">
        <f>(F123*(1+D124)-F123*($C$5/12)+E124)-$C$8</f>
        <v>27868486.267132174</v>
      </c>
      <c r="G124" s="139">
        <f t="shared" si="13"/>
        <v>28536304.629716571</v>
      </c>
      <c r="H124" s="140">
        <f t="shared" si="10"/>
        <v>-2.3402412164080899E-2</v>
      </c>
    </row>
    <row r="125" spans="2:8" x14ac:dyDescent="0.2">
      <c r="B125">
        <f t="shared" si="11"/>
        <v>111</v>
      </c>
      <c r="C125" s="3">
        <f>Project_Page_3!A114</f>
        <v>41362</v>
      </c>
      <c r="D125" s="131">
        <f>Project_Page_4_TRC!G114</f>
        <v>2.9086154644590127E-3</v>
      </c>
      <c r="E125" s="26">
        <f t="shared" si="12"/>
        <v>0</v>
      </c>
      <c r="F125" s="26">
        <f>(F124*(1+D125)-F124*($C$5/12)+E125)-$C$8</f>
        <v>27903097.500147935</v>
      </c>
      <c r="G125" s="139">
        <f t="shared" si="13"/>
        <v>28536304.629716571</v>
      </c>
      <c r="H125" s="140">
        <f t="shared" si="10"/>
        <v>-2.2189527963941053E-2</v>
      </c>
    </row>
    <row r="126" spans="2:8" x14ac:dyDescent="0.2">
      <c r="B126">
        <f t="shared" si="11"/>
        <v>112</v>
      </c>
      <c r="C126" s="3">
        <f>Project_Page_3!A115</f>
        <v>41394</v>
      </c>
      <c r="D126" s="131">
        <f>Project_Page_4_TRC!G115</f>
        <v>1.0524927581448565E-3</v>
      </c>
      <c r="E126" s="26">
        <f t="shared" si="12"/>
        <v>0</v>
      </c>
      <c r="F126" s="26">
        <f>(F125*(1+D126)-F125*($C$5/12)+E126)-$C$8</f>
        <v>27885960.145696402</v>
      </c>
      <c r="G126" s="139">
        <f t="shared" si="13"/>
        <v>28536304.629716571</v>
      </c>
      <c r="H126" s="140">
        <f t="shared" si="10"/>
        <v>-2.279007364334508E-2</v>
      </c>
    </row>
    <row r="127" spans="2:8" x14ac:dyDescent="0.2">
      <c r="B127">
        <f t="shared" si="11"/>
        <v>113</v>
      </c>
      <c r="C127" s="3">
        <f>Project_Page_3!A116</f>
        <v>41425</v>
      </c>
      <c r="D127" s="131">
        <f>Project_Page_4_TRC!G116</f>
        <v>-7.4693069083886683E-3</v>
      </c>
      <c r="E127" s="26">
        <f t="shared" si="12"/>
        <v>0</v>
      </c>
      <c r="F127" s="26">
        <f>(F126*(1+D127)-F126*($C$5/12)+E127)-$C$8</f>
        <v>27631194.750690274</v>
      </c>
      <c r="G127" s="139">
        <f t="shared" si="13"/>
        <v>28536304.629716571</v>
      </c>
      <c r="H127" s="140">
        <f t="shared" si="10"/>
        <v>-3.1717837707821217E-2</v>
      </c>
    </row>
    <row r="128" spans="2:8" x14ac:dyDescent="0.2">
      <c r="B128">
        <f t="shared" si="11"/>
        <v>114</v>
      </c>
      <c r="C128" s="3">
        <f>Project_Page_3!A117</f>
        <v>41453</v>
      </c>
      <c r="D128" s="131">
        <f>Project_Page_4_TRC!G117</f>
        <v>-3.2626757318286896E-2</v>
      </c>
      <c r="E128" s="26">
        <f t="shared" si="12"/>
        <v>0</v>
      </c>
      <c r="F128" s="26">
        <f>(F127*(1+D128)-F127*($C$5/12)+E128)-$C$8</f>
        <v>26683626.473894026</v>
      </c>
      <c r="G128" s="139">
        <f t="shared" si="13"/>
        <v>28536304.629716571</v>
      </c>
      <c r="H128" s="140">
        <f t="shared" si="10"/>
        <v>-6.4923548436374628E-2</v>
      </c>
    </row>
    <row r="129" spans="2:8" x14ac:dyDescent="0.2">
      <c r="B129">
        <f t="shared" si="11"/>
        <v>115</v>
      </c>
      <c r="C129" s="3">
        <f>Project_Page_3!A118</f>
        <v>41486</v>
      </c>
      <c r="D129" s="131">
        <f>Project_Page_4_TRC!G118</f>
        <v>1.0932412334329648E-2</v>
      </c>
      <c r="E129" s="26">
        <f t="shared" si="12"/>
        <v>0</v>
      </c>
      <c r="F129" s="26">
        <f>(F128*(1+D129)-F128*($C$5/12)+E129)-$C$8</f>
        <v>26930870.17029205</v>
      </c>
      <c r="G129" s="139">
        <f t="shared" si="13"/>
        <v>28536304.629716571</v>
      </c>
      <c r="H129" s="140">
        <f t="shared" si="10"/>
        <v>-5.6259367856365192E-2</v>
      </c>
    </row>
    <row r="130" spans="2:8" x14ac:dyDescent="0.2">
      <c r="B130">
        <f t="shared" si="11"/>
        <v>116</v>
      </c>
      <c r="C130" s="3">
        <f>Project_Page_3!A119</f>
        <v>41516</v>
      </c>
      <c r="D130" s="131">
        <f>Project_Page_4_TRC!G119</f>
        <v>-4.1502483126255631E-3</v>
      </c>
      <c r="E130" s="26">
        <f t="shared" si="12"/>
        <v>0</v>
      </c>
      <c r="F130" s="26">
        <f>(F129*(1+D130)-F129*($C$5/12)+E130)-$C$8</f>
        <v>26774215.588193104</v>
      </c>
      <c r="G130" s="139">
        <f t="shared" si="13"/>
        <v>28536304.629716571</v>
      </c>
      <c r="H130" s="140">
        <f t="shared" si="10"/>
        <v>-6.1749026876048219E-2</v>
      </c>
    </row>
    <row r="131" spans="2:8" x14ac:dyDescent="0.2">
      <c r="B131">
        <f t="shared" si="11"/>
        <v>117</v>
      </c>
      <c r="C131" s="3">
        <f>Project_Page_3!A120</f>
        <v>41547</v>
      </c>
      <c r="D131" s="131">
        <f>Project_Page_4_TRC!G120</f>
        <v>1.6247645439350394E-2</v>
      </c>
      <c r="E131" s="26">
        <f t="shared" si="12"/>
        <v>0</v>
      </c>
      <c r="F131" s="26">
        <f>(F130*(1+D131)-F130*($C$5/12)+E131)-$C$8</f>
        <v>27164609.857339803</v>
      </c>
      <c r="G131" s="139">
        <f t="shared" si="13"/>
        <v>28536304.629716571</v>
      </c>
      <c r="H131" s="140">
        <f t="shared" si="10"/>
        <v>-4.8068409353478093E-2</v>
      </c>
    </row>
    <row r="132" spans="2:8" x14ac:dyDescent="0.2">
      <c r="B132">
        <f t="shared" si="11"/>
        <v>118</v>
      </c>
      <c r="C132" s="3">
        <f>Project_Page_3!A121</f>
        <v>41578</v>
      </c>
      <c r="D132" s="131">
        <f>Project_Page_4_TRC!G121</f>
        <v>1.5112062285385435E-2</v>
      </c>
      <c r="E132" s="26">
        <f t="shared" si="12"/>
        <v>0</v>
      </c>
      <c r="F132" s="26">
        <f>(F131*(1+D132)-F131*($C$5/12)+E132)-$C$8</f>
        <v>27529848.783699885</v>
      </c>
      <c r="G132" s="139">
        <f t="shared" si="13"/>
        <v>28536304.629716571</v>
      </c>
      <c r="H132" s="140">
        <f t="shared" si="10"/>
        <v>-3.5269312515279337E-2</v>
      </c>
    </row>
    <row r="133" spans="2:8" x14ac:dyDescent="0.2">
      <c r="B133">
        <f t="shared" si="11"/>
        <v>119</v>
      </c>
      <c r="C133" s="3">
        <f>Project_Page_3!A122</f>
        <v>41607</v>
      </c>
      <c r="D133" s="131">
        <f>Project_Page_4_TRC!G122</f>
        <v>-1.1079539506757834E-3</v>
      </c>
      <c r="E133" s="26">
        <f t="shared" si="12"/>
        <v>0</v>
      </c>
      <c r="F133" s="26">
        <f>(F132*(1+D133)-F132*($C$5/12)+E133)-$C$8</f>
        <v>27453463.89767231</v>
      </c>
      <c r="G133" s="139">
        <f t="shared" si="13"/>
        <v>28536304.629716571</v>
      </c>
      <c r="H133" s="140">
        <f t="shared" si="10"/>
        <v>-3.7946074170957432E-2</v>
      </c>
    </row>
    <row r="134" spans="2:8" x14ac:dyDescent="0.2">
      <c r="B134">
        <f t="shared" si="11"/>
        <v>120</v>
      </c>
      <c r="C134" s="3">
        <f>Project_Page_3!A123</f>
        <v>41639</v>
      </c>
      <c r="D134" s="131">
        <f>Project_Page_4_TRC!G123</f>
        <v>6.9654199865741787E-3</v>
      </c>
      <c r="E134" s="26">
        <f t="shared" si="12"/>
        <v>0</v>
      </c>
      <c r="F134" s="26">
        <f>(F133*(1+D134)-F133*($C$5/12)+E134)-$C$8</f>
        <v>27598933.030643061</v>
      </c>
      <c r="G134" s="139">
        <f t="shared" si="13"/>
        <v>28536304.629716571</v>
      </c>
      <c r="H134" s="140">
        <f t="shared" si="10"/>
        <v>-3.2848387737540799E-2</v>
      </c>
    </row>
    <row r="135" spans="2:8" x14ac:dyDescent="0.2">
      <c r="B135" s="24" t="s">
        <v>332</v>
      </c>
    </row>
    <row r="136" spans="2:8" x14ac:dyDescent="0.2">
      <c r="B136" s="24" t="s">
        <v>304</v>
      </c>
      <c r="E136" s="41" t="s">
        <v>331</v>
      </c>
    </row>
    <row r="137" spans="2:8" x14ac:dyDescent="0.2">
      <c r="B137" s="129" t="s">
        <v>305</v>
      </c>
      <c r="C137" s="130">
        <f>F14</f>
        <v>18000000</v>
      </c>
      <c r="E137" t="s">
        <v>305</v>
      </c>
      <c r="F137" s="26">
        <v>18000000</v>
      </c>
    </row>
    <row r="138" spans="2:8" x14ac:dyDescent="0.2">
      <c r="B138" s="129" t="s">
        <v>306</v>
      </c>
      <c r="C138" s="130">
        <f>F134</f>
        <v>27598933.030643061</v>
      </c>
      <c r="E138" t="s">
        <v>306</v>
      </c>
      <c r="F138" s="26">
        <v>27149734.819668233</v>
      </c>
    </row>
    <row r="139" spans="2:8" x14ac:dyDescent="0.2">
      <c r="B139" s="129" t="s">
        <v>307</v>
      </c>
      <c r="C139" s="134">
        <f>F134/F14-1</f>
        <v>0.53327405725794774</v>
      </c>
      <c r="E139" t="s">
        <v>307</v>
      </c>
      <c r="F139" s="39">
        <v>0.50831860109267968</v>
      </c>
    </row>
    <row r="140" spans="2:8" x14ac:dyDescent="0.2">
      <c r="B140" s="129" t="s">
        <v>308</v>
      </c>
      <c r="C140" s="134">
        <f>(F134/F14)^(1/10)-1</f>
        <v>4.3667065243884418E-2</v>
      </c>
      <c r="E140" t="s">
        <v>308</v>
      </c>
      <c r="F140" s="39">
        <v>4.1955829294677338E-2</v>
      </c>
    </row>
    <row r="141" spans="2:8" x14ac:dyDescent="0.2">
      <c r="B141" s="129" t="s">
        <v>309</v>
      </c>
      <c r="C141" s="131" cm="1">
        <f t="array" ref="C141">GEOMEAN(1+D15:D134)-1</f>
        <v>4.8313146986851407E-3</v>
      </c>
      <c r="E141" t="s">
        <v>309</v>
      </c>
      <c r="F141" s="56">
        <v>5.280111063700188E-3</v>
      </c>
    </row>
    <row r="142" spans="2:8" x14ac:dyDescent="0.2">
      <c r="B142" s="129" t="s">
        <v>310</v>
      </c>
      <c r="C142" s="134">
        <f>(1+C141)^12-1</f>
        <v>5.954140342232761E-2</v>
      </c>
      <c r="E142" t="s">
        <v>310</v>
      </c>
      <c r="F142" s="39">
        <v>6.5234158184678703E-2</v>
      </c>
    </row>
    <row r="143" spans="2:8" x14ac:dyDescent="0.2">
      <c r="B143" s="129" t="s">
        <v>311</v>
      </c>
      <c r="C143" s="131">
        <f>STDEV(D15:D134)</f>
        <v>1.835007590697104E-2</v>
      </c>
      <c r="E143" t="s">
        <v>311</v>
      </c>
      <c r="F143" s="56">
        <v>1.6970707955759928E-2</v>
      </c>
    </row>
    <row r="144" spans="2:8" x14ac:dyDescent="0.2">
      <c r="B144" s="129" t="s">
        <v>312</v>
      </c>
      <c r="C144" s="134">
        <f>C143*SQRT(12)</f>
        <v>6.3566527587238769E-2</v>
      </c>
      <c r="E144" t="s">
        <v>312</v>
      </c>
      <c r="F144" s="39">
        <v>5.8788256839579105E-2</v>
      </c>
    </row>
    <row r="145" spans="2:6" x14ac:dyDescent="0.2">
      <c r="B145" s="129" t="s">
        <v>313</v>
      </c>
      <c r="C145" s="131">
        <f>MIN(D15:D134)</f>
        <v>-8.8834820430874067E-2</v>
      </c>
      <c r="E145" t="s">
        <v>313</v>
      </c>
      <c r="F145" s="56">
        <v>-8.4775619495385271E-2</v>
      </c>
    </row>
    <row r="146" spans="2:6" x14ac:dyDescent="0.2">
      <c r="B146" s="129" t="s">
        <v>314</v>
      </c>
      <c r="C146" s="131">
        <f>MAX(D15:D134)</f>
        <v>5.7878392274673347E-2</v>
      </c>
      <c r="E146" t="s">
        <v>314</v>
      </c>
      <c r="F146" s="56">
        <v>5.604092344724057E-2</v>
      </c>
    </row>
    <row r="147" spans="2:6" x14ac:dyDescent="0.2">
      <c r="B147" s="129" t="s">
        <v>92</v>
      </c>
      <c r="C147" s="134">
        <f>MIN(H15:H134)</f>
        <v>-0.17654554788349158</v>
      </c>
      <c r="E147" t="s">
        <v>92</v>
      </c>
      <c r="F147" s="39">
        <v>-0.14918511362150089</v>
      </c>
    </row>
    <row r="148" spans="2:6" x14ac:dyDescent="0.2">
      <c r="B148" t="s">
        <v>317</v>
      </c>
      <c r="C148" s="145" cm="1">
        <f t="array" ref="C148">SQRT(SUMPRODUCT((D15:D134&lt;0)*D15:D134^2)/60)*SQRT(12)</f>
        <v>5.9023855316344458E-2</v>
      </c>
      <c r="E148" t="s">
        <v>317</v>
      </c>
      <c r="F148">
        <v>5.4128694423512737E-2</v>
      </c>
    </row>
    <row r="149" spans="2:6" x14ac:dyDescent="0.2">
      <c r="B149" t="s">
        <v>318</v>
      </c>
      <c r="C149">
        <f>C142/C148</f>
        <v>1.0087684564691564</v>
      </c>
      <c r="E149" t="s">
        <v>318</v>
      </c>
      <c r="F149">
        <v>1.2051677743097737</v>
      </c>
    </row>
    <row r="150" spans="2:6" x14ac:dyDescent="0.2">
      <c r="B150" t="s">
        <v>319</v>
      </c>
      <c r="C150" cm="1">
        <f t="array" ref="C150">SUMPRODUCT((D15:D134&gt;(1.0602^(1/12)-1))*((D15:D134-(1.0602^(1/12)-1))))/SUMPRODUCT((D15:D134&lt;(1.0602^(1/12)-1))*((1.0602^(1/12)-1)-D15:D134))</f>
        <v>1.0178259795465348</v>
      </c>
      <c r="E150" t="s">
        <v>319</v>
      </c>
      <c r="F150">
        <v>1.0929482207926735</v>
      </c>
    </row>
    <row r="151" spans="2:6" x14ac:dyDescent="0.2">
      <c r="B151" t="s">
        <v>320</v>
      </c>
      <c r="C151" cm="1">
        <f t="array" ref="C151">SQRT(SUMPRODUCT(H15:H134^2)/60)</f>
        <v>6.0304105106973926E-2</v>
      </c>
      <c r="E151" t="s">
        <v>320</v>
      </c>
      <c r="F151">
        <v>5.3778600351112725E-2</v>
      </c>
    </row>
    <row r="152" spans="2:6" x14ac:dyDescent="0.2">
      <c r="B152" t="s">
        <v>321</v>
      </c>
      <c r="C152" cm="1">
        <f t="array" ref="C152">(C142-((GEOMEAN(1+Factors!AB4:AB123)^12)-1))/C151</f>
        <v>0.72367532741569562</v>
      </c>
      <c r="E152" t="s">
        <v>321</v>
      </c>
      <c r="F152">
        <v>0.9173416088938845</v>
      </c>
    </row>
    <row r="153" spans="2:6" x14ac:dyDescent="0.2">
      <c r="B153" t="s">
        <v>324</v>
      </c>
      <c r="C153">
        <f>(C141 - AVERAGE(Factors!AB4:AB123)) / C143</f>
        <v>0.19153060286359044</v>
      </c>
      <c r="E153" t="s">
        <v>324</v>
      </c>
      <c r="F153">
        <v>0.23354343710361614</v>
      </c>
    </row>
    <row r="154" spans="2:6" x14ac:dyDescent="0.2">
      <c r="B154" t="s">
        <v>325</v>
      </c>
      <c r="C154">
        <f>C153 *SQRT(12)</f>
        <v>0.66348147072807151</v>
      </c>
      <c r="E154" t="s">
        <v>325</v>
      </c>
      <c r="F154">
        <v>0.80901819767545924</v>
      </c>
    </row>
    <row r="155" spans="2:6" x14ac:dyDescent="0.2">
      <c r="B155" s="31" t="s">
        <v>88</v>
      </c>
      <c r="C155" s="39">
        <f>_xlfn.PERCENTILE.INC(D15:D134, 0.05)</f>
        <v>-2.4006284145373147E-2</v>
      </c>
      <c r="E155" t="s">
        <v>88</v>
      </c>
      <c r="F155">
        <v>-1.9082395174384488E-2</v>
      </c>
    </row>
    <row r="156" spans="2:6" x14ac:dyDescent="0.2">
      <c r="B156" s="31" t="s">
        <v>162</v>
      </c>
      <c r="C156" s="150">
        <f>_xlfn.PERCENTILE.INC(D15:D134, 0.01)</f>
        <v>-4.6022991689495203E-2</v>
      </c>
      <c r="E156" t="s">
        <v>162</v>
      </c>
      <c r="F156">
        <v>-4.0939558567458845E-2</v>
      </c>
    </row>
    <row r="157" spans="2:6" x14ac:dyDescent="0.2">
      <c r="B157" s="31" t="s">
        <v>89</v>
      </c>
      <c r="C157" s="39">
        <f>AVERAGEIF(D15:D134, "&lt;="&amp;C155)</f>
        <v>-4.3283449348953736E-2</v>
      </c>
      <c r="E157" t="s">
        <v>89</v>
      </c>
      <c r="F157">
        <v>-4.1070162738610201E-2</v>
      </c>
    </row>
    <row r="158" spans="2:6" x14ac:dyDescent="0.2">
      <c r="B158" s="31" t="s">
        <v>163</v>
      </c>
      <c r="C158" s="151">
        <f>AVERAGEIF(D15:D134, "&lt;="&amp;C156)</f>
        <v>-6.8391883681878637E-2</v>
      </c>
      <c r="E158" t="s">
        <v>163</v>
      </c>
      <c r="F158">
        <v>-6.2981218430371411E-2</v>
      </c>
    </row>
  </sheetData>
  <pageMargins left="0.7" right="0.7" top="0.75" bottom="0.75" header="0.3" footer="0.3"/>
  <pageSetup orientation="portrait" horizontalDpi="0" verticalDpi="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D68B7-2AFA-EA47-A370-7616209549DE}">
  <sheetPr>
    <tabColor theme="0"/>
  </sheetPr>
  <dimension ref="B2:O156"/>
  <sheetViews>
    <sheetView showGridLines="0" zoomScaleNormal="100" workbookViewId="0">
      <selection activeCell="C138" sqref="C138"/>
    </sheetView>
  </sheetViews>
  <sheetFormatPr baseColWidth="10" defaultColWidth="10.83203125" defaultRowHeight="15" x14ac:dyDescent="0.2"/>
  <cols>
    <col min="1" max="1" width="14" bestFit="1" customWidth="1"/>
    <col min="2" max="2" width="44.5" bestFit="1" customWidth="1"/>
    <col min="3" max="3" width="14.83203125" bestFit="1" customWidth="1"/>
    <col min="4" max="4" width="12.33203125" bestFit="1" customWidth="1"/>
    <col min="5" max="5" width="34.33203125" bestFit="1" customWidth="1"/>
    <col min="6" max="6" width="18.33203125" bestFit="1" customWidth="1"/>
    <col min="7" max="7" width="12.1640625" bestFit="1" customWidth="1"/>
    <col min="9" max="9" width="13.6640625" bestFit="1" customWidth="1"/>
  </cols>
  <sheetData>
    <row r="2" spans="2:9" x14ac:dyDescent="0.2">
      <c r="B2" s="24" t="s">
        <v>160</v>
      </c>
    </row>
    <row r="3" spans="2:9" x14ac:dyDescent="0.2">
      <c r="B3" s="24" t="s">
        <v>183</v>
      </c>
      <c r="C3" s="64">
        <f>Project_Page_3!I4</f>
        <v>6.2135223855345645E-2</v>
      </c>
      <c r="D3" t="s">
        <v>184</v>
      </c>
    </row>
    <row r="4" spans="2:9" x14ac:dyDescent="0.2">
      <c r="B4" s="24" t="s">
        <v>161</v>
      </c>
      <c r="C4" s="27">
        <v>18000000</v>
      </c>
    </row>
    <row r="5" spans="2:9" x14ac:dyDescent="0.2">
      <c r="B5" t="s">
        <v>185</v>
      </c>
      <c r="C5" s="32">
        <v>0.02</v>
      </c>
    </row>
    <row r="6" spans="2:9" x14ac:dyDescent="0.2">
      <c r="B6" s="24" t="s">
        <v>300</v>
      </c>
      <c r="C6" s="133">
        <v>200000</v>
      </c>
      <c r="D6" s="129" t="s">
        <v>301</v>
      </c>
    </row>
    <row r="7" spans="2:9" x14ac:dyDescent="0.2">
      <c r="B7" s="24" t="s">
        <v>302</v>
      </c>
      <c r="C7" s="132">
        <v>60</v>
      </c>
      <c r="D7" s="129" t="s">
        <v>303</v>
      </c>
    </row>
    <row r="9" spans="2:9" x14ac:dyDescent="0.2">
      <c r="B9" s="24" t="s">
        <v>295</v>
      </c>
    </row>
    <row r="11" spans="2:9" x14ac:dyDescent="0.2">
      <c r="B11" s="25" t="s">
        <v>296</v>
      </c>
      <c r="C11" s="25" t="s">
        <v>65</v>
      </c>
      <c r="D11" s="25" t="s">
        <v>297</v>
      </c>
      <c r="E11" s="25" t="s">
        <v>159</v>
      </c>
      <c r="F11" s="25" t="s">
        <v>298</v>
      </c>
      <c r="G11" s="137" t="s">
        <v>315</v>
      </c>
      <c r="H11" s="137" t="s">
        <v>316</v>
      </c>
    </row>
    <row r="12" spans="2:9" x14ac:dyDescent="0.2">
      <c r="B12" s="135">
        <v>0</v>
      </c>
      <c r="C12" s="135" t="s">
        <v>299</v>
      </c>
      <c r="E12" s="130">
        <v>0</v>
      </c>
      <c r="F12" s="130">
        <f>C4</f>
        <v>18000000</v>
      </c>
      <c r="G12" s="139">
        <f>F12</f>
        <v>18000000</v>
      </c>
      <c r="H12" s="138">
        <v>0</v>
      </c>
      <c r="I12" s="26"/>
    </row>
    <row r="13" spans="2:9" x14ac:dyDescent="0.2">
      <c r="B13" s="135">
        <f t="shared" ref="B13:B44" si="0">B12+1</f>
        <v>1</v>
      </c>
      <c r="C13" s="136">
        <f>Project_Page_3!A4</f>
        <v>38016</v>
      </c>
      <c r="D13" s="131">
        <f>Project_Page_5_TRC!G4</f>
        <v>1.0918001696506183E-2</v>
      </c>
      <c r="E13" s="130">
        <f t="shared" ref="E13:E44" si="1">IF(B13&lt;=$C$7,$C$6/12,0)</f>
        <v>16666.666666666668</v>
      </c>
      <c r="F13" s="130">
        <f>F12*(1+D13)-F12*($C$5/12)+E13-Project_Page_6_MVO!$C$8</f>
        <v>18183190.697203781</v>
      </c>
      <c r="G13" s="139">
        <f t="shared" ref="G13:G44" si="2">MAX(G12,F13)</f>
        <v>18183190.697203781</v>
      </c>
      <c r="H13" s="140">
        <f>(F13-G13)/G13</f>
        <v>0</v>
      </c>
    </row>
    <row r="14" spans="2:9" x14ac:dyDescent="0.2">
      <c r="B14">
        <f t="shared" si="0"/>
        <v>2</v>
      </c>
      <c r="C14" s="3">
        <f>Project_Page_3!A5</f>
        <v>38044</v>
      </c>
      <c r="D14" s="131">
        <f>Project_Page_5_TRC!G5</f>
        <v>1.5480209974699174E-2</v>
      </c>
      <c r="E14" s="26">
        <f t="shared" si="1"/>
        <v>16666.666666666668</v>
      </c>
      <c r="F14" s="130">
        <f>F13*(1+D14)-F13*($C$5/12)+E14-Project_Page_6_MVO!$C$8</f>
        <v>18451031.656044487</v>
      </c>
      <c r="G14" s="139">
        <f t="shared" si="2"/>
        <v>18451031.656044487</v>
      </c>
      <c r="H14" s="140">
        <f t="shared" ref="H14:H77" si="3">(F14-G14)/G14</f>
        <v>0</v>
      </c>
    </row>
    <row r="15" spans="2:9" x14ac:dyDescent="0.2">
      <c r="B15">
        <f t="shared" si="0"/>
        <v>3</v>
      </c>
      <c r="C15" s="3">
        <f>Project_Page_3!A6</f>
        <v>38077</v>
      </c>
      <c r="D15" s="131">
        <f>Project_Page_5_TRC!G6</f>
        <v>6.0237036608144093E-3</v>
      </c>
      <c r="E15" s="26">
        <f t="shared" si="1"/>
        <v>16666.666666666668</v>
      </c>
      <c r="F15" s="130">
        <f>F14*(1+D15)-F14*($C$5/12)+E15-Project_Page_6_MVO!$C$8</f>
        <v>18548090.150216732</v>
      </c>
      <c r="G15" s="139">
        <f t="shared" si="2"/>
        <v>18548090.150216732</v>
      </c>
      <c r="H15" s="140">
        <f t="shared" si="3"/>
        <v>0</v>
      </c>
    </row>
    <row r="16" spans="2:9" x14ac:dyDescent="0.2">
      <c r="B16">
        <f t="shared" si="0"/>
        <v>4</v>
      </c>
      <c r="C16" s="3">
        <f>Project_Page_3!A7</f>
        <v>38107</v>
      </c>
      <c r="D16" s="131">
        <f>Project_Page_5_TRC!G7</f>
        <v>-3.1556261788050835E-2</v>
      </c>
      <c r="E16" s="26">
        <f t="shared" si="1"/>
        <v>16666.666666666668</v>
      </c>
      <c r="F16" s="130">
        <f>F15*(1+D16)-F15*($C$5/12)+E16-Project_Page_6_MVO!$C$8</f>
        <v>17948534.944851097</v>
      </c>
      <c r="G16" s="139">
        <f t="shared" si="2"/>
        <v>18548090.150216732</v>
      </c>
      <c r="H16" s="140">
        <f t="shared" si="3"/>
        <v>-3.2324363344688065E-2</v>
      </c>
    </row>
    <row r="17" spans="2:8" x14ac:dyDescent="0.2">
      <c r="B17">
        <f t="shared" si="0"/>
        <v>5</v>
      </c>
      <c r="C17" s="3">
        <f>Project_Page_3!A8</f>
        <v>38138</v>
      </c>
      <c r="D17" s="131">
        <f>Project_Page_5_TRC!G8</f>
        <v>6.5182827881648774E-3</v>
      </c>
      <c r="E17" s="26">
        <f t="shared" si="1"/>
        <v>16666.666666666668</v>
      </c>
      <c r="F17" s="130">
        <f>F16*(1+D17)-F16*($C$5/12)+E17-Project_Page_6_MVO!$C$8</f>
        <v>18052281.013013482</v>
      </c>
      <c r="G17" s="139">
        <f t="shared" si="2"/>
        <v>18548090.150216732</v>
      </c>
      <c r="H17" s="140">
        <f t="shared" si="3"/>
        <v>-2.6731007515480326E-2</v>
      </c>
    </row>
    <row r="18" spans="2:8" x14ac:dyDescent="0.2">
      <c r="B18">
        <f t="shared" si="0"/>
        <v>6</v>
      </c>
      <c r="C18" s="3">
        <f>Project_Page_3!A9</f>
        <v>38168</v>
      </c>
      <c r="D18" s="131">
        <f>Project_Page_5_TRC!G9</f>
        <v>4.9460297589957441E-3</v>
      </c>
      <c r="E18" s="26">
        <f t="shared" si="1"/>
        <v>16666.666666666668</v>
      </c>
      <c r="F18" s="130">
        <f>F17*(1+D18)-F17*($C$5/12)+E18-Project_Page_6_MVO!$C$8</f>
        <v>18128147.663766582</v>
      </c>
      <c r="G18" s="139">
        <f t="shared" si="2"/>
        <v>18548090.150216732</v>
      </c>
      <c r="H18" s="140">
        <f t="shared" si="3"/>
        <v>-2.2640739992588598E-2</v>
      </c>
    </row>
    <row r="19" spans="2:8" x14ac:dyDescent="0.2">
      <c r="B19">
        <f t="shared" si="0"/>
        <v>7</v>
      </c>
      <c r="C19" s="3">
        <f>Project_Page_3!A10</f>
        <v>38198</v>
      </c>
      <c r="D19" s="131">
        <f>Project_Page_5_TRC!G10</f>
        <v>1.753461463717014E-3</v>
      </c>
      <c r="E19" s="26">
        <f t="shared" si="1"/>
        <v>16666.666666666668</v>
      </c>
      <c r="F19" s="130">
        <f>F18*(1+D19)-F18*($C$5/12)+E19-Project_Page_6_MVO!$C$8</f>
        <v>18146387.759330623</v>
      </c>
      <c r="G19" s="139">
        <f t="shared" si="2"/>
        <v>18548090.150216732</v>
      </c>
      <c r="H19" s="140">
        <f t="shared" si="3"/>
        <v>-2.1657345183941509E-2</v>
      </c>
    </row>
    <row r="20" spans="2:8" x14ac:dyDescent="0.2">
      <c r="B20">
        <f t="shared" si="0"/>
        <v>8</v>
      </c>
      <c r="C20" s="3">
        <f>Project_Page_3!A11</f>
        <v>38230</v>
      </c>
      <c r="D20" s="131">
        <f>Project_Page_5_TRC!G11</f>
        <v>5.9365723735338213E-3</v>
      </c>
      <c r="E20" s="26">
        <f t="shared" si="1"/>
        <v>16666.666666666668</v>
      </c>
      <c r="F20" s="130">
        <f>F19*(1+D20)-F19*($C$5/12)+E20-Project_Page_6_MVO!$C$8</f>
        <v>18240537.790649883</v>
      </c>
      <c r="G20" s="139">
        <f t="shared" si="2"/>
        <v>18548090.150216732</v>
      </c>
      <c r="H20" s="140">
        <f t="shared" si="3"/>
        <v>-1.658134918884115E-2</v>
      </c>
    </row>
    <row r="21" spans="2:8" x14ac:dyDescent="0.2">
      <c r="B21">
        <f t="shared" si="0"/>
        <v>9</v>
      </c>
      <c r="C21" s="3">
        <f>Project_Page_3!A12</f>
        <v>38260</v>
      </c>
      <c r="D21" s="131">
        <f>Project_Page_5_TRC!G12</f>
        <v>1.1484915708717101E-2</v>
      </c>
      <c r="E21" s="26">
        <f t="shared" si="1"/>
        <v>16666.666666666668</v>
      </c>
      <c r="F21" s="130">
        <f>F20*(1+D21)-F20*($C$5/12)+E21-Project_Page_6_MVO!$C$8</f>
        <v>18436294.600006085</v>
      </c>
      <c r="G21" s="139">
        <f t="shared" si="2"/>
        <v>18548090.150216732</v>
      </c>
      <c r="H21" s="140">
        <f t="shared" si="3"/>
        <v>-6.0273348525503563E-3</v>
      </c>
    </row>
    <row r="22" spans="2:8" x14ac:dyDescent="0.2">
      <c r="B22">
        <f t="shared" si="0"/>
        <v>10</v>
      </c>
      <c r="C22" s="3">
        <f>Project_Page_3!A13</f>
        <v>38289</v>
      </c>
      <c r="D22" s="131">
        <f>Project_Page_5_TRC!G13</f>
        <v>1.0037238758391031E-2</v>
      </c>
      <c r="E22" s="26">
        <f t="shared" si="1"/>
        <v>16666.666666666668</v>
      </c>
      <c r="F22" s="130">
        <f>F21*(1+D22)-F21*($C$5/12)+E22-Project_Page_6_MVO!$C$8</f>
        <v>18607283.599726375</v>
      </c>
      <c r="G22" s="139">
        <f t="shared" si="2"/>
        <v>18607283.599726375</v>
      </c>
      <c r="H22" s="140">
        <f t="shared" si="3"/>
        <v>0</v>
      </c>
    </row>
    <row r="23" spans="2:8" x14ac:dyDescent="0.2">
      <c r="B23">
        <f t="shared" si="0"/>
        <v>11</v>
      </c>
      <c r="C23" s="3">
        <f>Project_Page_3!A14</f>
        <v>38321</v>
      </c>
      <c r="D23" s="131">
        <f>Project_Page_5_TRC!G14</f>
        <v>1.0833217551499847E-2</v>
      </c>
      <c r="E23" s="26">
        <f t="shared" si="1"/>
        <v>16666.666666666668</v>
      </c>
      <c r="F23" s="130">
        <f>F22*(1+D23)-F22*($C$5/12)+E23-Project_Page_6_MVO!$C$8</f>
        <v>18794514.878338456</v>
      </c>
      <c r="G23" s="139">
        <f t="shared" si="2"/>
        <v>18794514.878338456</v>
      </c>
      <c r="H23" s="140">
        <f t="shared" si="3"/>
        <v>0</v>
      </c>
    </row>
    <row r="24" spans="2:8" x14ac:dyDescent="0.2">
      <c r="B24">
        <f t="shared" si="0"/>
        <v>12</v>
      </c>
      <c r="C24" s="3">
        <f>Project_Page_3!A15</f>
        <v>38352</v>
      </c>
      <c r="D24" s="131">
        <f>Project_Page_5_TRC!G15</f>
        <v>1.1719892343692299E-2</v>
      </c>
      <c r="E24" s="26">
        <f t="shared" si="1"/>
        <v>16666.666666666668</v>
      </c>
      <c r="F24" s="130">
        <f>F23*(1+D24)-F23*($C$5/12)+E24-Project_Page_6_MVO!$C$8</f>
        <v>19000127.044567276</v>
      </c>
      <c r="G24" s="139">
        <f t="shared" si="2"/>
        <v>19000127.044567276</v>
      </c>
      <c r="H24" s="140">
        <f t="shared" si="3"/>
        <v>0</v>
      </c>
    </row>
    <row r="25" spans="2:8" x14ac:dyDescent="0.2">
      <c r="B25">
        <f t="shared" si="0"/>
        <v>13</v>
      </c>
      <c r="C25" s="3">
        <f>Project_Page_3!A16</f>
        <v>38383</v>
      </c>
      <c r="D25" s="131">
        <f>Project_Page_5_TRC!G16</f>
        <v>-3.7636443994686275E-3</v>
      </c>
      <c r="E25" s="26">
        <f t="shared" si="1"/>
        <v>16666.666666666668</v>
      </c>
      <c r="F25" s="130">
        <f>F24*(1+D25)-F24*($C$5/12)+E25-Project_Page_6_MVO!$C$8</f>
        <v>18913617.111085854</v>
      </c>
      <c r="G25" s="139">
        <f t="shared" si="2"/>
        <v>19000127.044567276</v>
      </c>
      <c r="H25" s="140">
        <f t="shared" si="3"/>
        <v>-4.5531239490399717E-3</v>
      </c>
    </row>
    <row r="26" spans="2:8" x14ac:dyDescent="0.2">
      <c r="B26">
        <f t="shared" si="0"/>
        <v>14</v>
      </c>
      <c r="C26" s="3">
        <f>Project_Page_3!A17</f>
        <v>38411</v>
      </c>
      <c r="D26" s="131">
        <f>Project_Page_5_TRC!G17</f>
        <v>4.2405221792715048E-3</v>
      </c>
      <c r="E26" s="26">
        <f t="shared" si="1"/>
        <v>16666.666666666668</v>
      </c>
      <c r="F26" s="130">
        <f>F25*(1+D26)-F25*($C$5/12)+E26-Project_Page_6_MVO!$C$8</f>
        <v>18978964.695417184</v>
      </c>
      <c r="G26" s="139">
        <f t="shared" si="2"/>
        <v>19000127.044567276</v>
      </c>
      <c r="H26" s="140">
        <f t="shared" si="3"/>
        <v>-1.1138004025158547E-3</v>
      </c>
    </row>
    <row r="27" spans="2:8" x14ac:dyDescent="0.2">
      <c r="B27">
        <f t="shared" si="0"/>
        <v>15</v>
      </c>
      <c r="C27" s="3">
        <f>Project_Page_3!A18</f>
        <v>38442</v>
      </c>
      <c r="D27" s="131">
        <f>Project_Page_5_TRC!G18</f>
        <v>-3.8749211848323277E-3</v>
      </c>
      <c r="E27" s="26">
        <f t="shared" si="1"/>
        <v>16666.666666666668</v>
      </c>
      <c r="F27" s="130">
        <f>F26*(1+D27)-F26*($C$5/12)+E27-Project_Page_6_MVO!$C$8</f>
        <v>18890457.761893697</v>
      </c>
      <c r="G27" s="139">
        <f t="shared" si="2"/>
        <v>19000127.044567276</v>
      </c>
      <c r="H27" s="140">
        <f t="shared" si="3"/>
        <v>-5.7720289141401588E-3</v>
      </c>
    </row>
    <row r="28" spans="2:8" x14ac:dyDescent="0.2">
      <c r="B28">
        <f t="shared" si="0"/>
        <v>16</v>
      </c>
      <c r="C28" s="3">
        <f>Project_Page_3!A19</f>
        <v>38471</v>
      </c>
      <c r="D28" s="131">
        <f>Project_Page_5_TRC!G19</f>
        <v>1.6815902716374367E-3</v>
      </c>
      <c r="E28" s="26">
        <f t="shared" si="1"/>
        <v>16666.666666666668</v>
      </c>
      <c r="F28" s="130">
        <f>F27*(1+D28)-F27*($C$5/12)+E28-Project_Page_6_MVO!$C$8</f>
        <v>18907406.34228972</v>
      </c>
      <c r="G28" s="139">
        <f t="shared" si="2"/>
        <v>19000127.044567276</v>
      </c>
      <c r="H28" s="140">
        <f t="shared" si="3"/>
        <v>-4.8800043315535505E-3</v>
      </c>
    </row>
    <row r="29" spans="2:8" x14ac:dyDescent="0.2">
      <c r="B29">
        <f t="shared" si="0"/>
        <v>17</v>
      </c>
      <c r="C29" s="3">
        <f>Project_Page_3!A20</f>
        <v>38503</v>
      </c>
      <c r="D29" s="131">
        <f>Project_Page_5_TRC!G20</f>
        <v>1.0349153622483013E-2</v>
      </c>
      <c r="E29" s="26">
        <f t="shared" si="1"/>
        <v>16666.666666666668</v>
      </c>
      <c r="F29" s="130">
        <f>F28*(1+D29)-F28*($C$5/12)+E29-Project_Page_6_MVO!$C$8</f>
        <v>19088236.317891639</v>
      </c>
      <c r="G29" s="139">
        <f t="shared" si="2"/>
        <v>19088236.317891639</v>
      </c>
      <c r="H29" s="140">
        <f t="shared" si="3"/>
        <v>0</v>
      </c>
    </row>
    <row r="30" spans="2:8" x14ac:dyDescent="0.2">
      <c r="B30">
        <f t="shared" si="0"/>
        <v>18</v>
      </c>
      <c r="C30" s="3">
        <f>Project_Page_3!A21</f>
        <v>38533</v>
      </c>
      <c r="D30" s="131">
        <f>Project_Page_5_TRC!G21</f>
        <v>3.2748957680401717E-3</v>
      </c>
      <c r="E30" s="26">
        <f t="shared" si="1"/>
        <v>16666.666666666668</v>
      </c>
      <c r="F30" s="130">
        <f>F29*(1+D30)-F29*($C$5/12)+E30-Project_Page_6_MVO!$C$8</f>
        <v>19135601.241698638</v>
      </c>
      <c r="G30" s="139">
        <f t="shared" si="2"/>
        <v>19135601.241698638</v>
      </c>
      <c r="H30" s="140">
        <f t="shared" si="3"/>
        <v>0</v>
      </c>
    </row>
    <row r="31" spans="2:8" x14ac:dyDescent="0.2">
      <c r="B31">
        <f t="shared" si="0"/>
        <v>19</v>
      </c>
      <c r="C31" s="3">
        <f>Project_Page_3!A22</f>
        <v>38562</v>
      </c>
      <c r="D31" s="131">
        <f>Project_Page_5_TRC!G22</f>
        <v>3.4227945751371144E-3</v>
      </c>
      <c r="E31" s="26">
        <f t="shared" si="1"/>
        <v>16666.666666666668</v>
      </c>
      <c r="F31" s="130">
        <f>F30*(1+D31)-F30*($C$5/12)+E31-Project_Page_6_MVO!$C$8</f>
        <v>19185872.471751213</v>
      </c>
      <c r="G31" s="139">
        <f t="shared" si="2"/>
        <v>19185872.471751213</v>
      </c>
      <c r="H31" s="140">
        <f t="shared" si="3"/>
        <v>0</v>
      </c>
    </row>
    <row r="32" spans="2:8" x14ac:dyDescent="0.2">
      <c r="B32">
        <f t="shared" si="0"/>
        <v>20</v>
      </c>
      <c r="C32" s="3">
        <f>Project_Page_3!A23</f>
        <v>38595</v>
      </c>
      <c r="D32" s="131">
        <f>Project_Page_5_TRC!G23</f>
        <v>1.1307556162827248E-2</v>
      </c>
      <c r="E32" s="26">
        <f t="shared" si="1"/>
        <v>16666.666666666668</v>
      </c>
      <c r="F32" s="130">
        <f>F31*(1+D32)-F31*($C$5/12)+E32-Project_Page_6_MVO!$C$8</f>
        <v>19387508.014805466</v>
      </c>
      <c r="G32" s="139">
        <f t="shared" si="2"/>
        <v>19387508.014805466</v>
      </c>
      <c r="H32" s="140">
        <f t="shared" si="3"/>
        <v>0</v>
      </c>
    </row>
    <row r="33" spans="2:8" x14ac:dyDescent="0.2">
      <c r="B33">
        <f t="shared" si="0"/>
        <v>21</v>
      </c>
      <c r="C33" s="3">
        <f>Project_Page_3!A24</f>
        <v>38625</v>
      </c>
      <c r="D33" s="131">
        <f>Project_Page_5_TRC!G24</f>
        <v>3.2875680629789305E-3</v>
      </c>
      <c r="E33" s="26">
        <f t="shared" si="1"/>
        <v>16666.666666666668</v>
      </c>
      <c r="F33" s="130">
        <f>F32*(1+D33)-F32*($C$5/12)+E33-Project_Page_6_MVO!$C$8</f>
        <v>19435599.920284349</v>
      </c>
      <c r="G33" s="139">
        <f t="shared" si="2"/>
        <v>19435599.920284349</v>
      </c>
      <c r="H33" s="140">
        <f t="shared" si="3"/>
        <v>0</v>
      </c>
    </row>
    <row r="34" spans="2:8" x14ac:dyDescent="0.2">
      <c r="B34">
        <f t="shared" si="0"/>
        <v>22</v>
      </c>
      <c r="C34" s="3">
        <f>Project_Page_3!A25</f>
        <v>38656</v>
      </c>
      <c r="D34" s="131">
        <f>Project_Page_5_TRC!G25</f>
        <v>-6.1700989527141556E-3</v>
      </c>
      <c r="E34" s="26">
        <f t="shared" si="1"/>
        <v>16666.666666666668</v>
      </c>
      <c r="F34" s="130">
        <f>F33*(1+D34)-F33*($C$5/12)+E34-Project_Page_6_MVO!$C$8</f>
        <v>19299954.345703695</v>
      </c>
      <c r="G34" s="139">
        <f t="shared" si="2"/>
        <v>19435599.920284349</v>
      </c>
      <c r="H34" s="140">
        <f t="shared" si="3"/>
        <v>-6.9792327037502613E-3</v>
      </c>
    </row>
    <row r="35" spans="2:8" x14ac:dyDescent="0.2">
      <c r="B35">
        <f t="shared" si="0"/>
        <v>23</v>
      </c>
      <c r="C35" s="3">
        <f>Project_Page_3!A26</f>
        <v>38686</v>
      </c>
      <c r="D35" s="131">
        <f>Project_Page_5_TRC!G26</f>
        <v>1.4575887196254144E-2</v>
      </c>
      <c r="E35" s="26">
        <f t="shared" si="1"/>
        <v>16666.666666666668</v>
      </c>
      <c r="F35" s="130">
        <f>F34*(1+D35)-F34*($C$5/12)+E35-Project_Page_6_MVO!$C$8</f>
        <v>19565768.379230026</v>
      </c>
      <c r="G35" s="139">
        <f t="shared" si="2"/>
        <v>19565768.379230026</v>
      </c>
      <c r="H35" s="140">
        <f t="shared" si="3"/>
        <v>0</v>
      </c>
    </row>
    <row r="36" spans="2:8" x14ac:dyDescent="0.2">
      <c r="B36">
        <f t="shared" si="0"/>
        <v>24</v>
      </c>
      <c r="C36" s="3">
        <f>Project_Page_3!A27</f>
        <v>38716</v>
      </c>
      <c r="D36" s="131">
        <f>Project_Page_5_TRC!G27</f>
        <v>1.0525870017679207E-2</v>
      </c>
      <c r="E36" s="26">
        <f t="shared" si="1"/>
        <v>16666.666666666668</v>
      </c>
      <c r="F36" s="130">
        <f>F35*(1+D36)-F35*($C$5/12)+E36-Project_Page_6_MVO!$C$8</f>
        <v>19755772.166687101</v>
      </c>
      <c r="G36" s="139">
        <f t="shared" si="2"/>
        <v>19755772.166687101</v>
      </c>
      <c r="H36" s="140">
        <f t="shared" si="3"/>
        <v>0</v>
      </c>
    </row>
    <row r="37" spans="2:8" x14ac:dyDescent="0.2">
      <c r="B37">
        <f t="shared" si="0"/>
        <v>25</v>
      </c>
      <c r="C37" s="3">
        <f>Project_Page_3!A28</f>
        <v>38748</v>
      </c>
      <c r="D37" s="131">
        <f>Project_Page_5_TRC!G28</f>
        <v>1.5674573759109064E-2</v>
      </c>
      <c r="E37" s="26">
        <f t="shared" si="1"/>
        <v>16666.666666666668</v>
      </c>
      <c r="F37" s="130">
        <f>F36*(1+D37)-F36*($C$5/12)+E37-Project_Page_6_MVO!$C$8</f>
        <v>20049175.854404181</v>
      </c>
      <c r="G37" s="139">
        <f t="shared" si="2"/>
        <v>20049175.854404181</v>
      </c>
      <c r="H37" s="140">
        <f t="shared" si="3"/>
        <v>0</v>
      </c>
    </row>
    <row r="38" spans="2:8" x14ac:dyDescent="0.2">
      <c r="B38">
        <f t="shared" si="0"/>
        <v>26</v>
      </c>
      <c r="C38" s="3">
        <f>Project_Page_3!A29</f>
        <v>38776</v>
      </c>
      <c r="D38" s="131">
        <f>Project_Page_5_TRC!G29</f>
        <v>-1.3876508989170177E-3</v>
      </c>
      <c r="E38" s="26">
        <f t="shared" si="1"/>
        <v>16666.666666666668</v>
      </c>
      <c r="F38" s="130">
        <f>F37*(1+D38)-F37*($C$5/12)+E38-Project_Page_6_MVO!$C$8</f>
        <v>20004605.971083265</v>
      </c>
      <c r="G38" s="139">
        <f t="shared" si="2"/>
        <v>20049175.854404181</v>
      </c>
      <c r="H38" s="140">
        <f t="shared" si="3"/>
        <v>-2.2230282004896389E-3</v>
      </c>
    </row>
    <row r="39" spans="2:8" x14ac:dyDescent="0.2">
      <c r="B39">
        <f t="shared" si="0"/>
        <v>27</v>
      </c>
      <c r="C39" s="3">
        <f>Project_Page_3!A30</f>
        <v>38807</v>
      </c>
      <c r="D39" s="131">
        <f>Project_Page_5_TRC!G30</f>
        <v>7.9523994747094122E-4</v>
      </c>
      <c r="E39" s="26">
        <f t="shared" si="1"/>
        <v>16666.666666666668</v>
      </c>
      <c r="F39" s="130">
        <f>F38*(1+D39)-F38*($C$5/12)+E39-Project_Page_6_MVO!$C$8</f>
        <v>20003840.089599747</v>
      </c>
      <c r="G39" s="139">
        <f t="shared" si="2"/>
        <v>20049175.854404181</v>
      </c>
      <c r="H39" s="140">
        <f t="shared" si="3"/>
        <v>-2.2612283484198764E-3</v>
      </c>
    </row>
    <row r="40" spans="2:8" x14ac:dyDescent="0.2">
      <c r="B40">
        <f t="shared" si="0"/>
        <v>28</v>
      </c>
      <c r="C40" s="3">
        <f>Project_Page_3!A31</f>
        <v>38835</v>
      </c>
      <c r="D40" s="131">
        <f>Project_Page_5_TRC!G31</f>
        <v>1.7825161452258168E-2</v>
      </c>
      <c r="E40" s="26">
        <f t="shared" si="1"/>
        <v>16666.666666666668</v>
      </c>
      <c r="F40" s="130">
        <f>F39*(1+D40)-F39*($C$5/12)+E40-Project_Page_6_MVO!$C$8</f>
        <v>20343738.702046018</v>
      </c>
      <c r="G40" s="139">
        <f t="shared" si="2"/>
        <v>20343738.702046018</v>
      </c>
      <c r="H40" s="140">
        <f t="shared" si="3"/>
        <v>0</v>
      </c>
    </row>
    <row r="41" spans="2:8" x14ac:dyDescent="0.2">
      <c r="B41">
        <f t="shared" si="0"/>
        <v>29</v>
      </c>
      <c r="C41" s="3">
        <f>Project_Page_3!A32</f>
        <v>38868</v>
      </c>
      <c r="D41" s="131">
        <f>Project_Page_5_TRC!G32</f>
        <v>-4.1472359998876961E-3</v>
      </c>
      <c r="E41" s="26">
        <f t="shared" si="1"/>
        <v>16666.666666666668</v>
      </c>
      <c r="F41" s="130">
        <f>F40*(1+D41)-F40*($C$5/12)+E41-Project_Page_6_MVO!$C$8</f>
        <v>20242128.852025177</v>
      </c>
      <c r="G41" s="139">
        <f t="shared" si="2"/>
        <v>20343738.702046018</v>
      </c>
      <c r="H41" s="140">
        <f t="shared" si="3"/>
        <v>-4.99464977942435E-3</v>
      </c>
    </row>
    <row r="42" spans="2:8" x14ac:dyDescent="0.2">
      <c r="B42">
        <f t="shared" si="0"/>
        <v>30</v>
      </c>
      <c r="C42" s="3">
        <f>Project_Page_3!A33</f>
        <v>38898</v>
      </c>
      <c r="D42" s="131">
        <f>Project_Page_5_TRC!G33</f>
        <v>-3.3103888109951708E-3</v>
      </c>
      <c r="E42" s="26">
        <f t="shared" si="1"/>
        <v>16666.666666666668</v>
      </c>
      <c r="F42" s="130">
        <f>F41*(1+D42)-F41*($C$5/12)+E42-Project_Page_6_MVO!$C$8</f>
        <v>20158049.320409335</v>
      </c>
      <c r="G42" s="139">
        <f t="shared" si="2"/>
        <v>20343738.702046018</v>
      </c>
      <c r="H42" s="140">
        <f t="shared" si="3"/>
        <v>-9.1275937209126506E-3</v>
      </c>
    </row>
    <row r="43" spans="2:8" x14ac:dyDescent="0.2">
      <c r="B43">
        <f t="shared" si="0"/>
        <v>31</v>
      </c>
      <c r="C43" s="3">
        <f>Project_Page_3!A34</f>
        <v>38929</v>
      </c>
      <c r="D43" s="131">
        <f>Project_Page_5_TRC!G34</f>
        <v>9.1473386723389637E-3</v>
      </c>
      <c r="E43" s="26">
        <f t="shared" si="1"/>
        <v>16666.666666666668</v>
      </c>
      <c r="F43" s="130">
        <f>F42*(1+D43)-F42*($C$5/12)+E43-Project_Page_6_MVO!$C$8</f>
        <v>20325511.742316149</v>
      </c>
      <c r="G43" s="139">
        <f t="shared" si="2"/>
        <v>20343738.702046018</v>
      </c>
      <c r="H43" s="140">
        <f t="shared" si="3"/>
        <v>-8.9594936293768809E-4</v>
      </c>
    </row>
    <row r="44" spans="2:8" x14ac:dyDescent="0.2">
      <c r="B44">
        <f t="shared" si="0"/>
        <v>32</v>
      </c>
      <c r="C44" s="3">
        <f>Project_Page_3!A35</f>
        <v>38960</v>
      </c>
      <c r="D44" s="131">
        <f>Project_Page_5_TRC!G35</f>
        <v>1.6919910215906837E-2</v>
      </c>
      <c r="E44" s="26">
        <f t="shared" si="1"/>
        <v>16666.666666666668</v>
      </c>
      <c r="F44" s="130">
        <f>F43*(1+D44)-F43*($C$5/12)+E44-Project_Page_6_MVO!$C$8</f>
        <v>20652208.389851302</v>
      </c>
      <c r="G44" s="139">
        <f t="shared" si="2"/>
        <v>20652208.389851302</v>
      </c>
      <c r="H44" s="140">
        <f t="shared" si="3"/>
        <v>0</v>
      </c>
    </row>
    <row r="45" spans="2:8" x14ac:dyDescent="0.2">
      <c r="B45">
        <f t="shared" ref="B45:B76" si="4">B44+1</f>
        <v>33</v>
      </c>
      <c r="C45" s="3">
        <f>Project_Page_3!A36</f>
        <v>38989</v>
      </c>
      <c r="D45" s="131">
        <f>Project_Page_5_TRC!G36</f>
        <v>5.2873730552363933E-3</v>
      </c>
      <c r="E45" s="26">
        <f t="shared" ref="E45:E76" si="5">IF(B45&lt;=$C$7,$C$6/12,0)</f>
        <v>16666.666666666668</v>
      </c>
      <c r="F45" s="130">
        <f>F44*(1+D45)-F44*($C$5/12)+E45-Project_Page_6_MVO!$C$8</f>
        <v>20743650.639373176</v>
      </c>
      <c r="G45" s="139">
        <f t="shared" ref="G45:G76" si="6">MAX(G44,F45)</f>
        <v>20743650.639373176</v>
      </c>
      <c r="H45" s="140">
        <f t="shared" si="3"/>
        <v>0</v>
      </c>
    </row>
    <row r="46" spans="2:8" x14ac:dyDescent="0.2">
      <c r="B46">
        <f t="shared" si="4"/>
        <v>34</v>
      </c>
      <c r="C46" s="3">
        <f>Project_Page_3!A37</f>
        <v>39021</v>
      </c>
      <c r="D46" s="131">
        <f>Project_Page_5_TRC!G37</f>
        <v>1.2354803267665524E-2</v>
      </c>
      <c r="E46" s="26">
        <f t="shared" si="5"/>
        <v>16666.666666666668</v>
      </c>
      <c r="F46" s="130">
        <f>F45*(1+D46)-F45*($C$5/12)+E46-Project_Page_6_MVO!$C$8</f>
        <v>20982028.277676858</v>
      </c>
      <c r="G46" s="139">
        <f t="shared" si="6"/>
        <v>20982028.277676858</v>
      </c>
      <c r="H46" s="140">
        <f t="shared" si="3"/>
        <v>0</v>
      </c>
    </row>
    <row r="47" spans="2:8" x14ac:dyDescent="0.2">
      <c r="B47">
        <f t="shared" si="4"/>
        <v>35</v>
      </c>
      <c r="C47" s="3">
        <f>Project_Page_3!A38</f>
        <v>39051</v>
      </c>
      <c r="D47" s="131">
        <f>Project_Page_5_TRC!G38</f>
        <v>1.5611936387585221E-2</v>
      </c>
      <c r="E47" s="26">
        <f t="shared" si="5"/>
        <v>16666.666666666668</v>
      </c>
      <c r="F47" s="130">
        <f>F46*(1+D47)-F46*($C$5/12)+E47-Project_Page_6_MVO!$C$8</f>
        <v>21291294.987967674</v>
      </c>
      <c r="G47" s="139">
        <f t="shared" si="6"/>
        <v>21291294.987967674</v>
      </c>
      <c r="H47" s="140">
        <f t="shared" si="3"/>
        <v>0</v>
      </c>
    </row>
    <row r="48" spans="2:8" x14ac:dyDescent="0.2">
      <c r="B48">
        <f t="shared" si="4"/>
        <v>36</v>
      </c>
      <c r="C48" s="3">
        <f>Project_Page_3!A39</f>
        <v>39080</v>
      </c>
      <c r="D48" s="131">
        <f>Project_Page_5_TRC!G39</f>
        <v>-5.2750750661366003E-3</v>
      </c>
      <c r="E48" s="26">
        <f t="shared" si="5"/>
        <v>16666.666666666668</v>
      </c>
      <c r="F48" s="130">
        <f>F47*(1+D48)-F47*($C$5/12)+E48-Project_Page_6_MVO!$C$8</f>
        <v>21160162.983670942</v>
      </c>
      <c r="G48" s="139">
        <f t="shared" si="6"/>
        <v>21291294.987967674</v>
      </c>
      <c r="H48" s="140">
        <f t="shared" si="3"/>
        <v>-6.158949202988249E-3</v>
      </c>
    </row>
    <row r="49" spans="2:8" x14ac:dyDescent="0.2">
      <c r="B49">
        <f t="shared" si="4"/>
        <v>37</v>
      </c>
      <c r="C49" s="3">
        <f>Project_Page_3!A40</f>
        <v>39113</v>
      </c>
      <c r="D49" s="131">
        <f>Project_Page_5_TRC!G40</f>
        <v>7.165871065763444E-4</v>
      </c>
      <c r="E49" s="26">
        <f t="shared" si="5"/>
        <v>16666.666666666668</v>
      </c>
      <c r="F49" s="130">
        <f>F48*(1+D49)-F48*($C$5/12)+E49-Project_Page_6_MVO!$C$8</f>
        <v>21156725.811998647</v>
      </c>
      <c r="G49" s="139">
        <f t="shared" si="6"/>
        <v>21291294.987967674</v>
      </c>
      <c r="H49" s="140">
        <f t="shared" si="3"/>
        <v>-6.3203847415141219E-3</v>
      </c>
    </row>
    <row r="50" spans="2:8" x14ac:dyDescent="0.2">
      <c r="B50">
        <f t="shared" si="4"/>
        <v>38</v>
      </c>
      <c r="C50" s="3">
        <f>Project_Page_3!A41</f>
        <v>39141</v>
      </c>
      <c r="D50" s="131">
        <f>Project_Page_5_TRC!G41</f>
        <v>1.0922625441234256E-2</v>
      </c>
      <c r="E50" s="26">
        <f t="shared" si="5"/>
        <v>16666.666666666668</v>
      </c>
      <c r="F50" s="130">
        <f>F49*(1+D50)-F49*($C$5/12)+E50-Project_Page_6_MVO!$C$8</f>
        <v>21369218.260586005</v>
      </c>
      <c r="G50" s="139">
        <f t="shared" si="6"/>
        <v>21369218.260586005</v>
      </c>
      <c r="H50" s="140">
        <f t="shared" si="3"/>
        <v>0</v>
      </c>
    </row>
    <row r="51" spans="2:8" x14ac:dyDescent="0.2">
      <c r="B51">
        <f t="shared" si="4"/>
        <v>39</v>
      </c>
      <c r="C51" s="3">
        <f>Project_Page_3!A42</f>
        <v>39171</v>
      </c>
      <c r="D51" s="131">
        <f>Project_Page_5_TRC!G42</f>
        <v>5.2870971348768806E-3</v>
      </c>
      <c r="E51" s="26">
        <f t="shared" si="5"/>
        <v>16666.666666666668</v>
      </c>
      <c r="F51" s="130">
        <f>F50*(1+D51)-F50*($C$5/12)+E51-Project_Page_6_MVO!$C$8</f>
        <v>21463250.696125131</v>
      </c>
      <c r="G51" s="139">
        <f t="shared" si="6"/>
        <v>21463250.696125131</v>
      </c>
      <c r="H51" s="140">
        <f t="shared" si="3"/>
        <v>0</v>
      </c>
    </row>
    <row r="52" spans="2:8" x14ac:dyDescent="0.2">
      <c r="B52">
        <f t="shared" si="4"/>
        <v>40</v>
      </c>
      <c r="C52" s="3">
        <f>Project_Page_3!A43</f>
        <v>39202</v>
      </c>
      <c r="D52" s="131">
        <f>Project_Page_5_TRC!G43</f>
        <v>1.6227978154006138E-2</v>
      </c>
      <c r="E52" s="26">
        <f t="shared" si="5"/>
        <v>16666.666666666668</v>
      </c>
      <c r="F52" s="130">
        <f>F51*(1+D52)-F51*($C$5/12)+E52-Project_Page_6_MVO!$C$8</f>
        <v>21792450.441708937</v>
      </c>
      <c r="G52" s="139">
        <f t="shared" si="6"/>
        <v>21792450.441708937</v>
      </c>
      <c r="H52" s="140">
        <f t="shared" si="3"/>
        <v>0</v>
      </c>
    </row>
    <row r="53" spans="2:8" x14ac:dyDescent="0.2">
      <c r="B53">
        <f t="shared" si="4"/>
        <v>41</v>
      </c>
      <c r="C53" s="3">
        <f>Project_Page_3!A44</f>
        <v>39233</v>
      </c>
      <c r="D53" s="131">
        <f>Project_Page_5_TRC!G44</f>
        <v>1.5434679046373795E-4</v>
      </c>
      <c r="E53" s="26">
        <f t="shared" si="5"/>
        <v>16666.666666666668</v>
      </c>
      <c r="F53" s="130">
        <f>F52*(1+D53)-F52*($C$5/12)+E53-Project_Page_6_MVO!$C$8</f>
        <v>21776159.952421442</v>
      </c>
      <c r="G53" s="139">
        <f t="shared" si="6"/>
        <v>21792450.441708937</v>
      </c>
      <c r="H53" s="140">
        <f t="shared" si="3"/>
        <v>-7.4752902759007641E-4</v>
      </c>
    </row>
    <row r="54" spans="2:8" x14ac:dyDescent="0.2">
      <c r="B54">
        <f t="shared" si="4"/>
        <v>42</v>
      </c>
      <c r="C54" s="3">
        <f>Project_Page_3!A45</f>
        <v>39262</v>
      </c>
      <c r="D54" s="131">
        <f>Project_Page_5_TRC!G45</f>
        <v>-5.6642797965801117E-4</v>
      </c>
      <c r="E54" s="26">
        <f t="shared" si="5"/>
        <v>16666.666666666668</v>
      </c>
      <c r="F54" s="130">
        <f>F53*(1+D54)-F53*($C$5/12)+E54-Project_Page_6_MVO!$C$8</f>
        <v>21744198.39288085</v>
      </c>
      <c r="G54" s="139">
        <f t="shared" si="6"/>
        <v>21792450.441708937</v>
      </c>
      <c r="H54" s="140">
        <f t="shared" si="3"/>
        <v>-2.2141635222323298E-3</v>
      </c>
    </row>
    <row r="55" spans="2:8" x14ac:dyDescent="0.2">
      <c r="B55">
        <f t="shared" si="4"/>
        <v>43</v>
      </c>
      <c r="C55" s="3">
        <f>Project_Page_3!A46</f>
        <v>39294</v>
      </c>
      <c r="D55" s="131">
        <f>Project_Page_5_TRC!G46</f>
        <v>1.0181662502413751E-2</v>
      </c>
      <c r="E55" s="26">
        <f t="shared" si="5"/>
        <v>16666.666666666668</v>
      </c>
      <c r="F55" s="130">
        <f>F54*(1+D55)-F54*($C$5/12)+E55-Project_Page_6_MVO!$C$8</f>
        <v>21946016.81831456</v>
      </c>
      <c r="G55" s="139">
        <f t="shared" si="6"/>
        <v>21946016.81831456</v>
      </c>
      <c r="H55" s="140">
        <f t="shared" si="3"/>
        <v>0</v>
      </c>
    </row>
    <row r="56" spans="2:8" x14ac:dyDescent="0.2">
      <c r="B56">
        <f t="shared" si="4"/>
        <v>44</v>
      </c>
      <c r="C56" s="3">
        <f>Project_Page_3!A47</f>
        <v>39325</v>
      </c>
      <c r="D56" s="131">
        <f>Project_Page_5_TRC!G47</f>
        <v>2.4092627802121003E-4</v>
      </c>
      <c r="E56" s="26">
        <f t="shared" si="5"/>
        <v>16666.666666666668</v>
      </c>
      <c r="F56" s="130">
        <f>F55*(1+D56)-F55*($C$5/12)+E56-Project_Page_6_MVO!$C$8</f>
        <v>21931394.162433464</v>
      </c>
      <c r="G56" s="139">
        <f t="shared" si="6"/>
        <v>21946016.81831456</v>
      </c>
      <c r="H56" s="140">
        <f t="shared" si="3"/>
        <v>-6.663011334654891E-4</v>
      </c>
    </row>
    <row r="57" spans="2:8" x14ac:dyDescent="0.2">
      <c r="B57">
        <f t="shared" si="4"/>
        <v>45</v>
      </c>
      <c r="C57" s="3">
        <f>Project_Page_3!A48</f>
        <v>39353</v>
      </c>
      <c r="D57" s="131">
        <f>Project_Page_5_TRC!G48</f>
        <v>1.7380686710601858E-2</v>
      </c>
      <c r="E57" s="26">
        <f t="shared" si="5"/>
        <v>16666.666666666668</v>
      </c>
      <c r="F57" s="130">
        <f>F56*(1+D57)-F56*($C$5/12)+E57-Project_Page_6_MVO!$C$8</f>
        <v>22292691.196560055</v>
      </c>
      <c r="G57" s="139">
        <f t="shared" si="6"/>
        <v>22292691.196560055</v>
      </c>
      <c r="H57" s="140">
        <f t="shared" si="3"/>
        <v>0</v>
      </c>
    </row>
    <row r="58" spans="2:8" x14ac:dyDescent="0.2">
      <c r="B58">
        <f t="shared" si="4"/>
        <v>46</v>
      </c>
      <c r="C58" s="3">
        <f>Project_Page_3!A49</f>
        <v>39386</v>
      </c>
      <c r="D58" s="131">
        <f>Project_Page_5_TRC!G49</f>
        <v>1.9348662200198253E-2</v>
      </c>
      <c r="E58" s="26">
        <f t="shared" si="5"/>
        <v>16666.666666666668</v>
      </c>
      <c r="F58" s="130">
        <f>F57*(1+D58)-F57*($C$5/12)+E58-Project_Page_6_MVO!$C$8</f>
        <v>22703537.129394691</v>
      </c>
      <c r="G58" s="139">
        <f t="shared" si="6"/>
        <v>22703537.129394691</v>
      </c>
      <c r="H58" s="140">
        <f t="shared" si="3"/>
        <v>0</v>
      </c>
    </row>
    <row r="59" spans="2:8" x14ac:dyDescent="0.2">
      <c r="B59">
        <f t="shared" si="4"/>
        <v>47</v>
      </c>
      <c r="C59" s="3">
        <f>Project_Page_3!A50</f>
        <v>39416</v>
      </c>
      <c r="D59" s="131">
        <f>Project_Page_5_TRC!G50</f>
        <v>5.0571749898327828E-3</v>
      </c>
      <c r="E59" s="26">
        <f t="shared" si="5"/>
        <v>16666.666666666668</v>
      </c>
      <c r="F59" s="130">
        <f>F58*(1+D59)-F58*($C$5/12)+E59-Project_Page_6_MVO!$C$8</f>
        <v>22797180.32766388</v>
      </c>
      <c r="G59" s="139">
        <f t="shared" si="6"/>
        <v>22797180.32766388</v>
      </c>
      <c r="H59" s="140">
        <f t="shared" si="3"/>
        <v>0</v>
      </c>
    </row>
    <row r="60" spans="2:8" x14ac:dyDescent="0.2">
      <c r="B60">
        <f t="shared" si="4"/>
        <v>48</v>
      </c>
      <c r="C60" s="3">
        <f>Project_Page_3!A51</f>
        <v>39447</v>
      </c>
      <c r="D60" s="131">
        <f>Project_Page_5_TRC!G51</f>
        <v>1.8663195612543678E-3</v>
      </c>
      <c r="E60" s="26">
        <f t="shared" si="5"/>
        <v>16666.666666666668</v>
      </c>
      <c r="F60" s="130">
        <f>F59*(1+D60)-F59*($C$5/12)+E60-Project_Page_6_MVO!$C$8</f>
        <v>22818398.517371401</v>
      </c>
      <c r="G60" s="139">
        <f t="shared" si="6"/>
        <v>22818398.517371401</v>
      </c>
      <c r="H60" s="140">
        <f t="shared" si="3"/>
        <v>0</v>
      </c>
    </row>
    <row r="61" spans="2:8" x14ac:dyDescent="0.2">
      <c r="B61">
        <f t="shared" si="4"/>
        <v>49</v>
      </c>
      <c r="C61" s="3">
        <f>Project_Page_3!A52</f>
        <v>39478</v>
      </c>
      <c r="D61" s="131">
        <f>Project_Page_5_TRC!G52</f>
        <v>1.6068650476037165E-2</v>
      </c>
      <c r="E61" s="26">
        <f t="shared" si="5"/>
        <v>16666.666666666668</v>
      </c>
      <c r="F61" s="130">
        <f>F60*(1+D61)-F60*($C$5/12)+E61-Project_Page_6_MVO!$C$8</f>
        <v>23163695.390041016</v>
      </c>
      <c r="G61" s="139">
        <f t="shared" si="6"/>
        <v>23163695.390041016</v>
      </c>
      <c r="H61" s="140">
        <f t="shared" si="3"/>
        <v>0</v>
      </c>
    </row>
    <row r="62" spans="2:8" x14ac:dyDescent="0.2">
      <c r="B62">
        <f t="shared" si="4"/>
        <v>50</v>
      </c>
      <c r="C62" s="3">
        <f>Project_Page_3!A53</f>
        <v>39507</v>
      </c>
      <c r="D62" s="131">
        <f>Project_Page_5_TRC!G53</f>
        <v>1.8872961940945853E-2</v>
      </c>
      <c r="E62" s="26">
        <f t="shared" si="5"/>
        <v>16666.666666666668</v>
      </c>
      <c r="F62" s="130">
        <f>F61*(1+D62)-F61*($C$5/12)+E62-Project_Page_6_MVO!$C$8</f>
        <v>23578923.439232189</v>
      </c>
      <c r="G62" s="139">
        <f t="shared" si="6"/>
        <v>23578923.439232189</v>
      </c>
      <c r="H62" s="140">
        <f t="shared" si="3"/>
        <v>0</v>
      </c>
    </row>
    <row r="63" spans="2:8" x14ac:dyDescent="0.2">
      <c r="B63">
        <f t="shared" si="4"/>
        <v>51</v>
      </c>
      <c r="C63" s="3">
        <f>Project_Page_3!A54</f>
        <v>39538</v>
      </c>
      <c r="D63" s="131">
        <f>Project_Page_5_TRC!G54</f>
        <v>-8.2105071494587641E-4</v>
      </c>
      <c r="E63" s="26">
        <f t="shared" si="5"/>
        <v>16666.666666666668</v>
      </c>
      <c r="F63" s="130">
        <f>F62*(1+D63)-F62*($C$5/12)+E63-Project_Page_6_MVO!$C$8</f>
        <v>23536932.408219367</v>
      </c>
      <c r="G63" s="139">
        <f t="shared" si="6"/>
        <v>23578923.439232189</v>
      </c>
      <c r="H63" s="140">
        <f t="shared" si="3"/>
        <v>-1.7808714261718353E-3</v>
      </c>
    </row>
    <row r="64" spans="2:8" x14ac:dyDescent="0.2">
      <c r="B64">
        <f t="shared" si="4"/>
        <v>52</v>
      </c>
      <c r="C64" s="3">
        <f>Project_Page_3!A55</f>
        <v>39568</v>
      </c>
      <c r="D64" s="131">
        <f>Project_Page_5_TRC!G55</f>
        <v>-1.6785343429336795E-3</v>
      </c>
      <c r="E64" s="26">
        <f t="shared" si="5"/>
        <v>16666.666666666668</v>
      </c>
      <c r="F64" s="130">
        <f>F63*(1+D64)-F63*($C$5/12)+E64-Project_Page_6_MVO!$C$8</f>
        <v>23474863.304831166</v>
      </c>
      <c r="G64" s="139">
        <f t="shared" si="6"/>
        <v>23578923.439232189</v>
      </c>
      <c r="H64" s="140">
        <f t="shared" si="3"/>
        <v>-4.4132691074386023E-3</v>
      </c>
    </row>
    <row r="65" spans="2:8" x14ac:dyDescent="0.2">
      <c r="B65">
        <f t="shared" si="4"/>
        <v>53</v>
      </c>
      <c r="C65" s="3">
        <f>Project_Page_3!A56</f>
        <v>39598</v>
      </c>
      <c r="D65" s="131">
        <f>Project_Page_5_TRC!G56</f>
        <v>2.3439359513932412E-3</v>
      </c>
      <c r="E65" s="26">
        <f t="shared" si="5"/>
        <v>16666.666666666668</v>
      </c>
      <c r="F65" s="130">
        <f>F64*(1+D65)-F64*($C$5/12)+E65-Project_Page_6_MVO!$C$8</f>
        <v>23507428.775377352</v>
      </c>
      <c r="G65" s="139">
        <f t="shared" si="6"/>
        <v>23578923.439232189</v>
      </c>
      <c r="H65" s="140">
        <f t="shared" si="3"/>
        <v>-3.0321428388829581E-3</v>
      </c>
    </row>
    <row r="66" spans="2:8" x14ac:dyDescent="0.2">
      <c r="B66">
        <f t="shared" si="4"/>
        <v>54</v>
      </c>
      <c r="C66" s="3">
        <f>Project_Page_3!A57</f>
        <v>39629</v>
      </c>
      <c r="D66" s="131">
        <f>Project_Page_5_TRC!G57</f>
        <v>1.9267242279730375E-3</v>
      </c>
      <c r="E66" s="26">
        <f t="shared" si="5"/>
        <v>16666.666666666668</v>
      </c>
      <c r="F66" s="130">
        <f>F65*(1+D66)-F65*($C$5/12)+E66-Project_Page_6_MVO!$C$8</f>
        <v>23530208.726643927</v>
      </c>
      <c r="G66" s="139">
        <f t="shared" si="6"/>
        <v>23578923.439232189</v>
      </c>
      <c r="H66" s="140">
        <f t="shared" si="3"/>
        <v>-2.0660278538080757E-3</v>
      </c>
    </row>
    <row r="67" spans="2:8" x14ac:dyDescent="0.2">
      <c r="B67">
        <f t="shared" si="4"/>
        <v>55</v>
      </c>
      <c r="C67" s="3">
        <f>Project_Page_3!A58</f>
        <v>39660</v>
      </c>
      <c r="D67" s="131">
        <f>Project_Page_5_TRC!G58</f>
        <v>-1.2633026910620949E-2</v>
      </c>
      <c r="E67" s="26">
        <f t="shared" si="5"/>
        <v>16666.666666666668</v>
      </c>
      <c r="F67" s="130">
        <f>F66*(1+D67)-F66*($C$5/12)+E67-Project_Page_6_MVO!$C$8</f>
        <v>23210400.61870997</v>
      </c>
      <c r="G67" s="139">
        <f t="shared" si="6"/>
        <v>23578923.439232189</v>
      </c>
      <c r="H67" s="140">
        <f t="shared" si="3"/>
        <v>-1.5629331910423275E-2</v>
      </c>
    </row>
    <row r="68" spans="2:8" x14ac:dyDescent="0.2">
      <c r="B68">
        <f t="shared" si="4"/>
        <v>56</v>
      </c>
      <c r="C68" s="3">
        <f>Project_Page_3!A59</f>
        <v>39689</v>
      </c>
      <c r="D68" s="131">
        <f>Project_Page_5_TRC!G59</f>
        <v>3.3132305116290836E-3</v>
      </c>
      <c r="E68" s="26">
        <f t="shared" si="5"/>
        <v>16666.666666666668</v>
      </c>
      <c r="F68" s="130">
        <f>F67*(1+D68)-F67*($C$5/12)+E68-Project_Page_6_MVO!$C$8</f>
        <v>23265284.691862497</v>
      </c>
      <c r="G68" s="139">
        <f t="shared" si="6"/>
        <v>23578923.439232189</v>
      </c>
      <c r="H68" s="140">
        <f t="shared" si="3"/>
        <v>-1.3301656802864825E-2</v>
      </c>
    </row>
    <row r="69" spans="2:8" x14ac:dyDescent="0.2">
      <c r="B69">
        <f t="shared" si="4"/>
        <v>57</v>
      </c>
      <c r="C69" s="3">
        <f>Project_Page_3!A60</f>
        <v>39721</v>
      </c>
      <c r="D69" s="131">
        <f>Project_Page_5_TRC!G60</f>
        <v>-2.4700286632827376E-2</v>
      </c>
      <c r="E69" s="26">
        <f t="shared" si="5"/>
        <v>16666.666666666668</v>
      </c>
      <c r="F69" s="130">
        <f>F68*(1+D69)-F68*($C$5/12)+E69-Project_Page_6_MVO!$C$8</f>
        <v>22668516.683559392</v>
      </c>
      <c r="G69" s="139">
        <f t="shared" si="6"/>
        <v>23578923.439232189</v>
      </c>
      <c r="H69" s="140">
        <f t="shared" si="3"/>
        <v>-3.8611039983191174E-2</v>
      </c>
    </row>
    <row r="70" spans="2:8" x14ac:dyDescent="0.2">
      <c r="B70">
        <f t="shared" si="4"/>
        <v>58</v>
      </c>
      <c r="C70" s="3">
        <f>Project_Page_3!A61</f>
        <v>39752</v>
      </c>
      <c r="D70" s="131">
        <f>Project_Page_5_TRC!G61</f>
        <v>-4.8357923528342443E-2</v>
      </c>
      <c r="E70" s="26">
        <f t="shared" si="5"/>
        <v>16666.666666666668</v>
      </c>
      <c r="F70" s="130">
        <f>F69*(1+D70)-F69*($C$5/12)+E70-Project_Page_6_MVO!$C$8</f>
        <v>21551200.092802275</v>
      </c>
      <c r="G70" s="139">
        <f t="shared" si="6"/>
        <v>23578923.439232189</v>
      </c>
      <c r="H70" s="140">
        <f t="shared" si="3"/>
        <v>-8.5997282770597261E-2</v>
      </c>
    </row>
    <row r="71" spans="2:8" x14ac:dyDescent="0.2">
      <c r="B71">
        <f t="shared" si="4"/>
        <v>59</v>
      </c>
      <c r="C71" s="3">
        <f>Project_Page_3!A62</f>
        <v>39780</v>
      </c>
      <c r="D71" s="131">
        <f>Project_Page_5_TRC!G62</f>
        <v>8.0176831353058146E-3</v>
      </c>
      <c r="E71" s="26">
        <f t="shared" si="5"/>
        <v>16666.666666666668</v>
      </c>
      <c r="F71" s="130">
        <f>F70*(1+D71)-F70*($C$5/12)+E71-Project_Page_6_MVO!$C$8</f>
        <v>21704738.786177266</v>
      </c>
      <c r="G71" s="139">
        <f t="shared" si="6"/>
        <v>23578923.439232189</v>
      </c>
      <c r="H71" s="140">
        <f t="shared" si="3"/>
        <v>-7.948559050565171E-2</v>
      </c>
    </row>
    <row r="72" spans="2:8" x14ac:dyDescent="0.2">
      <c r="B72">
        <f t="shared" si="4"/>
        <v>60</v>
      </c>
      <c r="C72" s="3">
        <f>Project_Page_3!A63</f>
        <v>39813</v>
      </c>
      <c r="D72" s="131">
        <f>Project_Page_5_TRC!G63</f>
        <v>1.9220239691529487E-2</v>
      </c>
      <c r="E72" s="26">
        <f t="shared" si="5"/>
        <v>16666.666666666668</v>
      </c>
      <c r="F72" s="130">
        <f>F71*(1+D72)-F71*($C$5/12)+E72-Project_Page_6_MVO!$C$8</f>
        <v>22102401.170112669</v>
      </c>
      <c r="G72" s="139">
        <f t="shared" si="6"/>
        <v>23578923.439232189</v>
      </c>
      <c r="H72" s="140">
        <f t="shared" si="3"/>
        <v>-6.2620427642713458E-2</v>
      </c>
    </row>
    <row r="73" spans="2:8" x14ac:dyDescent="0.2">
      <c r="B73">
        <f t="shared" si="4"/>
        <v>61</v>
      </c>
      <c r="C73" s="3">
        <f>Project_Page_3!A64</f>
        <v>39843</v>
      </c>
      <c r="D73" s="131">
        <f>Project_Page_5_TRC!G64</f>
        <v>-2.0514061816638922E-3</v>
      </c>
      <c r="E73" s="26">
        <f t="shared" si="5"/>
        <v>0</v>
      </c>
      <c r="F73" s="130">
        <f>F72*(1+D73)-F72*($C$5/12)+E73-Project_Page_6_MVO!$C$8</f>
        <v>22020222.832439166</v>
      </c>
      <c r="G73" s="139">
        <f t="shared" si="6"/>
        <v>23578923.439232189</v>
      </c>
      <c r="H73" s="140">
        <f t="shared" si="3"/>
        <v>-6.6105673179274738E-2</v>
      </c>
    </row>
    <row r="74" spans="2:8" x14ac:dyDescent="0.2">
      <c r="B74">
        <f t="shared" si="4"/>
        <v>62</v>
      </c>
      <c r="C74" s="3">
        <f>Project_Page_3!A65</f>
        <v>39871</v>
      </c>
      <c r="D74" s="131">
        <f>Project_Page_5_TRC!G65</f>
        <v>-8.5602087173081483E-3</v>
      </c>
      <c r="E74" s="26">
        <f t="shared" si="5"/>
        <v>0</v>
      </c>
      <c r="F74" s="130">
        <f>F73*(1+D74)-F73*($C$5/12)+E74-Project_Page_6_MVO!$C$8</f>
        <v>21795024.757604454</v>
      </c>
      <c r="G74" s="139">
        <f t="shared" si="6"/>
        <v>23578923.439232189</v>
      </c>
      <c r="H74" s="140">
        <f t="shared" si="3"/>
        <v>-7.565649408147132E-2</v>
      </c>
    </row>
    <row r="75" spans="2:8" x14ac:dyDescent="0.2">
      <c r="B75">
        <f t="shared" si="4"/>
        <v>63</v>
      </c>
      <c r="C75" s="3">
        <f>Project_Page_3!A66</f>
        <v>39903</v>
      </c>
      <c r="D75" s="131">
        <f>Project_Page_5_TRC!G66</f>
        <v>3.4463153512161809E-2</v>
      </c>
      <c r="E75" s="26">
        <f t="shared" si="5"/>
        <v>0</v>
      </c>
      <c r="F75" s="130">
        <f>F74*(1+D75)-F74*($C$5/12)+E75-Project_Page_6_MVO!$C$8</f>
        <v>22509825.000364468</v>
      </c>
      <c r="G75" s="139">
        <f t="shared" si="6"/>
        <v>23578923.439232189</v>
      </c>
      <c r="H75" s="140">
        <f t="shared" si="3"/>
        <v>-4.5341274448895505E-2</v>
      </c>
    </row>
    <row r="76" spans="2:8" x14ac:dyDescent="0.2">
      <c r="B76">
        <f t="shared" si="4"/>
        <v>64</v>
      </c>
      <c r="C76" s="3">
        <f>Project_Page_3!A67</f>
        <v>39933</v>
      </c>
      <c r="D76" s="131">
        <f>Project_Page_5_TRC!G67</f>
        <v>1.2756848449437572E-2</v>
      </c>
      <c r="E76" s="26">
        <f t="shared" si="5"/>
        <v>0</v>
      </c>
      <c r="F76" s="130">
        <f>F75*(1+D76)-F75*($C$5/12)+E76-Project_Page_6_MVO!$C$8</f>
        <v>22759463.051516872</v>
      </c>
      <c r="G76" s="139">
        <f t="shared" si="6"/>
        <v>23578923.439232189</v>
      </c>
      <c r="H76" s="140">
        <f t="shared" si="3"/>
        <v>-3.4753935642025301E-2</v>
      </c>
    </row>
    <row r="77" spans="2:8" x14ac:dyDescent="0.2">
      <c r="B77">
        <f t="shared" ref="B77:B108" si="7">B76+1</f>
        <v>65</v>
      </c>
      <c r="C77" s="3">
        <f>Project_Page_3!A68</f>
        <v>39962</v>
      </c>
      <c r="D77" s="131">
        <f>Project_Page_5_TRC!G68</f>
        <v>1.6020246954364881E-2</v>
      </c>
      <c r="E77" s="26">
        <f t="shared" ref="E77:E108" si="8">IF(B77&lt;=$C$7,$C$6/12,0)</f>
        <v>0</v>
      </c>
      <c r="F77" s="130">
        <f>F76*(1+D77)-F76*($C$5/12)+E77-Project_Page_6_MVO!$C$8</f>
        <v>23086142.831731722</v>
      </c>
      <c r="G77" s="139">
        <f t="shared" ref="G77:G108" si="9">MAX(G76,F77)</f>
        <v>23578923.439232189</v>
      </c>
      <c r="H77" s="140">
        <f t="shared" si="3"/>
        <v>-2.0899198759878331E-2</v>
      </c>
    </row>
    <row r="78" spans="2:8" x14ac:dyDescent="0.2">
      <c r="B78">
        <f t="shared" si="7"/>
        <v>66</v>
      </c>
      <c r="C78" s="3">
        <f>Project_Page_3!A69</f>
        <v>39994</v>
      </c>
      <c r="D78" s="131">
        <f>Project_Page_5_TRC!G69</f>
        <v>2.6945763080507743E-3</v>
      </c>
      <c r="E78" s="26">
        <f t="shared" si="8"/>
        <v>0</v>
      </c>
      <c r="F78" s="130">
        <f>F77*(1+D78)-F77*($C$5/12)+E78-Project_Page_6_MVO!$C$8</f>
        <v>23109873.300530829</v>
      </c>
      <c r="G78" s="139">
        <f t="shared" si="9"/>
        <v>23578923.439232189</v>
      </c>
      <c r="H78" s="140">
        <f t="shared" ref="H78:H132" si="10">(F78-G78)/G78</f>
        <v>-1.9892771606396742E-2</v>
      </c>
    </row>
    <row r="79" spans="2:8" x14ac:dyDescent="0.2">
      <c r="B79">
        <f t="shared" si="7"/>
        <v>67</v>
      </c>
      <c r="C79" s="3">
        <f>Project_Page_3!A70</f>
        <v>40025</v>
      </c>
      <c r="D79" s="131">
        <f>Project_Page_5_TRC!G70</f>
        <v>2.1064223534247407E-2</v>
      </c>
      <c r="E79" s="26">
        <f t="shared" si="8"/>
        <v>0</v>
      </c>
      <c r="F79" s="130">
        <f>F78*(1+D79)-F78*($C$5/12)+E79-Project_Page_6_MVO!$C$8</f>
        <v>23558148.382080458</v>
      </c>
      <c r="G79" s="139">
        <f t="shared" si="9"/>
        <v>23578923.439232189</v>
      </c>
      <c r="H79" s="140">
        <f t="shared" si="10"/>
        <v>-8.8108590730500336E-4</v>
      </c>
    </row>
    <row r="80" spans="2:8" x14ac:dyDescent="0.2">
      <c r="B80">
        <f t="shared" si="7"/>
        <v>68</v>
      </c>
      <c r="C80" s="3">
        <f>Project_Page_3!A71</f>
        <v>40056</v>
      </c>
      <c r="D80" s="131">
        <f>Project_Page_5_TRC!G71</f>
        <v>9.0389400971032843E-3</v>
      </c>
      <c r="E80" s="26">
        <f t="shared" si="8"/>
        <v>0</v>
      </c>
      <c r="F80" s="130">
        <f>F79*(1+D80)-F79*($C$5/12)+E80-Project_Page_6_MVO!$C$8</f>
        <v>23731825.493467957</v>
      </c>
      <c r="G80" s="139">
        <f t="shared" si="9"/>
        <v>23731825.493467957</v>
      </c>
      <c r="H80" s="140">
        <f t="shared" si="10"/>
        <v>0</v>
      </c>
    </row>
    <row r="81" spans="2:8" x14ac:dyDescent="0.2">
      <c r="B81">
        <f t="shared" si="7"/>
        <v>69</v>
      </c>
      <c r="C81" s="3">
        <f>Project_Page_3!A72</f>
        <v>40086</v>
      </c>
      <c r="D81" s="131">
        <f>Project_Page_5_TRC!G72</f>
        <v>1.4787768922235139E-2</v>
      </c>
      <c r="E81" s="26">
        <f t="shared" si="8"/>
        <v>0</v>
      </c>
      <c r="F81" s="130">
        <f>F80*(1+D81)-F80*($C$5/12)+E81-Project_Page_6_MVO!$C$8</f>
        <v>24043213.202479057</v>
      </c>
      <c r="G81" s="139">
        <f t="shared" si="9"/>
        <v>24043213.202479057</v>
      </c>
      <c r="H81" s="140">
        <f t="shared" si="10"/>
        <v>0</v>
      </c>
    </row>
    <row r="82" spans="2:8" x14ac:dyDescent="0.2">
      <c r="B82">
        <f t="shared" si="7"/>
        <v>70</v>
      </c>
      <c r="C82" s="3">
        <f>Project_Page_3!A73</f>
        <v>40116</v>
      </c>
      <c r="D82" s="131">
        <f>Project_Page_5_TRC!G73</f>
        <v>7.3706834589003165E-3</v>
      </c>
      <c r="E82" s="26">
        <f t="shared" si="8"/>
        <v>0</v>
      </c>
      <c r="F82" s="130">
        <f>F81*(1+D82)-F81*($C$5/12)+E82-Project_Page_6_MVO!$C$8</f>
        <v>24180356.094325252</v>
      </c>
      <c r="G82" s="139">
        <f t="shared" si="9"/>
        <v>24180356.094325252</v>
      </c>
      <c r="H82" s="140">
        <f t="shared" si="10"/>
        <v>0</v>
      </c>
    </row>
    <row r="83" spans="2:8" x14ac:dyDescent="0.2">
      <c r="B83">
        <f t="shared" si="7"/>
        <v>71</v>
      </c>
      <c r="C83" s="3">
        <f>Project_Page_3!A74</f>
        <v>40147</v>
      </c>
      <c r="D83" s="131">
        <f>Project_Page_5_TRC!G74</f>
        <v>2.2226567520990826E-2</v>
      </c>
      <c r="E83" s="26">
        <f t="shared" si="8"/>
        <v>0</v>
      </c>
      <c r="F83" s="130">
        <f>F82*(1+D83)-F82*($C$5/12)+E83-Project_Page_6_MVO!$C$8</f>
        <v>24677501.81824683</v>
      </c>
      <c r="G83" s="139">
        <f t="shared" si="9"/>
        <v>24677501.81824683</v>
      </c>
      <c r="H83" s="140">
        <f t="shared" si="10"/>
        <v>0</v>
      </c>
    </row>
    <row r="84" spans="2:8" x14ac:dyDescent="0.2">
      <c r="B84">
        <f t="shared" si="7"/>
        <v>72</v>
      </c>
      <c r="C84" s="3">
        <f>Project_Page_3!A75</f>
        <v>40178</v>
      </c>
      <c r="D84" s="131">
        <f>Project_Page_5_TRC!G75</f>
        <v>-5.8970075040465589E-3</v>
      </c>
      <c r="E84" s="26">
        <f t="shared" si="8"/>
        <v>0</v>
      </c>
      <c r="F84" s="130">
        <f>F83*(1+D84)-F83*($C$5/12)+E84-Project_Page_6_MVO!$C$8</f>
        <v>24490849.235146426</v>
      </c>
      <c r="G84" s="139">
        <f t="shared" si="9"/>
        <v>24677501.81824683</v>
      </c>
      <c r="H84" s="140">
        <f t="shared" si="10"/>
        <v>-7.5636741707133222E-3</v>
      </c>
    </row>
    <row r="85" spans="2:8" x14ac:dyDescent="0.2">
      <c r="B85">
        <f t="shared" si="7"/>
        <v>73</v>
      </c>
      <c r="C85" s="3">
        <f>Project_Page_3!A76</f>
        <v>40207</v>
      </c>
      <c r="D85" s="131">
        <f>Project_Page_5_TRC!G76</f>
        <v>-5.5025366846182472E-3</v>
      </c>
      <c r="E85" s="26">
        <f t="shared" si="8"/>
        <v>0</v>
      </c>
      <c r="F85" s="130">
        <f>F84*(1+D85)-F84*($C$5/12)+E85-Project_Page_6_MVO!$C$8</f>
        <v>24315269.356734</v>
      </c>
      <c r="G85" s="139">
        <f t="shared" si="9"/>
        <v>24677501.81824683</v>
      </c>
      <c r="H85" s="140">
        <f t="shared" si="10"/>
        <v>-1.4678652003785538E-2</v>
      </c>
    </row>
    <row r="86" spans="2:8" x14ac:dyDescent="0.2">
      <c r="B86">
        <f t="shared" si="7"/>
        <v>74</v>
      </c>
      <c r="C86" s="3">
        <f>Project_Page_3!A77</f>
        <v>40235</v>
      </c>
      <c r="D86" s="131">
        <f>Project_Page_5_TRC!G77</f>
        <v>4.4194604292123385E-3</v>
      </c>
      <c r="E86" s="26">
        <f t="shared" si="8"/>
        <v>0</v>
      </c>
      <c r="F86" s="130">
        <f>F85*(1+D86)-F85*($C$5/12)+E86-Project_Page_6_MVO!$C$8</f>
        <v>24382204.278553832</v>
      </c>
      <c r="G86" s="139">
        <f t="shared" si="9"/>
        <v>24677501.81824683</v>
      </c>
      <c r="H86" s="140">
        <f t="shared" si="10"/>
        <v>-1.1966265542918591E-2</v>
      </c>
    </row>
    <row r="87" spans="2:8" x14ac:dyDescent="0.2">
      <c r="B87">
        <f t="shared" si="7"/>
        <v>75</v>
      </c>
      <c r="C87" s="3">
        <f>Project_Page_3!A78</f>
        <v>40268</v>
      </c>
      <c r="D87" s="131">
        <f>Project_Page_5_TRC!G78</f>
        <v>1.2845809550596948E-2</v>
      </c>
      <c r="E87" s="26">
        <f t="shared" si="8"/>
        <v>0</v>
      </c>
      <c r="F87" s="130">
        <f>F86*(1+D87)-F86*($C$5/12)+E87-Project_Page_6_MVO!$C$8</f>
        <v>24654776.424008962</v>
      </c>
      <c r="G87" s="139">
        <f t="shared" si="9"/>
        <v>24677501.81824683</v>
      </c>
      <c r="H87" s="140">
        <f t="shared" si="10"/>
        <v>-9.2089525127965217E-4</v>
      </c>
    </row>
    <row r="88" spans="2:8" x14ac:dyDescent="0.2">
      <c r="B88">
        <f t="shared" si="7"/>
        <v>76</v>
      </c>
      <c r="C88" s="3">
        <f>Project_Page_3!A79</f>
        <v>40298</v>
      </c>
      <c r="D88" s="131">
        <f>Project_Page_5_TRC!G79</f>
        <v>1.0238480769325257E-2</v>
      </c>
      <c r="E88" s="26">
        <f t="shared" si="8"/>
        <v>0</v>
      </c>
      <c r="F88" s="130">
        <f>F87*(1+D88)-F87*($C$5/12)+E88-Project_Page_6_MVO!$C$8</f>
        <v>24866112.584258176</v>
      </c>
      <c r="G88" s="139">
        <f t="shared" si="9"/>
        <v>24866112.584258176</v>
      </c>
      <c r="H88" s="140">
        <f t="shared" si="10"/>
        <v>0</v>
      </c>
    </row>
    <row r="89" spans="2:8" x14ac:dyDescent="0.2">
      <c r="B89">
        <f t="shared" si="7"/>
        <v>77</v>
      </c>
      <c r="C89" s="3">
        <f>Project_Page_3!A80</f>
        <v>40329</v>
      </c>
      <c r="D89" s="131">
        <f>Project_Page_5_TRC!G80</f>
        <v>-1.0515636103995307E-2</v>
      </c>
      <c r="E89" s="26">
        <f t="shared" si="8"/>
        <v>0</v>
      </c>
      <c r="F89" s="130">
        <f>F88*(1+D89)-F88*($C$5/12)+E89-Project_Page_6_MVO!$C$8</f>
        <v>24563186.072027374</v>
      </c>
      <c r="G89" s="139">
        <f t="shared" si="9"/>
        <v>24866112.584258176</v>
      </c>
      <c r="H89" s="140">
        <f t="shared" si="10"/>
        <v>-1.218230277066203E-2</v>
      </c>
    </row>
    <row r="90" spans="2:8" x14ac:dyDescent="0.2">
      <c r="B90">
        <f t="shared" si="7"/>
        <v>78</v>
      </c>
      <c r="C90" s="3">
        <f>Project_Page_3!A81</f>
        <v>40359</v>
      </c>
      <c r="D90" s="131">
        <f>Project_Page_5_TRC!G81</f>
        <v>8.2269612018872219E-4</v>
      </c>
      <c r="E90" s="26">
        <f t="shared" si="8"/>
        <v>0</v>
      </c>
      <c r="F90" s="130">
        <f>F89*(1+D90)-F89*($C$5/12)+E90-Project_Page_6_MVO!$C$8</f>
        <v>24542455.466454927</v>
      </c>
      <c r="G90" s="139">
        <f t="shared" si="9"/>
        <v>24866112.584258176</v>
      </c>
      <c r="H90" s="140">
        <f t="shared" si="10"/>
        <v>-1.3015991812413211E-2</v>
      </c>
    </row>
    <row r="91" spans="2:8" x14ac:dyDescent="0.2">
      <c r="B91">
        <f t="shared" si="7"/>
        <v>79</v>
      </c>
      <c r="C91" s="3">
        <f>Project_Page_3!A82</f>
        <v>40389</v>
      </c>
      <c r="D91" s="131">
        <f>Project_Page_5_TRC!G82</f>
        <v>1.4983624140041004E-2</v>
      </c>
      <c r="E91" s="26">
        <f t="shared" si="8"/>
        <v>0</v>
      </c>
      <c r="F91" s="130">
        <f>F90*(1+D91)-F90*($C$5/12)+E91-Project_Page_6_MVO!$C$8</f>
        <v>24869286.302193888</v>
      </c>
      <c r="G91" s="139">
        <f t="shared" si="9"/>
        <v>24869286.302193888</v>
      </c>
      <c r="H91" s="140">
        <f t="shared" si="10"/>
        <v>0</v>
      </c>
    </row>
    <row r="92" spans="2:8" x14ac:dyDescent="0.2">
      <c r="B92">
        <f t="shared" si="7"/>
        <v>80</v>
      </c>
      <c r="C92" s="3">
        <f>Project_Page_3!A83</f>
        <v>40421</v>
      </c>
      <c r="D92" s="131">
        <f>Project_Page_5_TRC!G83</f>
        <v>2.1383008781284212E-3</v>
      </c>
      <c r="E92" s="26">
        <f t="shared" si="8"/>
        <v>0</v>
      </c>
      <c r="F92" s="130">
        <f>F91*(1+D92)-F91*($C$5/12)+E92-Project_Page_6_MVO!$C$8</f>
        <v>24881015.508428637</v>
      </c>
      <c r="G92" s="139">
        <f t="shared" si="9"/>
        <v>24881015.508428637</v>
      </c>
      <c r="H92" s="140">
        <f t="shared" si="10"/>
        <v>0</v>
      </c>
    </row>
    <row r="93" spans="2:8" x14ac:dyDescent="0.2">
      <c r="B93">
        <f t="shared" si="7"/>
        <v>81</v>
      </c>
      <c r="C93" s="3">
        <f>Project_Page_3!A84</f>
        <v>40451</v>
      </c>
      <c r="D93" s="131">
        <f>Project_Page_5_TRC!G84</f>
        <v>2.3036144161111625E-2</v>
      </c>
      <c r="E93" s="26">
        <f t="shared" si="8"/>
        <v>0</v>
      </c>
      <c r="F93" s="130">
        <f>F92*(1+D93)-F92*($C$5/12)+E93-Project_Page_6_MVO!$C$8</f>
        <v>25412709.809374936</v>
      </c>
      <c r="G93" s="139">
        <f t="shared" si="9"/>
        <v>25412709.809374936</v>
      </c>
      <c r="H93" s="140">
        <f t="shared" si="10"/>
        <v>0</v>
      </c>
    </row>
    <row r="94" spans="2:8" x14ac:dyDescent="0.2">
      <c r="B94">
        <f t="shared" si="7"/>
        <v>82</v>
      </c>
      <c r="C94" s="3">
        <f>Project_Page_3!A85</f>
        <v>40480</v>
      </c>
      <c r="D94" s="131">
        <f>Project_Page_5_TRC!G85</f>
        <v>1.9895523157924908E-2</v>
      </c>
      <c r="E94" s="26">
        <f t="shared" si="8"/>
        <v>0</v>
      </c>
      <c r="F94" s="130">
        <f>F93*(1+D94)-F93*($C$5/12)+E94-Project_Page_6_MVO!$C$8</f>
        <v>25875954.449544024</v>
      </c>
      <c r="G94" s="139">
        <f t="shared" si="9"/>
        <v>25875954.449544024</v>
      </c>
      <c r="H94" s="140">
        <f t="shared" si="10"/>
        <v>0</v>
      </c>
    </row>
    <row r="95" spans="2:8" x14ac:dyDescent="0.2">
      <c r="B95">
        <f t="shared" si="7"/>
        <v>83</v>
      </c>
      <c r="C95" s="3">
        <f>Project_Page_3!A86</f>
        <v>40512</v>
      </c>
      <c r="D95" s="131">
        <f>Project_Page_5_TRC!G86</f>
        <v>-8.2409597985334659E-3</v>
      </c>
      <c r="E95" s="26">
        <f t="shared" si="8"/>
        <v>0</v>
      </c>
      <c r="F95" s="130">
        <f>F94*(1+D95)-F94*($C$5/12)+E95-Project_Page_6_MVO!$C$8</f>
        <v>25619585.158427406</v>
      </c>
      <c r="G95" s="139">
        <f t="shared" si="9"/>
        <v>25875954.449544024</v>
      </c>
      <c r="H95" s="140">
        <f t="shared" si="10"/>
        <v>-9.9076264652002144E-3</v>
      </c>
    </row>
    <row r="96" spans="2:8" x14ac:dyDescent="0.2">
      <c r="B96">
        <f t="shared" si="7"/>
        <v>84</v>
      </c>
      <c r="C96" s="3">
        <f>Project_Page_3!A87</f>
        <v>40543</v>
      </c>
      <c r="D96" s="131">
        <f>Project_Page_5_TRC!G87</f>
        <v>1.1762055734526003E-2</v>
      </c>
      <c r="E96" s="26">
        <f t="shared" si="8"/>
        <v>0</v>
      </c>
      <c r="F96" s="130">
        <f>F95*(1+D96)-F95*($C$5/12)+E96-Project_Page_6_MVO!$C$8</f>
        <v>25878224.838358883</v>
      </c>
      <c r="G96" s="139">
        <f t="shared" si="9"/>
        <v>25878224.838358883</v>
      </c>
      <c r="H96" s="140">
        <f t="shared" si="10"/>
        <v>0</v>
      </c>
    </row>
    <row r="97" spans="2:8" x14ac:dyDescent="0.2">
      <c r="B97">
        <f t="shared" si="7"/>
        <v>85</v>
      </c>
      <c r="C97" s="3">
        <f>Project_Page_3!A88</f>
        <v>40574</v>
      </c>
      <c r="D97" s="131">
        <f>Project_Page_5_TRC!G88</f>
        <v>3.4151506639085831E-3</v>
      </c>
      <c r="E97" s="26">
        <f t="shared" si="8"/>
        <v>0</v>
      </c>
      <c r="F97" s="130">
        <f>F96*(1+D97)-F96*($C$5/12)+E97-Project_Page_6_MVO!$C$8</f>
        <v>25923472.500365783</v>
      </c>
      <c r="G97" s="139">
        <f t="shared" si="9"/>
        <v>25923472.500365783</v>
      </c>
      <c r="H97" s="140">
        <f t="shared" si="10"/>
        <v>0</v>
      </c>
    </row>
    <row r="98" spans="2:8" x14ac:dyDescent="0.2">
      <c r="B98">
        <f t="shared" si="7"/>
        <v>86</v>
      </c>
      <c r="C98" s="3">
        <f>Project_Page_3!A89</f>
        <v>40602</v>
      </c>
      <c r="D98" s="131">
        <f>Project_Page_5_TRC!G89</f>
        <v>8.0689541208508325E-3</v>
      </c>
      <c r="E98" s="26">
        <f t="shared" si="8"/>
        <v>0</v>
      </c>
      <c r="F98" s="130">
        <f>F97*(1+D98)-F97*($C$5/12)+E98-Project_Page_6_MVO!$C$8</f>
        <v>26089442.02312376</v>
      </c>
      <c r="G98" s="139">
        <f t="shared" si="9"/>
        <v>26089442.02312376</v>
      </c>
      <c r="H98" s="140">
        <f t="shared" si="10"/>
        <v>0</v>
      </c>
    </row>
    <row r="99" spans="2:8" x14ac:dyDescent="0.2">
      <c r="B99">
        <f t="shared" si="7"/>
        <v>87</v>
      </c>
      <c r="C99" s="3">
        <f>Project_Page_3!A90</f>
        <v>40633</v>
      </c>
      <c r="D99" s="131">
        <f>Project_Page_5_TRC!G90</f>
        <v>-3.8097296740796484E-3</v>
      </c>
      <c r="E99" s="26">
        <f t="shared" si="8"/>
        <v>0</v>
      </c>
      <c r="F99" s="130">
        <f>F98*(1+D99)-F98*($C$5/12)+E99-Project_Page_6_MVO!$C$8</f>
        <v>25946565.898296211</v>
      </c>
      <c r="G99" s="139">
        <f t="shared" si="9"/>
        <v>26089442.02312376</v>
      </c>
      <c r="H99" s="140">
        <f t="shared" si="10"/>
        <v>-5.476396340746344E-3</v>
      </c>
    </row>
    <row r="100" spans="2:8" x14ac:dyDescent="0.2">
      <c r="B100">
        <f t="shared" si="7"/>
        <v>88</v>
      </c>
      <c r="C100" s="3">
        <f>Project_Page_3!A91</f>
        <v>40662</v>
      </c>
      <c r="D100" s="131">
        <f>Project_Page_5_TRC!G91</f>
        <v>1.8553566946872223E-2</v>
      </c>
      <c r="E100" s="26">
        <f t="shared" si="8"/>
        <v>0</v>
      </c>
      <c r="F100" s="130">
        <f>F99*(1+D100)-F99*($C$5/12)+E100-Project_Page_6_MVO!$C$8</f>
        <v>26384722.969234522</v>
      </c>
      <c r="G100" s="139">
        <f t="shared" si="9"/>
        <v>26384722.969234522</v>
      </c>
      <c r="H100" s="140">
        <f t="shared" si="10"/>
        <v>0</v>
      </c>
    </row>
    <row r="101" spans="2:8" x14ac:dyDescent="0.2">
      <c r="B101">
        <f t="shared" si="7"/>
        <v>89</v>
      </c>
      <c r="C101" s="3">
        <f>Project_Page_3!A92</f>
        <v>40694</v>
      </c>
      <c r="D101" s="131">
        <f>Project_Page_5_TRC!G92</f>
        <v>-2.170602837343976E-3</v>
      </c>
      <c r="E101" s="26">
        <f t="shared" si="8"/>
        <v>0</v>
      </c>
      <c r="F101" s="130">
        <f>F100*(1+D101)-F100*($C$5/12)+E101-Project_Page_6_MVO!$C$8</f>
        <v>26283477.67641291</v>
      </c>
      <c r="G101" s="139">
        <f t="shared" si="9"/>
        <v>26384722.969234522</v>
      </c>
      <c r="H101" s="140">
        <f t="shared" si="10"/>
        <v>-3.8372695040106214E-3</v>
      </c>
    </row>
    <row r="102" spans="2:8" x14ac:dyDescent="0.2">
      <c r="B102">
        <f t="shared" si="7"/>
        <v>90</v>
      </c>
      <c r="C102" s="3">
        <f>Project_Page_3!A93</f>
        <v>40724</v>
      </c>
      <c r="D102" s="131">
        <f>Project_Page_5_TRC!G93</f>
        <v>-3.6243894802143566E-3</v>
      </c>
      <c r="E102" s="26">
        <f t="shared" si="8"/>
        <v>0</v>
      </c>
      <c r="F102" s="130">
        <f>F101*(1+D102)-F101*($C$5/12)+E102-Project_Page_6_MVO!$C$8</f>
        <v>26144410.320291713</v>
      </c>
      <c r="G102" s="139">
        <f t="shared" si="9"/>
        <v>26384722.969234522</v>
      </c>
      <c r="H102" s="140">
        <f t="shared" si="10"/>
        <v>-9.1080224424953116E-3</v>
      </c>
    </row>
    <row r="103" spans="2:8" x14ac:dyDescent="0.2">
      <c r="B103">
        <f t="shared" si="7"/>
        <v>91</v>
      </c>
      <c r="C103" s="3">
        <f>Project_Page_3!A94</f>
        <v>40753</v>
      </c>
      <c r="D103" s="131">
        <f>Project_Page_5_TRC!G94</f>
        <v>2.0170360040652577E-2</v>
      </c>
      <c r="E103" s="26">
        <f t="shared" si="8"/>
        <v>0</v>
      </c>
      <c r="F103" s="130">
        <f>F102*(1+D103)-F102*($C$5/12)+E103-Project_Page_6_MVO!$C$8</f>
        <v>26628178.472302068</v>
      </c>
      <c r="G103" s="139">
        <f t="shared" si="9"/>
        <v>26628178.472302068</v>
      </c>
      <c r="H103" s="140">
        <f t="shared" si="10"/>
        <v>0</v>
      </c>
    </row>
    <row r="104" spans="2:8" x14ac:dyDescent="0.2">
      <c r="B104">
        <f t="shared" si="7"/>
        <v>92</v>
      </c>
      <c r="C104" s="3">
        <f>Project_Page_3!A95</f>
        <v>40786</v>
      </c>
      <c r="D104" s="131">
        <f>Project_Page_5_TRC!G95</f>
        <v>-1.6829243250354293E-3</v>
      </c>
      <c r="E104" s="26">
        <f t="shared" si="8"/>
        <v>0</v>
      </c>
      <c r="F104" s="130">
        <f>F103*(1+D104)-F103*($C$5/12)+E104-Project_Page_6_MVO!$C$8</f>
        <v>26538984.965565808</v>
      </c>
      <c r="G104" s="139">
        <f t="shared" si="9"/>
        <v>26628178.472302068</v>
      </c>
      <c r="H104" s="140">
        <f t="shared" si="10"/>
        <v>-3.3495909917021418E-3</v>
      </c>
    </row>
    <row r="105" spans="2:8" x14ac:dyDescent="0.2">
      <c r="B105">
        <f t="shared" si="7"/>
        <v>93</v>
      </c>
      <c r="C105" s="3">
        <f>Project_Page_3!A96</f>
        <v>40816</v>
      </c>
      <c r="D105" s="131">
        <f>Project_Page_5_TRC!G96</f>
        <v>-1.5208285488990815E-2</v>
      </c>
      <c r="E105" s="26">
        <f t="shared" si="8"/>
        <v>0</v>
      </c>
      <c r="F105" s="130">
        <f>F104*(1+D105)-F104*($C$5/12)+E105-Project_Page_6_MVO!$C$8</f>
        <v>26091140.864012171</v>
      </c>
      <c r="G105" s="139">
        <f t="shared" si="9"/>
        <v>26628178.472302068</v>
      </c>
      <c r="H105" s="140">
        <f t="shared" si="10"/>
        <v>-2.0168018959633677E-2</v>
      </c>
    </row>
    <row r="106" spans="2:8" x14ac:dyDescent="0.2">
      <c r="B106">
        <f t="shared" si="7"/>
        <v>94</v>
      </c>
      <c r="C106" s="3">
        <f>Project_Page_3!A97</f>
        <v>40847</v>
      </c>
      <c r="D106" s="131">
        <f>Project_Page_5_TRC!G97</f>
        <v>1.3260808671372529E-2</v>
      </c>
      <c r="E106" s="26">
        <f t="shared" si="8"/>
        <v>0</v>
      </c>
      <c r="F106" s="130">
        <f>F105*(1+D106)-F105*($C$5/12)+E106-Project_Page_6_MVO!$C$8</f>
        <v>26393645.256254315</v>
      </c>
      <c r="G106" s="139">
        <f t="shared" si="9"/>
        <v>26628178.472302068</v>
      </c>
      <c r="H106" s="140">
        <f t="shared" si="10"/>
        <v>-8.8077078306992695E-3</v>
      </c>
    </row>
    <row r="107" spans="2:8" x14ac:dyDescent="0.2">
      <c r="B107">
        <f t="shared" si="7"/>
        <v>95</v>
      </c>
      <c r="C107" s="3">
        <f>Project_Page_3!A98</f>
        <v>40877</v>
      </c>
      <c r="D107" s="131">
        <f>Project_Page_5_TRC!G98</f>
        <v>-7.8855637495726851E-4</v>
      </c>
      <c r="E107" s="26">
        <f t="shared" si="8"/>
        <v>0</v>
      </c>
      <c r="F107" s="130">
        <f>F106*(1+D107)-F106*($C$5/12)+E107-Project_Page_6_MVO!$C$8</f>
        <v>26328842.970268711</v>
      </c>
      <c r="G107" s="139">
        <f t="shared" si="9"/>
        <v>26628178.472302068</v>
      </c>
      <c r="H107" s="140">
        <f t="shared" si="10"/>
        <v>-1.1241305985113383E-2</v>
      </c>
    </row>
    <row r="108" spans="2:8" x14ac:dyDescent="0.2">
      <c r="B108">
        <f t="shared" si="7"/>
        <v>96</v>
      </c>
      <c r="C108" s="3">
        <f>Project_Page_3!A99</f>
        <v>40907</v>
      </c>
      <c r="D108" s="131">
        <f>Project_Page_5_TRC!G99</f>
        <v>-3.0322869733392563E-5</v>
      </c>
      <c r="E108" s="26">
        <f t="shared" si="8"/>
        <v>0</v>
      </c>
      <c r="F108" s="130">
        <f>F107*(1+D108)-F107*($C$5/12)+E108-Project_Page_6_MVO!$C$8</f>
        <v>26284163.199242648</v>
      </c>
      <c r="G108" s="139">
        <f t="shared" si="9"/>
        <v>26628178.472302068</v>
      </c>
      <c r="H108" s="140">
        <f t="shared" si="10"/>
        <v>-1.2919219142881138E-2</v>
      </c>
    </row>
    <row r="109" spans="2:8" x14ac:dyDescent="0.2">
      <c r="B109">
        <f t="shared" ref="B109:B132" si="11">B108+1</f>
        <v>97</v>
      </c>
      <c r="C109" s="3">
        <f>Project_Page_3!A100</f>
        <v>40939</v>
      </c>
      <c r="D109" s="131">
        <f>Project_Page_5_TRC!G100</f>
        <v>2.1358019957969904E-2</v>
      </c>
      <c r="E109" s="26">
        <f t="shared" ref="E109:E132" si="12">IF(B109&lt;=$C$7,$C$6/12,0)</f>
        <v>0</v>
      </c>
      <c r="F109" s="130">
        <f>F108*(1+D109)-F108*($C$5/12)+E109-Project_Page_6_MVO!$C$8</f>
        <v>26801733.942765206</v>
      </c>
      <c r="G109" s="139">
        <f t="shared" ref="G109:G140" si="13">MAX(G108,F109)</f>
        <v>26801733.942765206</v>
      </c>
      <c r="H109" s="140">
        <f t="shared" si="10"/>
        <v>0</v>
      </c>
    </row>
    <row r="110" spans="2:8" x14ac:dyDescent="0.2">
      <c r="B110">
        <f t="shared" si="11"/>
        <v>98</v>
      </c>
      <c r="C110" s="3">
        <f>Project_Page_3!A101</f>
        <v>40968</v>
      </c>
      <c r="D110" s="131">
        <f>Project_Page_5_TRC!G101</f>
        <v>7.2719317047166901E-3</v>
      </c>
      <c r="E110" s="26">
        <f t="shared" si="12"/>
        <v>0</v>
      </c>
      <c r="F110" s="130">
        <f>F109*(1+D110)-F109*($C$5/12)+E110-Project_Page_6_MVO!$C$8</f>
        <v>26951964.764993709</v>
      </c>
      <c r="G110" s="139">
        <f t="shared" si="13"/>
        <v>26951964.764993709</v>
      </c>
      <c r="H110" s="140">
        <f t="shared" si="10"/>
        <v>0</v>
      </c>
    </row>
    <row r="111" spans="2:8" x14ac:dyDescent="0.2">
      <c r="B111">
        <f t="shared" si="11"/>
        <v>99</v>
      </c>
      <c r="C111" s="3">
        <f>Project_Page_3!A102</f>
        <v>40998</v>
      </c>
      <c r="D111" s="131">
        <f>Project_Page_5_TRC!G102</f>
        <v>-3.230471376918705E-3</v>
      </c>
      <c r="E111" s="26">
        <f t="shared" si="12"/>
        <v>0</v>
      </c>
      <c r="F111" s="130">
        <f>F110*(1+D111)-F110*($C$5/12)+E111-Project_Page_6_MVO!$C$8</f>
        <v>26819977.272993688</v>
      </c>
      <c r="G111" s="139">
        <f t="shared" si="13"/>
        <v>26951964.764993709</v>
      </c>
      <c r="H111" s="140">
        <f t="shared" si="10"/>
        <v>-4.897138043585293E-3</v>
      </c>
    </row>
    <row r="112" spans="2:8" x14ac:dyDescent="0.2">
      <c r="B112">
        <f t="shared" si="11"/>
        <v>100</v>
      </c>
      <c r="C112" s="3">
        <f>Project_Page_3!A103</f>
        <v>41029</v>
      </c>
      <c r="D112" s="131">
        <f>Project_Page_5_TRC!G103</f>
        <v>4.5328029084907928E-3</v>
      </c>
      <c r="E112" s="26">
        <f t="shared" si="12"/>
        <v>0</v>
      </c>
      <c r="F112" s="130">
        <f>F111*(1+D112)-F111*($C$5/12)+E112-Project_Page_6_MVO!$C$8</f>
        <v>26896846.981860716</v>
      </c>
      <c r="G112" s="139">
        <f t="shared" si="13"/>
        <v>26951964.764993709</v>
      </c>
      <c r="H112" s="140">
        <f t="shared" si="10"/>
        <v>-2.0450376665890374E-3</v>
      </c>
    </row>
    <row r="113" spans="2:8" x14ac:dyDescent="0.2">
      <c r="B113">
        <f t="shared" si="11"/>
        <v>101</v>
      </c>
      <c r="C113" s="3">
        <f>Project_Page_3!A104</f>
        <v>41060</v>
      </c>
      <c r="D113" s="131">
        <f>Project_Page_5_TRC!G104</f>
        <v>-4.2042266237660589E-3</v>
      </c>
      <c r="E113" s="26">
        <f t="shared" si="12"/>
        <v>0</v>
      </c>
      <c r="F113" s="130">
        <f>F112*(1+D113)-F112*($C$5/12)+E113-Project_Page_6_MVO!$C$8</f>
        <v>26738938.463381112</v>
      </c>
      <c r="G113" s="139">
        <f t="shared" si="13"/>
        <v>26951964.764993709</v>
      </c>
      <c r="H113" s="140">
        <f t="shared" si="10"/>
        <v>-7.9039247591063955E-3</v>
      </c>
    </row>
    <row r="114" spans="2:8" x14ac:dyDescent="0.2">
      <c r="B114">
        <f t="shared" si="11"/>
        <v>102</v>
      </c>
      <c r="C114" s="3">
        <f>Project_Page_3!A105</f>
        <v>41089</v>
      </c>
      <c r="D114" s="131">
        <f>Project_Page_5_TRC!G105</f>
        <v>-1.3748268568697271E-3</v>
      </c>
      <c r="E114" s="26">
        <f t="shared" si="12"/>
        <v>0</v>
      </c>
      <c r="F114" s="130">
        <f>F113*(1+D114)-F113*($C$5/12)+E114-Project_Page_6_MVO!$C$8</f>
        <v>26657612.155218497</v>
      </c>
      <c r="G114" s="139">
        <f t="shared" si="13"/>
        <v>26951964.764993709</v>
      </c>
      <c r="H114" s="140">
        <f t="shared" si="10"/>
        <v>-1.0921378546677555E-2</v>
      </c>
    </row>
    <row r="115" spans="2:8" x14ac:dyDescent="0.2">
      <c r="B115">
        <f t="shared" si="11"/>
        <v>103</v>
      </c>
      <c r="C115" s="3">
        <f>Project_Page_3!A106</f>
        <v>41121</v>
      </c>
      <c r="D115" s="131">
        <f>Project_Page_5_TRC!G106</f>
        <v>1.0740206184680934E-2</v>
      </c>
      <c r="E115" s="26">
        <f t="shared" si="12"/>
        <v>0</v>
      </c>
      <c r="F115" s="130">
        <f>F114*(1+D115)-F114*($C$5/12)+E115-Project_Page_6_MVO!$C$8</f>
        <v>26899491.052564766</v>
      </c>
      <c r="G115" s="139">
        <f t="shared" si="13"/>
        <v>26951964.764993709</v>
      </c>
      <c r="H115" s="140">
        <f t="shared" si="10"/>
        <v>-1.9469345884978776E-3</v>
      </c>
    </row>
    <row r="116" spans="2:8" x14ac:dyDescent="0.2">
      <c r="B116">
        <f t="shared" si="11"/>
        <v>104</v>
      </c>
      <c r="C116" s="3">
        <f>Project_Page_3!A107</f>
        <v>41152</v>
      </c>
      <c r="D116" s="131">
        <f>Project_Page_5_TRC!G107</f>
        <v>3.7552338678512247E-3</v>
      </c>
      <c r="E116" s="26">
        <f t="shared" si="12"/>
        <v>0</v>
      </c>
      <c r="F116" s="130">
        <f>F115*(1+D116)-F115*($C$5/12)+E116-Project_Page_6_MVO!$C$8</f>
        <v>26955672.447305713</v>
      </c>
      <c r="G116" s="139">
        <f t="shared" si="13"/>
        <v>26955672.447305713</v>
      </c>
      <c r="H116" s="140">
        <f t="shared" si="10"/>
        <v>0</v>
      </c>
    </row>
    <row r="117" spans="2:8" x14ac:dyDescent="0.2">
      <c r="B117">
        <f t="shared" si="11"/>
        <v>105</v>
      </c>
      <c r="C117" s="3">
        <f>Project_Page_3!A108</f>
        <v>41180</v>
      </c>
      <c r="D117" s="131">
        <f>Project_Page_5_TRC!G108</f>
        <v>9.5500629077798823E-3</v>
      </c>
      <c r="E117" s="26">
        <f t="shared" si="12"/>
        <v>0</v>
      </c>
      <c r="F117" s="130">
        <f>F116*(1+D117)-F116*($C$5/12)+E117-Project_Page_6_MVO!$C$8</f>
        <v>27168174.69415348</v>
      </c>
      <c r="G117" s="139">
        <f t="shared" si="13"/>
        <v>27168174.69415348</v>
      </c>
      <c r="H117" s="140">
        <f t="shared" si="10"/>
        <v>0</v>
      </c>
    </row>
    <row r="118" spans="2:8" x14ac:dyDescent="0.2">
      <c r="B118">
        <f t="shared" si="11"/>
        <v>106</v>
      </c>
      <c r="C118" s="3">
        <f>Project_Page_3!A109</f>
        <v>41213</v>
      </c>
      <c r="D118" s="131">
        <f>Project_Page_5_TRC!G109</f>
        <v>-1.3491316618200928E-2</v>
      </c>
      <c r="E118" s="26">
        <f t="shared" si="12"/>
        <v>0</v>
      </c>
      <c r="F118" s="130">
        <f>F117*(1+D118)-F117*($C$5/12)+E118-Project_Page_6_MVO!$C$8</f>
        <v>26756359.956259139</v>
      </c>
      <c r="G118" s="139">
        <f t="shared" si="13"/>
        <v>27168174.69415348</v>
      </c>
      <c r="H118" s="140">
        <f t="shared" si="10"/>
        <v>-1.51579832848676E-2</v>
      </c>
    </row>
    <row r="119" spans="2:8" x14ac:dyDescent="0.2">
      <c r="B119">
        <f t="shared" si="11"/>
        <v>107</v>
      </c>
      <c r="C119" s="3">
        <f>Project_Page_3!A110</f>
        <v>41243</v>
      </c>
      <c r="D119" s="131">
        <f>Project_Page_5_TRC!G110</f>
        <v>4.8467307321190803E-3</v>
      </c>
      <c r="E119" s="26">
        <f t="shared" si="12"/>
        <v>0</v>
      </c>
      <c r="F119" s="130">
        <f>F118*(1+D119)-F118*($C$5/12)+E119-Project_Page_6_MVO!$C$8</f>
        <v>26841446.89507835</v>
      </c>
      <c r="G119" s="139">
        <f t="shared" si="13"/>
        <v>27168174.69415348</v>
      </c>
      <c r="H119" s="140">
        <f t="shared" si="10"/>
        <v>-1.202612257736407E-2</v>
      </c>
    </row>
    <row r="120" spans="2:8" x14ac:dyDescent="0.2">
      <c r="B120">
        <f t="shared" si="11"/>
        <v>108</v>
      </c>
      <c r="C120" s="3">
        <f>Project_Page_3!A111</f>
        <v>41274</v>
      </c>
      <c r="D120" s="131">
        <f>Project_Page_5_TRC!G111</f>
        <v>9.5839779306054426E-4</v>
      </c>
      <c r="E120" s="26">
        <f t="shared" si="12"/>
        <v>0</v>
      </c>
      <c r="F120" s="130">
        <f>F119*(1+D120)-F119*($C$5/12)+E120-Project_Page_6_MVO!$C$8</f>
        <v>26822435.933720011</v>
      </c>
      <c r="G120" s="139">
        <f t="shared" si="13"/>
        <v>27168174.69415348</v>
      </c>
      <c r="H120" s="140">
        <f t="shared" si="10"/>
        <v>-1.2725873722678581E-2</v>
      </c>
    </row>
    <row r="121" spans="2:8" x14ac:dyDescent="0.2">
      <c r="B121">
        <f t="shared" si="11"/>
        <v>109</v>
      </c>
      <c r="C121" s="3">
        <f>Project_Page_3!A112</f>
        <v>41305</v>
      </c>
      <c r="D121" s="131">
        <f>Project_Page_5_TRC!G112</f>
        <v>2.0063392464710157E-3</v>
      </c>
      <c r="E121" s="26">
        <f t="shared" si="12"/>
        <v>0</v>
      </c>
      <c r="F121" s="130">
        <f>F120*(1+D121)-F120*($C$5/12)+E121-Project_Page_6_MVO!$C$8</f>
        <v>26831546.779730257</v>
      </c>
      <c r="G121" s="139">
        <f t="shared" si="13"/>
        <v>27168174.69415348</v>
      </c>
      <c r="H121" s="140">
        <f t="shared" si="10"/>
        <v>-1.2390523773231811E-2</v>
      </c>
    </row>
    <row r="122" spans="2:8" x14ac:dyDescent="0.2">
      <c r="B122">
        <f t="shared" si="11"/>
        <v>110</v>
      </c>
      <c r="C122" s="3">
        <f>Project_Page_3!A113</f>
        <v>41333</v>
      </c>
      <c r="D122" s="131">
        <f>Project_Page_5_TRC!G113</f>
        <v>-1.5486458970609056E-3</v>
      </c>
      <c r="E122" s="26">
        <f t="shared" si="12"/>
        <v>0</v>
      </c>
      <c r="F122" s="130">
        <f>F121*(1+D122)-F121*($C$5/12)+E122-Project_Page_6_MVO!$C$8</f>
        <v>26745274.970265143</v>
      </c>
      <c r="G122" s="139">
        <f t="shared" si="13"/>
        <v>27168174.69415348</v>
      </c>
      <c r="H122" s="140">
        <f t="shared" si="10"/>
        <v>-1.5565996930200266E-2</v>
      </c>
    </row>
    <row r="123" spans="2:8" x14ac:dyDescent="0.2">
      <c r="B123">
        <f t="shared" si="11"/>
        <v>111</v>
      </c>
      <c r="C123" s="3">
        <f>Project_Page_3!A114</f>
        <v>41362</v>
      </c>
      <c r="D123" s="131">
        <f>Project_Page_5_TRC!G114</f>
        <v>2.1207815896348379E-3</v>
      </c>
      <c r="E123" s="26">
        <f t="shared" si="12"/>
        <v>0</v>
      </c>
      <c r="F123" s="130">
        <f>F122*(1+D123)-F122*($C$5/12)+E123-Project_Page_6_MVO!$C$8</f>
        <v>26757420.398748029</v>
      </c>
      <c r="G123" s="139">
        <f t="shared" si="13"/>
        <v>27168174.69415348</v>
      </c>
      <c r="H123" s="140">
        <f t="shared" si="10"/>
        <v>-1.5118950758728905E-2</v>
      </c>
    </row>
    <row r="124" spans="2:8" x14ac:dyDescent="0.2">
      <c r="B124">
        <f t="shared" si="11"/>
        <v>112</v>
      </c>
      <c r="C124" s="3">
        <f>Project_Page_3!A115</f>
        <v>41394</v>
      </c>
      <c r="D124" s="131">
        <f>Project_Page_5_TRC!G115</f>
        <v>3.2601798041002371E-3</v>
      </c>
      <c r="E124" s="26">
        <f t="shared" si="12"/>
        <v>0</v>
      </c>
      <c r="F124" s="130">
        <f>F123*(1+D124)-F123*($C$5/12)+E124-Project_Page_6_MVO!$C$8</f>
        <v>26800058.69967727</v>
      </c>
      <c r="G124" s="139">
        <f t="shared" si="13"/>
        <v>27168174.69415348</v>
      </c>
      <c r="H124" s="140">
        <f t="shared" si="10"/>
        <v>-1.3549529867953474E-2</v>
      </c>
    </row>
    <row r="125" spans="2:8" x14ac:dyDescent="0.2">
      <c r="B125">
        <f t="shared" si="11"/>
        <v>113</v>
      </c>
      <c r="C125" s="3">
        <f>Project_Page_3!A116</f>
        <v>41425</v>
      </c>
      <c r="D125" s="131">
        <f>Project_Page_5_TRC!G116</f>
        <v>-1.5630327144527091E-2</v>
      </c>
      <c r="E125" s="26">
        <f t="shared" si="12"/>
        <v>0</v>
      </c>
      <c r="F125" s="130">
        <f>F124*(1+D125)-F124*($C$5/12)+E125-Project_Page_6_MVO!$C$8</f>
        <v>26336498.250209324</v>
      </c>
      <c r="G125" s="139">
        <f t="shared" si="13"/>
        <v>27168174.69415348</v>
      </c>
      <c r="H125" s="140">
        <f t="shared" si="10"/>
        <v>-3.0612157544876607E-2</v>
      </c>
    </row>
    <row r="126" spans="2:8" x14ac:dyDescent="0.2">
      <c r="B126">
        <f t="shared" si="11"/>
        <v>114</v>
      </c>
      <c r="C126" s="3">
        <f>Project_Page_3!A117</f>
        <v>41453</v>
      </c>
      <c r="D126" s="131">
        <f>Project_Page_5_TRC!G117</f>
        <v>-2.5755221151123209E-2</v>
      </c>
      <c r="E126" s="26">
        <f t="shared" si="12"/>
        <v>0</v>
      </c>
      <c r="F126" s="130">
        <f>F125*(1+D126)-F125*($C$5/12)+E126-Project_Page_6_MVO!$C$8</f>
        <v>25614301.749678664</v>
      </c>
      <c r="G126" s="139">
        <f t="shared" si="13"/>
        <v>27168174.69415348</v>
      </c>
      <c r="H126" s="140">
        <f t="shared" si="10"/>
        <v>-5.7194602212610392E-2</v>
      </c>
    </row>
    <row r="127" spans="2:8" x14ac:dyDescent="0.2">
      <c r="B127">
        <f t="shared" si="11"/>
        <v>115</v>
      </c>
      <c r="C127" s="3">
        <f>Project_Page_3!A118</f>
        <v>41486</v>
      </c>
      <c r="D127" s="131">
        <f>Project_Page_5_TRC!G118</f>
        <v>4.5538900225142237E-3</v>
      </c>
      <c r="E127" s="26">
        <f t="shared" si="12"/>
        <v>0</v>
      </c>
      <c r="F127" s="130">
        <f>F126*(1+D127)-F126*($C$5/12)+E127-Project_Page_6_MVO!$C$8</f>
        <v>25688255.959934063</v>
      </c>
      <c r="G127" s="139">
        <f t="shared" si="13"/>
        <v>27168174.69415348</v>
      </c>
      <c r="H127" s="140">
        <f t="shared" si="10"/>
        <v>-5.4472512448099489E-2</v>
      </c>
    </row>
    <row r="128" spans="2:8" x14ac:dyDescent="0.2">
      <c r="B128">
        <f t="shared" si="11"/>
        <v>116</v>
      </c>
      <c r="C128" s="3">
        <f>Project_Page_3!A119</f>
        <v>41516</v>
      </c>
      <c r="D128" s="131">
        <f>Project_Page_5_TRC!G119</f>
        <v>-5.539939337236701E-3</v>
      </c>
      <c r="E128" s="26">
        <f t="shared" si="12"/>
        <v>0</v>
      </c>
      <c r="F128" s="130">
        <f>F127*(1+D128)-F127*($C$5/12)+E128-Project_Page_6_MVO!$C$8</f>
        <v>25503130.820303395</v>
      </c>
      <c r="G128" s="139">
        <f t="shared" si="13"/>
        <v>27168174.69415348</v>
      </c>
      <c r="H128" s="140">
        <f t="shared" si="10"/>
        <v>-6.12865565167467E-2</v>
      </c>
    </row>
    <row r="129" spans="2:15" x14ac:dyDescent="0.2">
      <c r="B129">
        <f t="shared" si="11"/>
        <v>117</v>
      </c>
      <c r="C129" s="3">
        <f>Project_Page_3!A120</f>
        <v>41547</v>
      </c>
      <c r="D129" s="131">
        <f>Project_Page_5_TRC!G120</f>
        <v>1.1925578332714014E-2</v>
      </c>
      <c r="E129" s="26">
        <f t="shared" si="12"/>
        <v>0</v>
      </c>
      <c r="F129" s="130">
        <f>F128*(1+D129)-F128*($C$5/12)+E129-Project_Page_6_MVO!$C$8</f>
        <v>25764765.186596535</v>
      </c>
      <c r="G129" s="139">
        <f t="shared" si="13"/>
        <v>27168174.69415348</v>
      </c>
      <c r="H129" s="140">
        <f t="shared" si="10"/>
        <v>-5.1656378220320966E-2</v>
      </c>
      <c r="O129" s="32"/>
    </row>
    <row r="130" spans="2:15" x14ac:dyDescent="0.2">
      <c r="B130">
        <f t="shared" si="11"/>
        <v>118</v>
      </c>
      <c r="C130" s="3">
        <f>Project_Page_3!A121</f>
        <v>41578</v>
      </c>
      <c r="D130" s="131">
        <f>Project_Page_5_TRC!G121</f>
        <v>1.0152878818625319E-2</v>
      </c>
      <c r="E130" s="26">
        <f t="shared" si="12"/>
        <v>0</v>
      </c>
      <c r="F130" s="130">
        <f>F129*(1+D130)-F129*($C$5/12)+E130-Project_Page_6_MVO!$C$8</f>
        <v>25983410.450015396</v>
      </c>
      <c r="G130" s="139">
        <f t="shared" si="13"/>
        <v>27168174.69415348</v>
      </c>
      <c r="H130" s="140">
        <f t="shared" si="10"/>
        <v>-4.3608533052941628E-2</v>
      </c>
    </row>
    <row r="131" spans="2:15" x14ac:dyDescent="0.2">
      <c r="B131">
        <f t="shared" si="11"/>
        <v>119</v>
      </c>
      <c r="C131" s="3">
        <f>Project_Page_3!A122</f>
        <v>41607</v>
      </c>
      <c r="D131" s="131">
        <f>Project_Page_5_TRC!G122</f>
        <v>-3.4986623342655502E-3</v>
      </c>
      <c r="E131" s="26">
        <f t="shared" si="12"/>
        <v>0</v>
      </c>
      <c r="F131" s="130">
        <f>F130*(1+D131)-F130*($C$5/12)+E131-Project_Page_6_MVO!$C$8</f>
        <v>25849197.586474806</v>
      </c>
      <c r="G131" s="139">
        <f t="shared" si="13"/>
        <v>27168174.69415348</v>
      </c>
      <c r="H131" s="140">
        <f t="shared" si="10"/>
        <v>-4.8548609633407375E-2</v>
      </c>
    </row>
    <row r="132" spans="2:15" x14ac:dyDescent="0.2">
      <c r="B132">
        <f t="shared" si="11"/>
        <v>120</v>
      </c>
      <c r="C132" s="3">
        <f>Project_Page_3!A123</f>
        <v>41639</v>
      </c>
      <c r="D132" s="131">
        <f>Project_Page_5_TRC!G123</f>
        <v>1.210878536110644E-4</v>
      </c>
      <c r="E132" s="26">
        <f t="shared" si="12"/>
        <v>0</v>
      </c>
      <c r="F132" s="130">
        <f>F131*(1+D132)-F131*($C$5/12)+E132-Project_Page_6_MVO!$C$8</f>
        <v>25809245.614350665</v>
      </c>
      <c r="G132" s="139">
        <f t="shared" si="13"/>
        <v>27168174.69415348</v>
      </c>
      <c r="H132" s="140">
        <f t="shared" si="10"/>
        <v>-5.0019152744010177E-2</v>
      </c>
    </row>
    <row r="134" spans="2:15" x14ac:dyDescent="0.2">
      <c r="B134" s="24" t="s">
        <v>304</v>
      </c>
      <c r="E134" s="41"/>
    </row>
    <row r="135" spans="2:15" x14ac:dyDescent="0.2">
      <c r="B135" s="129" t="s">
        <v>305</v>
      </c>
      <c r="C135" s="130">
        <f>F12</f>
        <v>18000000</v>
      </c>
      <c r="E135" t="s">
        <v>305</v>
      </c>
      <c r="F135" s="26">
        <v>18000000</v>
      </c>
    </row>
    <row r="136" spans="2:15" x14ac:dyDescent="0.2">
      <c r="B136" s="129" t="s">
        <v>306</v>
      </c>
      <c r="C136" s="130">
        <f>F132</f>
        <v>25809245.614350665</v>
      </c>
      <c r="E136" t="s">
        <v>306</v>
      </c>
      <c r="F136" s="26">
        <v>25913830.291281607</v>
      </c>
    </row>
    <row r="137" spans="2:15" x14ac:dyDescent="0.2">
      <c r="B137" s="129" t="s">
        <v>307</v>
      </c>
      <c r="C137" s="134">
        <f>F132/F12-1</f>
        <v>0.43384697857503696</v>
      </c>
      <c r="E137" t="s">
        <v>307</v>
      </c>
      <c r="F137" s="39">
        <v>0.43965723840453363</v>
      </c>
    </row>
    <row r="138" spans="2:15" x14ac:dyDescent="0.2">
      <c r="B138" s="129" t="s">
        <v>308</v>
      </c>
      <c r="C138" s="134">
        <f>(F132/F12)^(1/10)-1</f>
        <v>3.6693273239706503E-2</v>
      </c>
      <c r="E138" t="s">
        <v>308</v>
      </c>
      <c r="F138" s="39">
        <v>3.7112599828631465E-2</v>
      </c>
    </row>
    <row r="139" spans="2:15" x14ac:dyDescent="0.2">
      <c r="B139" s="129" t="s">
        <v>309</v>
      </c>
      <c r="C139" s="131" cm="1">
        <f t="array" ref="C139">GEOMEAN(1+D13:D132)-1</f>
        <v>4.2655701960203629E-3</v>
      </c>
      <c r="E139" t="s">
        <v>309</v>
      </c>
      <c r="F139" s="56">
        <v>4.8941292688104987E-3</v>
      </c>
    </row>
    <row r="140" spans="2:15" x14ac:dyDescent="0.2">
      <c r="B140" s="129" t="s">
        <v>310</v>
      </c>
      <c r="C140" s="134">
        <f>(1+C139)^12-1</f>
        <v>5.2404957966555532E-2</v>
      </c>
      <c r="E140" t="s">
        <v>310</v>
      </c>
      <c r="F140" s="39">
        <v>6.033649240093486E-2</v>
      </c>
    </row>
    <row r="141" spans="2:15" x14ac:dyDescent="0.2">
      <c r="B141" s="129" t="s">
        <v>311</v>
      </c>
      <c r="C141" s="131">
        <f>STDEV(D13:D132)</f>
        <v>1.1426403349524389E-2</v>
      </c>
      <c r="E141" t="s">
        <v>311</v>
      </c>
      <c r="F141" s="56">
        <v>1.3140363851953038E-2</v>
      </c>
    </row>
    <row r="142" spans="2:15" x14ac:dyDescent="0.2">
      <c r="B142" s="129" t="s">
        <v>312</v>
      </c>
      <c r="C142" s="134">
        <f>C141*SQRT(12)</f>
        <v>3.9582222298302883E-2</v>
      </c>
      <c r="E142" t="s">
        <v>312</v>
      </c>
      <c r="F142" s="39">
        <v>4.5519555643048284E-2</v>
      </c>
    </row>
    <row r="143" spans="2:15" x14ac:dyDescent="0.2">
      <c r="B143" s="129" t="s">
        <v>313</v>
      </c>
      <c r="C143" s="131">
        <f>MIN(D13:D132)</f>
        <v>-4.8357923528342443E-2</v>
      </c>
      <c r="E143" t="s">
        <v>313</v>
      </c>
      <c r="F143" s="56">
        <v>-5.5611612057593809E-2</v>
      </c>
    </row>
    <row r="144" spans="2:15" x14ac:dyDescent="0.2">
      <c r="B144" s="129" t="s">
        <v>314</v>
      </c>
      <c r="C144" s="131">
        <f>MAX(D13:D132)</f>
        <v>3.4463153512161809E-2</v>
      </c>
      <c r="E144" t="s">
        <v>314</v>
      </c>
      <c r="F144" s="56">
        <v>3.9632626538986068E-2</v>
      </c>
      <c r="I144" t="s">
        <v>294</v>
      </c>
      <c r="J144" t="s">
        <v>260</v>
      </c>
      <c r="K144" t="s">
        <v>261</v>
      </c>
      <c r="L144" t="s">
        <v>243</v>
      </c>
    </row>
    <row r="145" spans="2:12" x14ac:dyDescent="0.2">
      <c r="B145" s="129" t="s">
        <v>92</v>
      </c>
      <c r="C145" s="134">
        <f>MIN(H13:H132)</f>
        <v>-8.5997282770597261E-2</v>
      </c>
      <c r="E145" t="s">
        <v>92</v>
      </c>
      <c r="F145" s="39">
        <v>-0.10170245634655767</v>
      </c>
      <c r="H145" t="s">
        <v>326</v>
      </c>
      <c r="I145">
        <f>Project_Page_6_MVO!C148</f>
        <v>5.9023855316344458E-2</v>
      </c>
      <c r="J145">
        <v>3.4600812663064084E-2</v>
      </c>
      <c r="K145">
        <v>3.6152410822632916E-2</v>
      </c>
      <c r="L145">
        <v>4.0807832333398159E-2</v>
      </c>
    </row>
    <row r="146" spans="2:12" x14ac:dyDescent="0.2">
      <c r="B146" t="s">
        <v>317</v>
      </c>
      <c r="C146" s="145" cm="1">
        <f t="array" ref="C146">SQRT(SUMPRODUCT((D13:D132&lt;0)*D13:D132^2)/60)*SQRT(12)</f>
        <v>3.4600812663064084E-2</v>
      </c>
      <c r="E146" t="s">
        <v>317</v>
      </c>
      <c r="F146">
        <v>3.9790934562523701E-2</v>
      </c>
      <c r="H146" t="s">
        <v>318</v>
      </c>
      <c r="I146">
        <f>Project_Page_6_MVO!C149</f>
        <v>1.0087684564691564</v>
      </c>
      <c r="J146">
        <v>1.5145585878824499</v>
      </c>
      <c r="K146">
        <v>1.4684621813811671</v>
      </c>
      <c r="L146">
        <v>1.3584695977542212</v>
      </c>
    </row>
    <row r="147" spans="2:12" x14ac:dyDescent="0.2">
      <c r="B147" t="s">
        <v>318</v>
      </c>
      <c r="C147">
        <f>C140/C146</f>
        <v>1.5145585878824499</v>
      </c>
      <c r="E147" t="s">
        <v>318</v>
      </c>
      <c r="F147">
        <v>1.5163376549029735</v>
      </c>
      <c r="H147" t="s">
        <v>322</v>
      </c>
      <c r="I147">
        <f>Project_Page_6_MVO!C150</f>
        <v>1.0178259795465348</v>
      </c>
      <c r="J147">
        <v>0.8758930547596564</v>
      </c>
      <c r="K147">
        <v>0.89167814601634654</v>
      </c>
      <c r="L147">
        <v>0.94032531183793211</v>
      </c>
    </row>
    <row r="148" spans="2:12" x14ac:dyDescent="0.2">
      <c r="B148" t="s">
        <v>319</v>
      </c>
      <c r="C148" cm="1">
        <f t="array" ref="C148">SUMPRODUCT((D13:D132&gt;(1.0602^(1/12)-1))*((D13:D132-(1.0602^(1/12)-1))))/SUMPRODUCT((D13:D132&lt;(1.0602^(1/12)-1))*((1.0602^(1/12)-1)-D13:D132))</f>
        <v>0.8758930547596564</v>
      </c>
      <c r="E148" t="s">
        <v>319</v>
      </c>
      <c r="F148">
        <v>1.0204085287365301</v>
      </c>
      <c r="H148" t="s">
        <v>323</v>
      </c>
      <c r="I148">
        <f>Project_Page_6_MVO!C152</f>
        <v>0.72367532741569562</v>
      </c>
      <c r="J148">
        <v>1.1465108604184082</v>
      </c>
      <c r="K148">
        <v>1.1108301235442273</v>
      </c>
      <c r="L148">
        <v>1.0336953095905324</v>
      </c>
    </row>
    <row r="149" spans="2:12" x14ac:dyDescent="0.2">
      <c r="B149" t="s">
        <v>320</v>
      </c>
      <c r="C149" cm="1">
        <f t="array" ref="C149">SQRT(SUMPRODUCT(H13:H132^2)/60)</f>
        <v>3.1839338651101792E-2</v>
      </c>
      <c r="E149" t="s">
        <v>320</v>
      </c>
      <c r="F149">
        <v>3.8689683426141562E-2</v>
      </c>
    </row>
    <row r="150" spans="2:12" x14ac:dyDescent="0.2">
      <c r="B150" t="s">
        <v>321</v>
      </c>
      <c r="C150" cm="1">
        <f t="array" ref="C150">(C140-((GEOMEAN(1+Factors!AB4:AB123)^12)-1))/C149</f>
        <v>1.1465108604184082</v>
      </c>
      <c r="E150" t="s">
        <v>321</v>
      </c>
      <c r="F150">
        <v>1.1485150058473508</v>
      </c>
    </row>
    <row r="151" spans="2:12" x14ac:dyDescent="0.2">
      <c r="B151" t="s">
        <v>324</v>
      </c>
      <c r="C151">
        <f>(C139 - AVERAGE(Factors!AB4:AB123)) / C141</f>
        <v>0.25807391076499803</v>
      </c>
      <c r="E151" t="s">
        <v>324</v>
      </c>
      <c r="F151">
        <v>0.27224631764275387</v>
      </c>
    </row>
    <row r="152" spans="2:12" x14ac:dyDescent="0.2">
      <c r="B152" t="s">
        <v>325</v>
      </c>
      <c r="C152">
        <f>C151 *SQRT(12)</f>
        <v>0.89399425110594632</v>
      </c>
      <c r="E152" t="s">
        <v>325</v>
      </c>
      <c r="F152">
        <v>0.9430889086615698</v>
      </c>
    </row>
    <row r="153" spans="2:12" x14ac:dyDescent="0.2">
      <c r="B153" s="31" t="s">
        <v>88</v>
      </c>
      <c r="C153" s="39">
        <f>_xlfn.PERCENTILE.INC(D13:D132, 0.05)</f>
        <v>-1.3577165061740422E-2</v>
      </c>
      <c r="E153" t="s">
        <v>88</v>
      </c>
      <c r="F153">
        <v>-1.5613739821001485E-2</v>
      </c>
    </row>
    <row r="154" spans="2:12" x14ac:dyDescent="0.2">
      <c r="B154" s="31" t="s">
        <v>162</v>
      </c>
      <c r="C154" s="150">
        <f>_xlfn.PERCENTILE.INC(D13:D132, 0.01)</f>
        <v>-3.0454064067034586E-2</v>
      </c>
      <c r="E154" t="s">
        <v>162</v>
      </c>
      <c r="F154">
        <v>-3.5022173677089777E-2</v>
      </c>
    </row>
    <row r="155" spans="2:12" x14ac:dyDescent="0.2">
      <c r="B155" s="31" t="s">
        <v>89</v>
      </c>
      <c r="C155" s="39">
        <f>AVERAGEIF(D13:D132, "&lt;="&amp;C153)</f>
        <v>-2.6868050955643628E-2</v>
      </c>
      <c r="E155" t="s">
        <v>89</v>
      </c>
      <c r="F155">
        <v>-3.0898258598990175E-2</v>
      </c>
    </row>
    <row r="156" spans="2:12" x14ac:dyDescent="0.2">
      <c r="B156" s="31" t="s">
        <v>163</v>
      </c>
      <c r="C156" s="151">
        <f>AVERAGEIF(D13:D132, "&lt;="&amp;C154)</f>
        <v>-3.9957092658196636E-2</v>
      </c>
      <c r="E156" t="s">
        <v>163</v>
      </c>
      <c r="F156">
        <v>-4.5950656556926137E-2</v>
      </c>
    </row>
  </sheetData>
  <pageMargins left="0.7" right="0.7" top="0.75" bottom="0.75" header="0.3" footer="0.3"/>
  <pageSetup orientation="portrait" horizontalDpi="0" verticalDpi="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148F8F23515B34E8AA609B5384F2AC8" ma:contentTypeVersion="5" ma:contentTypeDescription="Create a new document." ma:contentTypeScope="" ma:versionID="d605911112f2e1fa5a2748dd38038041">
  <xsd:schema xmlns:xsd="http://www.w3.org/2001/XMLSchema" xmlns:xs="http://www.w3.org/2001/XMLSchema" xmlns:p="http://schemas.microsoft.com/office/2006/metadata/properties" xmlns:ns3="dcefc0dc-08a0-4c12-9af1-8d4b61e8312a" targetNamespace="http://schemas.microsoft.com/office/2006/metadata/properties" ma:root="true" ma:fieldsID="824861fac8f91f79a3f292f07d5e7d5f" ns3:_="">
    <xsd:import namespace="dcefc0dc-08a0-4c12-9af1-8d4b61e8312a"/>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efc0dc-08a0-4c12-9af1-8d4b61e8312a"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dcefc0dc-08a0-4c12-9af1-8d4b61e8312a" xsi:nil="true"/>
  </documentManagement>
</p:properties>
</file>

<file path=customXml/itemProps1.xml><?xml version="1.0" encoding="utf-8"?>
<ds:datastoreItem xmlns:ds="http://schemas.openxmlformats.org/officeDocument/2006/customXml" ds:itemID="{F4881C29-FB29-4599-A558-1BF37FAFDE3B}">
  <ds:schemaRefs>
    <ds:schemaRef ds:uri="http://schemas.microsoft.com/sharepoint/v3/contenttype/forms"/>
  </ds:schemaRefs>
</ds:datastoreItem>
</file>

<file path=customXml/itemProps2.xml><?xml version="1.0" encoding="utf-8"?>
<ds:datastoreItem xmlns:ds="http://schemas.openxmlformats.org/officeDocument/2006/customXml" ds:itemID="{33FEDC37-28AB-4641-8429-26641D4244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cefc0dc-08a0-4c12-9af1-8d4b61e831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8178B83-48E0-4FD6-99EB-1379D0D31361}">
  <ds:schemaRefs>
    <ds:schemaRef ds:uri="http://www.w3.org/XML/1998/namespace"/>
    <ds:schemaRef ds:uri="http://schemas.microsoft.com/office/2006/metadata/properties"/>
    <ds:schemaRef ds:uri="http://purl.org/dc/dcmitype/"/>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dcefc0dc-08a0-4c12-9af1-8d4b61e8312a"/>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Data</vt:lpstr>
      <vt:lpstr>Factors</vt:lpstr>
      <vt:lpstr>Asset_Stats</vt:lpstr>
      <vt:lpstr>Histograms</vt:lpstr>
      <vt:lpstr>Validation_A1</vt:lpstr>
      <vt:lpstr>A1</vt:lpstr>
      <vt:lpstr>A1 Rolling Betas</vt:lpstr>
      <vt:lpstr>A2</vt:lpstr>
      <vt:lpstr>A3</vt:lpstr>
      <vt:lpstr>A4_1</vt:lpstr>
      <vt:lpstr>A5_2factor</vt:lpstr>
      <vt:lpstr>A4_2</vt:lpstr>
      <vt:lpstr>A4_3</vt:lpstr>
      <vt:lpstr>A5_3factor</vt:lpstr>
      <vt:lpstr>Project_Page_1</vt:lpstr>
      <vt:lpstr>Project_Page_2</vt:lpstr>
      <vt:lpstr>Project_Page_3</vt:lpstr>
      <vt:lpstr>Project_Page_4_MVO</vt:lpstr>
      <vt:lpstr>Project_Page_4_TRC</vt:lpstr>
      <vt:lpstr>Project_Page_5_RP</vt:lpstr>
      <vt:lpstr>Project_Page_5_TRC</vt:lpstr>
      <vt:lpstr>Project_Page_6_MVO</vt:lpstr>
      <vt:lpstr>Project_Page_6_RP</vt:lpstr>
      <vt:lpstr>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Shivraj Dharwad</dc:creator>
  <cp:lastModifiedBy>Shivraj Dharwad</cp:lastModifiedBy>
  <dcterms:created xsi:type="dcterms:W3CDTF">2026-06-05T00:00:00Z</dcterms:created>
  <dcterms:modified xsi:type="dcterms:W3CDTF">2026-06-05T00:00:00Z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0x0101008148F8F23515B34E8AA609B5384F2AC8</vt:lpwstr>
  </property>
</Properties>
</file>